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drawings/drawing4.xml" ContentType="application/vnd.openxmlformats-officedocument.drawingml.chartsha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hidePivotFieldList="1"/>
  <mc:AlternateContent xmlns:mc="http://schemas.openxmlformats.org/markup-compatibility/2006">
    <mc:Choice Requires="x15">
      <x15ac:absPath xmlns:x15ac="http://schemas.microsoft.com/office/spreadsheetml/2010/11/ac" url="C:\Users\jwagner\OneDrive\2018PPEContent\Cloud Infrastructure\Decks\3 - Azure Disaster Recovery as a Service (DRaaS)\"/>
    </mc:Choice>
  </mc:AlternateContent>
  <xr:revisionPtr revIDLastSave="4" documentId="4CD1EAC31DD2721D018A6D3898C9407294353F2A" xr6:coauthVersionLast="31" xr6:coauthVersionMax="31" xr10:uidLastSave="{FABCB8A1-F4BE-4397-A5D0-41A524F3D524}"/>
  <bookViews>
    <workbookView xWindow="0" yWindow="0" windowWidth="13680" windowHeight="10058" tabRatio="1000" firstSheet="4" activeTab="4" xr2:uid="{00000000-000D-0000-FFFF-FFFF00000000}"/>
  </bookViews>
  <sheets>
    <sheet name="IR Batching Data" sheetId="63" state="hidden" r:id="rId1"/>
    <sheet name="Data" sheetId="35" state="hidden" r:id="rId2"/>
    <sheet name="Prices" sheetId="47" state="hidden" r:id="rId3"/>
    <sheet name="On-Premises Summary" sheetId="16" r:id="rId4"/>
    <sheet name="Recommendations" sheetId="52" r:id="rId5"/>
    <sheet name="VM&lt;-&gt;Storage Placement" sheetId="14" r:id="rId6"/>
    <sheet name="Compatible VMs" sheetId="44" r:id="rId7"/>
    <sheet name="Incompatible VMs" sheetId="45" r:id="rId8"/>
    <sheet name="On-premises Storage Requirement" sheetId="62" r:id="rId9"/>
    <sheet name="IR Batching for 60 min RPO" sheetId="66" state="hidden" r:id="rId10"/>
    <sheet name="IR Batching for 30 min RPO" sheetId="65" state="hidden" r:id="rId11"/>
    <sheet name="IR Batching for 15 min RPO" sheetId="64" r:id="rId12"/>
    <sheet name="Cost Estimation" sheetId="46" r:id="rId13"/>
  </sheets>
  <definedNames>
    <definedName name="_xlnm._FilterDatabase" localSheetId="6" hidden="1">'Compatible VMs'!$O$1:$O$1</definedName>
    <definedName name="_xlnm._FilterDatabase" localSheetId="12" hidden="1">'Cost Estimation'!#REF!</definedName>
    <definedName name="_xlnm._FilterDatabase" localSheetId="7" hidden="1">'Incompatible VMs'!#REF!</definedName>
    <definedName name="_xlnm._FilterDatabase" localSheetId="3" hidden="1">'On-Premises Summary'!#REF!</definedName>
    <definedName name="Backlog_Duration">OFFSET(Data!$T$3,0,0,COUNT(Data!$T:$T),1)</definedName>
    <definedName name="Backlog_Duration_6hrs">OFFSET(Data!$V$3,0,0,COUNT(Data!$V:$V),1)</definedName>
    <definedName name="DRBandwidthRequiredForEachBatchForGivenBandwidth_H2A">OFFSET('IR Batching Data'!$R$3,0,0,COUNT('IR Batching Data'!$R:$R),1)</definedName>
    <definedName name="DRBandwidthRequiredInEachBatch_H2A">OFFSET(CHOOSE(Data!$E$5,'IR Batching Data'!$C$3,'IR Batching Data'!$H$3,'IR Batching Data'!$M$3),0,0,CHOOSE(Data!$E$5,COUNT('IR Batching Data'!$C:$C),COUNT('IR Batching Data'!$H:$H),COUNT('IR Batching Data'!$M:$M)),1)</definedName>
    <definedName name="DRDrillCost">IF('Cost Estimation'!$B$12=1,'Cost Estimation'!$F$8,'Cost Estimation'!$G$8)</definedName>
    <definedName name="IRForEachBatch_H2A">OFFSET(CHOOSE(Data!$E$5,'IR Batching Data'!$B$3,'IR Batching Data'!$G$3,'IR Batching Data'!$L$3),0,0,CHOOSE(Data!$E$5,COUNT('IR Batching Data'!$B:$B),COUNT('IR Batching Data'!$G:$G),COUNT('IR Batching Data'!$L:$L)),1)</definedName>
    <definedName name="IRforEachbatchForGivenBandwidth_H2A">OFFSET('IR Batching Data'!$Q$3,0,0,COUNT('IR Batching Data'!$Q:$Q),1)</definedName>
    <definedName name="NumberOfBatchesForIR_H2A">OFFSET(CHOOSE(Data!$E$5,'IR Batching Data'!$A$3,'IR Batching Data'!$F$3,'IR Batching Data'!$K$3),0,0,CHOOSE(Data!$E$5,COUNT('IR Batching Data'!$A:$A)+1,COUNT('IR Batching Data'!$F:$F)+1,COUNT('IR Batching Data'!$K:$K)+1),1)</definedName>
    <definedName name="NumberofIRbatchesForGivenBandwidth_H2A">OFFSET('IR Batching Data'!$P$3,0,0,COUNT('IR Batching Data'!$P:$P)+1,1)</definedName>
    <definedName name="PremiumCost">IF('Cost Estimation'!$B$12=1,'Cost Estimation'!$F$15:$F$16,'Cost Estimation'!$D$15:$D$16)</definedName>
    <definedName name="StandardCost">IF('Cost Estimation'!$B$12=1,'Cost Estimation'!$G$15:$G$16,'Cost Estimation'!$E$15:$E$16)</definedName>
    <definedName name="SteadyStateReplicationCost">IF('Cost Estimation'!$B$12=1,'Cost Estimation'!$F$6,'Cost Estimation'!$G$6)</definedName>
    <definedName name="TotalDRCost">IF('Cost Estimation'!$B$12=1,'Cost Estimation'!$B$10,'Cost Estimation'!$C$10)</definedName>
    <definedName name="TotalDRCostByComponents">IF('Cost Estimation'!$B$12=1,'Cost Estimation'!$B$6:$B$9,'Cost Estimation'!$C$6:$C$9)</definedName>
    <definedName name="TotalDRCostByStats">IF('Cost Estimation'!$B$12=1,'Cost Estimation'!$F$6:$F$8,'Cost Estimation'!$G$6:$G$8)</definedName>
    <definedName name="TotalDRCostPerMonthOrYear">IF('Cost Estimation'!$B$12=1,"Total DR Cost per Month In", "Total DR Cost per Year In")</definedName>
    <definedName name="TotalStorageCost">IF('Cost Estimation'!$B$12=1,'Cost Estimation'!$F$17:$G$17,'Cost Estimation'!$D$17:$E$17)</definedName>
    <definedName name="ViolationsPlot_BW_Input">OFFSET(Data!$AL$3,0,0,COUNT(Data!$AL:$AL),1)</definedName>
    <definedName name="ViolationsPlot_RPO_Input">OFFSET(CHOOSE(Data!$E$5,Data!$T$3,Data!$Z$3,Data!$AF$3),0,0,CHOOSE(Data!$E$5,COUNT(Data!$T:$T),COUNT(Data!$Z:$Z),COUNT(Data!$AF:$AF)),1)</definedName>
    <definedName name="ViolationsTime">OFFSET(CHOOSE(Data!$E$5,Data!$S$3,Data!$Y$3,Data!$AE$3),0,0,CHOOSE(Data!$E$5,COUNT(Data!$S:$S),COUNT(Data!$Y:$Y),COUNT(Data!$AE:$AE)),1)</definedName>
    <definedName name="ViolationsTime_BW">OFFSET(Data!$AK$3,0,0,COUNT(Data!$AK:$AK),1)</definedName>
  </definedNames>
  <calcPr calcId="179017" calcCompleted="0"/>
  <fileRecoveryPr autoRecover="0"/>
</workbook>
</file>

<file path=xl/calcChain.xml><?xml version="1.0" encoding="utf-8"?>
<calcChain xmlns="http://schemas.openxmlformats.org/spreadsheetml/2006/main">
  <c r="AC123" i="46" l="1"/>
  <c r="L123" i="46"/>
  <c r="U123" i="46"/>
  <c r="N123" i="46" s="1"/>
  <c r="AC122" i="46"/>
  <c r="L122" i="46"/>
  <c r="U122" i="46"/>
  <c r="N122" i="46" s="1"/>
  <c r="AC121" i="46"/>
  <c r="L121" i="46"/>
  <c r="U121" i="46"/>
  <c r="N121" i="46" s="1"/>
  <c r="AC120" i="46"/>
  <c r="L120" i="46"/>
  <c r="U120" i="46"/>
  <c r="N120" i="46" s="1"/>
  <c r="AC119" i="46"/>
  <c r="L119" i="46"/>
  <c r="U119" i="46"/>
  <c r="N119" i="46" s="1"/>
  <c r="AC118" i="46"/>
  <c r="L118" i="46"/>
  <c r="U118" i="46"/>
  <c r="N118" i="46" s="1"/>
  <c r="AC117" i="46"/>
  <c r="L117" i="46"/>
  <c r="U117" i="46"/>
  <c r="N117" i="46" s="1"/>
  <c r="AC116" i="46"/>
  <c r="L116" i="46"/>
  <c r="U116" i="46"/>
  <c r="N116" i="46" s="1"/>
  <c r="AC115" i="46"/>
  <c r="L115" i="46"/>
  <c r="U115" i="46"/>
  <c r="N115" i="46" s="1"/>
  <c r="AC114" i="46"/>
  <c r="L114" i="46"/>
  <c r="U114" i="46"/>
  <c r="N114" i="46" s="1"/>
  <c r="AC113" i="46"/>
  <c r="L113" i="46"/>
  <c r="U113" i="46"/>
  <c r="N113" i="46" s="1"/>
  <c r="AC112" i="46"/>
  <c r="L112" i="46"/>
  <c r="U112" i="46"/>
  <c r="N112" i="46" s="1"/>
  <c r="AC111" i="46"/>
  <c r="L111" i="46"/>
  <c r="AC110" i="46"/>
  <c r="L110" i="46"/>
  <c r="U110" i="46"/>
  <c r="N110" i="46" s="1"/>
  <c r="AC109" i="46"/>
  <c r="L109" i="46"/>
  <c r="U109" i="46"/>
  <c r="N109" i="46" s="1"/>
  <c r="AC108" i="46"/>
  <c r="L108" i="46"/>
  <c r="AC107" i="46"/>
  <c r="L107" i="46"/>
  <c r="U107" i="46"/>
  <c r="N107" i="46" s="1"/>
  <c r="AC106" i="46"/>
  <c r="L106" i="46"/>
  <c r="AC105" i="46"/>
  <c r="L105" i="46"/>
  <c r="U105" i="46"/>
  <c r="N105" i="46" s="1"/>
  <c r="AC104" i="46"/>
  <c r="L104" i="46"/>
  <c r="U104" i="46"/>
  <c r="N104" i="46" s="1"/>
  <c r="AC103" i="46"/>
  <c r="L103" i="46"/>
  <c r="U103" i="46"/>
  <c r="N103" i="46" s="1"/>
  <c r="AC102" i="46"/>
  <c r="L102" i="46"/>
  <c r="U102" i="46"/>
  <c r="N102" i="46" s="1"/>
  <c r="AC101" i="46"/>
  <c r="L101" i="46"/>
  <c r="U101" i="46"/>
  <c r="V101" i="46" s="1"/>
  <c r="AC100" i="46"/>
  <c r="L100" i="46"/>
  <c r="U100" i="46"/>
  <c r="N100" i="46" s="1"/>
  <c r="AC99" i="46"/>
  <c r="L99" i="46"/>
  <c r="U99" i="46"/>
  <c r="N99" i="46" s="1"/>
  <c r="AC98" i="46"/>
  <c r="L98" i="46"/>
  <c r="U98" i="46"/>
  <c r="N98" i="46" s="1"/>
  <c r="AC97" i="46"/>
  <c r="L97" i="46"/>
  <c r="U97" i="46"/>
  <c r="N97" i="46" s="1"/>
  <c r="AC96" i="46"/>
  <c r="L96" i="46"/>
  <c r="U96" i="46"/>
  <c r="N96" i="46" s="1"/>
  <c r="AC95" i="46"/>
  <c r="L95" i="46"/>
  <c r="U95" i="46"/>
  <c r="N95" i="46" s="1"/>
  <c r="AC94" i="46"/>
  <c r="L94" i="46"/>
  <c r="U94" i="46"/>
  <c r="N94" i="46" s="1"/>
  <c r="AC93" i="46"/>
  <c r="L93" i="46"/>
  <c r="U93" i="46"/>
  <c r="N93" i="46" s="1"/>
  <c r="AC92" i="46"/>
  <c r="L92" i="46"/>
  <c r="U92" i="46"/>
  <c r="N92" i="46" s="1"/>
  <c r="AC91" i="46"/>
  <c r="L91" i="46"/>
  <c r="U91" i="46"/>
  <c r="N91" i="46" s="1"/>
  <c r="AC90" i="46"/>
  <c r="L90" i="46"/>
  <c r="U90" i="46"/>
  <c r="N90" i="46" s="1"/>
  <c r="AC89" i="46"/>
  <c r="L89" i="46"/>
  <c r="U89" i="46"/>
  <c r="N89" i="46" s="1"/>
  <c r="AC88" i="46"/>
  <c r="L88" i="46"/>
  <c r="U88" i="46"/>
  <c r="N88" i="46" s="1"/>
  <c r="AC87" i="46"/>
  <c r="L87" i="46"/>
  <c r="U87" i="46"/>
  <c r="N87" i="46" s="1"/>
  <c r="AC86" i="46"/>
  <c r="L86" i="46"/>
  <c r="U86" i="46"/>
  <c r="V86" i="46" s="1"/>
  <c r="AC85" i="46"/>
  <c r="L85" i="46"/>
  <c r="AC84" i="46"/>
  <c r="L84" i="46"/>
  <c r="U84" i="46"/>
  <c r="N84" i="46" s="1"/>
  <c r="AC83" i="46"/>
  <c r="L83" i="46"/>
  <c r="U83" i="46"/>
  <c r="N83" i="46" s="1"/>
  <c r="AC82" i="46"/>
  <c r="L82" i="46"/>
  <c r="U82" i="46"/>
  <c r="N82" i="46" s="1"/>
  <c r="AC81" i="46"/>
  <c r="L81" i="46"/>
  <c r="U81" i="46"/>
  <c r="N81" i="46" s="1"/>
  <c r="AC80" i="46"/>
  <c r="L80" i="46"/>
  <c r="U80" i="46"/>
  <c r="N80" i="46" s="1"/>
  <c r="AC79" i="46"/>
  <c r="L79" i="46"/>
  <c r="U79" i="46"/>
  <c r="N79" i="46" s="1"/>
  <c r="AC78" i="46"/>
  <c r="L78" i="46"/>
  <c r="U78" i="46"/>
  <c r="N78" i="46" s="1"/>
  <c r="AC77" i="46"/>
  <c r="L77" i="46"/>
  <c r="U77" i="46"/>
  <c r="N77" i="46" s="1"/>
  <c r="AC76" i="46"/>
  <c r="L76" i="46"/>
  <c r="U76" i="46"/>
  <c r="N76" i="46" s="1"/>
  <c r="AC75" i="46"/>
  <c r="L75" i="46"/>
  <c r="U75" i="46"/>
  <c r="N75" i="46" s="1"/>
  <c r="AC74" i="46"/>
  <c r="L74" i="46"/>
  <c r="U74" i="46"/>
  <c r="N74" i="46" s="1"/>
  <c r="AC73" i="46"/>
  <c r="L73" i="46"/>
  <c r="U73" i="46"/>
  <c r="N73" i="46" s="1"/>
  <c r="AC72" i="46"/>
  <c r="L72" i="46"/>
  <c r="U72" i="46"/>
  <c r="N72" i="46" s="1"/>
  <c r="AC71" i="46"/>
  <c r="L71" i="46"/>
  <c r="U71" i="46"/>
  <c r="V71" i="46" s="1"/>
  <c r="AC70" i="46"/>
  <c r="L70" i="46"/>
  <c r="U70" i="46"/>
  <c r="N70" i="46" s="1"/>
  <c r="AC69" i="46"/>
  <c r="L69" i="46"/>
  <c r="AC68" i="46"/>
  <c r="L68" i="46"/>
  <c r="U68" i="46"/>
  <c r="N68" i="46" s="1"/>
  <c r="AC67" i="46"/>
  <c r="L67" i="46"/>
  <c r="U67" i="46"/>
  <c r="V67" i="46" s="1"/>
  <c r="AC66" i="46"/>
  <c r="L66" i="46"/>
  <c r="U66" i="46"/>
  <c r="N66" i="46" s="1"/>
  <c r="AC65" i="46"/>
  <c r="L65" i="46"/>
  <c r="U65" i="46"/>
  <c r="N65" i="46" s="1"/>
  <c r="AC64" i="46"/>
  <c r="L64" i="46"/>
  <c r="U64" i="46"/>
  <c r="N64" i="46" s="1"/>
  <c r="AC63" i="46"/>
  <c r="L63" i="46"/>
  <c r="U63" i="46"/>
  <c r="N63" i="46" s="1"/>
  <c r="AC62" i="46"/>
  <c r="L62" i="46"/>
  <c r="U62" i="46"/>
  <c r="N62" i="46" s="1"/>
  <c r="AC61" i="46"/>
  <c r="L61" i="46"/>
  <c r="U61" i="46"/>
  <c r="V61" i="46" s="1"/>
  <c r="AC60" i="46"/>
  <c r="L60" i="46"/>
  <c r="U60" i="46"/>
  <c r="N60" i="46" s="1"/>
  <c r="AC59" i="46"/>
  <c r="L59" i="46"/>
  <c r="U59" i="46"/>
  <c r="N59" i="46" s="1"/>
  <c r="AC58" i="46"/>
  <c r="L58" i="46"/>
  <c r="U58" i="46"/>
  <c r="N58" i="46" s="1"/>
  <c r="AC57" i="46"/>
  <c r="L57" i="46"/>
  <c r="U57" i="46"/>
  <c r="N57" i="46" s="1"/>
  <c r="AC56" i="46"/>
  <c r="L56" i="46"/>
  <c r="AC55" i="46"/>
  <c r="L55" i="46"/>
  <c r="AC54" i="46"/>
  <c r="L54" i="46"/>
  <c r="U54" i="46"/>
  <c r="N54" i="46" s="1"/>
  <c r="AC53" i="46"/>
  <c r="L53" i="46"/>
  <c r="U53" i="46"/>
  <c r="N53" i="46" s="1"/>
  <c r="AC52" i="46"/>
  <c r="L52" i="46"/>
  <c r="U52" i="46"/>
  <c r="N52" i="46" s="1"/>
  <c r="AC51" i="46"/>
  <c r="L51" i="46"/>
  <c r="U51" i="46"/>
  <c r="N51" i="46" s="1"/>
  <c r="AC50" i="46"/>
  <c r="L50" i="46"/>
  <c r="U50" i="46"/>
  <c r="V50" i="46" s="1"/>
  <c r="AC49" i="46"/>
  <c r="L49" i="46"/>
  <c r="U49" i="46"/>
  <c r="N49" i="46" s="1"/>
  <c r="AC48" i="46"/>
  <c r="L48" i="46"/>
  <c r="U48" i="46"/>
  <c r="V48" i="46" s="1"/>
  <c r="AC47" i="46"/>
  <c r="L47" i="46"/>
  <c r="U47" i="46"/>
  <c r="V47" i="46" s="1"/>
  <c r="AC46" i="46"/>
  <c r="L46" i="46"/>
  <c r="U46" i="46"/>
  <c r="N46" i="46" s="1"/>
  <c r="AC45" i="46"/>
  <c r="L45" i="46"/>
  <c r="AC44" i="46"/>
  <c r="L44" i="46"/>
  <c r="U44" i="46"/>
  <c r="V44" i="46" s="1"/>
  <c r="AC43" i="46"/>
  <c r="L43" i="46"/>
  <c r="U43" i="46"/>
  <c r="N43" i="46" s="1"/>
  <c r="AC42" i="46"/>
  <c r="L42" i="46"/>
  <c r="U42" i="46"/>
  <c r="V42" i="46" s="1"/>
  <c r="AC41" i="46"/>
  <c r="L41" i="46"/>
  <c r="U41" i="46"/>
  <c r="N41" i="46" s="1"/>
  <c r="AC40" i="46"/>
  <c r="L40" i="46"/>
  <c r="V123" i="46" l="1"/>
  <c r="V122" i="46"/>
  <c r="V121" i="46"/>
  <c r="V120" i="46"/>
  <c r="V119" i="46"/>
  <c r="V118" i="46"/>
  <c r="V117" i="46"/>
  <c r="V116" i="46"/>
  <c r="V115" i="46"/>
  <c r="V114" i="46"/>
  <c r="V113" i="46"/>
  <c r="V112" i="46"/>
  <c r="V109" i="46"/>
  <c r="V110" i="46"/>
  <c r="V107" i="46"/>
  <c r="V105" i="46"/>
  <c r="V104" i="46"/>
  <c r="V103" i="46"/>
  <c r="V102" i="46"/>
  <c r="N101" i="46"/>
  <c r="V100" i="46"/>
  <c r="V99" i="46"/>
  <c r="V98" i="46"/>
  <c r="V97" i="46"/>
  <c r="V96" i="46"/>
  <c r="V95" i="46"/>
  <c r="V94" i="46"/>
  <c r="V93" i="46"/>
  <c r="V92" i="46"/>
  <c r="V91" i="46"/>
  <c r="V90" i="46"/>
  <c r="V89" i="46"/>
  <c r="V88" i="46"/>
  <c r="V87" i="46"/>
  <c r="N86" i="46"/>
  <c r="V84" i="46"/>
  <c r="V83" i="46"/>
  <c r="V82" i="46"/>
  <c r="V81" i="46"/>
  <c r="V80" i="46"/>
  <c r="V79" i="46"/>
  <c r="V78" i="46"/>
  <c r="V77" i="46"/>
  <c r="V76" i="46"/>
  <c r="V75" i="46"/>
  <c r="V74" i="46"/>
  <c r="V73" i="46"/>
  <c r="V72" i="46"/>
  <c r="N71" i="46"/>
  <c r="V70" i="46"/>
  <c r="V68" i="46"/>
  <c r="N67" i="46"/>
  <c r="V66" i="46"/>
  <c r="V65" i="46"/>
  <c r="V64" i="46"/>
  <c r="V63" i="46"/>
  <c r="V62" i="46"/>
  <c r="N61" i="46"/>
  <c r="V60" i="46"/>
  <c r="V59" i="46"/>
  <c r="V58" i="46"/>
  <c r="V57" i="46"/>
  <c r="V54" i="46"/>
  <c r="V53" i="46"/>
  <c r="V52" i="46"/>
  <c r="V51" i="46"/>
  <c r="N50" i="46"/>
  <c r="V49" i="46"/>
  <c r="N48" i="46"/>
  <c r="N47" i="46"/>
  <c r="V46" i="46"/>
  <c r="N44" i="46"/>
  <c r="V43" i="46"/>
  <c r="N42" i="46"/>
  <c r="V41" i="46"/>
  <c r="A35" i="46"/>
  <c r="AD8" i="52" l="1"/>
  <c r="W8" i="52"/>
  <c r="E8" i="52"/>
  <c r="W38" i="46" l="1"/>
  <c r="AF124" i="46" l="1"/>
  <c r="R124" i="46"/>
  <c r="R39" i="46"/>
  <c r="AF39" i="46"/>
  <c r="H17" i="47"/>
  <c r="H28" i="47"/>
  <c r="H27" i="47"/>
  <c r="AF123" i="46" l="1"/>
  <c r="AF122" i="46"/>
  <c r="R120" i="46"/>
  <c r="R121" i="46"/>
  <c r="AF119" i="46"/>
  <c r="R117" i="46"/>
  <c r="AF115" i="46"/>
  <c r="R113" i="46"/>
  <c r="R109" i="46"/>
  <c r="AF107" i="46"/>
  <c r="R105" i="46"/>
  <c r="AF103" i="46"/>
  <c r="R101" i="46"/>
  <c r="AF99" i="46"/>
  <c r="R97" i="46"/>
  <c r="AF95" i="46"/>
  <c r="R93" i="46"/>
  <c r="AF91" i="46"/>
  <c r="R89" i="46"/>
  <c r="AF87" i="46"/>
  <c r="AF83" i="46"/>
  <c r="R81" i="46"/>
  <c r="AF79" i="46"/>
  <c r="R77" i="46"/>
  <c r="AF75" i="46"/>
  <c r="R73" i="46"/>
  <c r="AF71" i="46"/>
  <c r="AF67" i="46"/>
  <c r="R65" i="46"/>
  <c r="AF63" i="46"/>
  <c r="R61" i="46"/>
  <c r="R123" i="46"/>
  <c r="AF121" i="46"/>
  <c r="R119" i="46"/>
  <c r="AF117" i="46"/>
  <c r="R115" i="46"/>
  <c r="AF113" i="46"/>
  <c r="AF109" i="46"/>
  <c r="R107" i="46"/>
  <c r="AF105" i="46"/>
  <c r="R103" i="46"/>
  <c r="AF101" i="46"/>
  <c r="R99" i="46"/>
  <c r="AF97" i="46"/>
  <c r="R95" i="46"/>
  <c r="AF93" i="46"/>
  <c r="R91" i="46"/>
  <c r="AF89" i="46"/>
  <c r="R87" i="46"/>
  <c r="R83" i="46"/>
  <c r="AF81" i="46"/>
  <c r="R79" i="46"/>
  <c r="AF77" i="46"/>
  <c r="R75" i="46"/>
  <c r="AF73" i="46"/>
  <c r="R71" i="46"/>
  <c r="R67" i="46"/>
  <c r="AF65" i="46"/>
  <c r="R63" i="46"/>
  <c r="AF61" i="46"/>
  <c r="R59" i="46"/>
  <c r="AF57" i="46"/>
  <c r="AF53" i="46"/>
  <c r="R51" i="46"/>
  <c r="AF49" i="46"/>
  <c r="R47" i="46"/>
  <c r="R43" i="46"/>
  <c r="AF41" i="46"/>
  <c r="AF118" i="46"/>
  <c r="AF114" i="46"/>
  <c r="R110" i="46"/>
  <c r="R102" i="46"/>
  <c r="R98" i="46"/>
  <c r="R94" i="46"/>
  <c r="R90" i="46"/>
  <c r="R86" i="46"/>
  <c r="AF84" i="46"/>
  <c r="AF80" i="46"/>
  <c r="AF76" i="46"/>
  <c r="AF72" i="46"/>
  <c r="R68" i="46"/>
  <c r="R64" i="46"/>
  <c r="R60" i="46"/>
  <c r="AF59" i="46"/>
  <c r="R58" i="46"/>
  <c r="R53" i="46"/>
  <c r="R49" i="46"/>
  <c r="R41" i="46"/>
  <c r="AF112" i="46"/>
  <c r="R88" i="46"/>
  <c r="R62" i="46"/>
  <c r="AF58" i="46"/>
  <c r="R52" i="46"/>
  <c r="R118" i="46"/>
  <c r="R114" i="46"/>
  <c r="AF104" i="46"/>
  <c r="AF100" i="46"/>
  <c r="AF96" i="46"/>
  <c r="AF92" i="46"/>
  <c r="AF88" i="46"/>
  <c r="R84" i="46"/>
  <c r="R80" i="46"/>
  <c r="R76" i="46"/>
  <c r="R72" i="46"/>
  <c r="AF66" i="46"/>
  <c r="AF62" i="46"/>
  <c r="R57" i="46"/>
  <c r="AF54" i="46"/>
  <c r="AF52" i="46"/>
  <c r="AF50" i="46"/>
  <c r="AF48" i="46"/>
  <c r="AF46" i="46"/>
  <c r="AF44" i="46"/>
  <c r="AF42" i="46"/>
  <c r="AF116" i="46"/>
  <c r="R104" i="46"/>
  <c r="R100" i="46"/>
  <c r="R96" i="46"/>
  <c r="R92" i="46"/>
  <c r="AF82" i="46"/>
  <c r="AF78" i="46"/>
  <c r="AF74" i="46"/>
  <c r="AF70" i="46"/>
  <c r="R66" i="46"/>
  <c r="AF64" i="46"/>
  <c r="AF47" i="46"/>
  <c r="R44" i="46"/>
  <c r="AF43" i="46"/>
  <c r="AF110" i="46"/>
  <c r="AF68" i="46"/>
  <c r="AF60" i="46"/>
  <c r="R42" i="46"/>
  <c r="R122" i="46"/>
  <c r="AF120" i="46"/>
  <c r="R112" i="46"/>
  <c r="AF98" i="46"/>
  <c r="R78" i="46"/>
  <c r="R50" i="46"/>
  <c r="R48" i="46"/>
  <c r="R116" i="46"/>
  <c r="AF102" i="46"/>
  <c r="AF94" i="46"/>
  <c r="AF86" i="46"/>
  <c r="R82" i="46"/>
  <c r="R74" i="46"/>
  <c r="R46" i="46"/>
  <c r="R54" i="46"/>
  <c r="AF51" i="46"/>
  <c r="AF90" i="46"/>
  <c r="R70" i="46"/>
  <c r="AF111" i="46"/>
  <c r="R85" i="46"/>
  <c r="X85" i="46" s="1"/>
  <c r="U85" i="46"/>
  <c r="R69" i="46"/>
  <c r="X69" i="46" s="1"/>
  <c r="U69" i="46"/>
  <c r="R111" i="46"/>
  <c r="X111" i="46" s="1"/>
  <c r="U111" i="46"/>
  <c r="AF85" i="46"/>
  <c r="AF69" i="46"/>
  <c r="R55" i="46"/>
  <c r="X55" i="46" s="1"/>
  <c r="U55" i="46"/>
  <c r="AF45" i="46"/>
  <c r="R106" i="46"/>
  <c r="X106" i="46" s="1"/>
  <c r="AF55" i="46"/>
  <c r="R45" i="46"/>
  <c r="X45" i="46" s="1"/>
  <c r="U45" i="46"/>
  <c r="AF40" i="46"/>
  <c r="AF56" i="46"/>
  <c r="AF108" i="46"/>
  <c r="U108" i="46"/>
  <c r="R108" i="46"/>
  <c r="X108" i="46" s="1"/>
  <c r="R56" i="46"/>
  <c r="X56" i="46" s="1"/>
  <c r="U40" i="46"/>
  <c r="AF106" i="46"/>
  <c r="U56" i="46"/>
  <c r="R40" i="46"/>
  <c r="X40" i="46" s="1"/>
  <c r="U106" i="46"/>
  <c r="U124" i="46"/>
  <c r="U39" i="46"/>
  <c r="X82" i="46" l="1"/>
  <c r="Z82" i="46"/>
  <c r="Y82" i="46" s="1"/>
  <c r="X104" i="46"/>
  <c r="Z104" i="46"/>
  <c r="Y104" i="46" s="1"/>
  <c r="X72" i="46"/>
  <c r="Z72" i="46"/>
  <c r="Y72" i="46" s="1"/>
  <c r="Z86" i="46"/>
  <c r="Y86" i="46" s="1"/>
  <c r="X86" i="46"/>
  <c r="X79" i="46"/>
  <c r="Z79" i="46"/>
  <c r="Y79" i="46" s="1"/>
  <c r="X123" i="46"/>
  <c r="Z123" i="46"/>
  <c r="Y123" i="46" s="1"/>
  <c r="X113" i="46"/>
  <c r="Z113" i="46"/>
  <c r="Y113" i="46" s="1"/>
  <c r="X121" i="46"/>
  <c r="Z121" i="46"/>
  <c r="Y121" i="46" s="1"/>
  <c r="N56" i="46"/>
  <c r="V56" i="46"/>
  <c r="Z56" i="46" s="1"/>
  <c r="Y56" i="46" s="1"/>
  <c r="X54" i="46"/>
  <c r="Z54" i="46"/>
  <c r="Y54" i="46" s="1"/>
  <c r="X112" i="46"/>
  <c r="Z112" i="46"/>
  <c r="Y112" i="46" s="1"/>
  <c r="X76" i="46"/>
  <c r="Z76" i="46"/>
  <c r="Y76" i="46" s="1"/>
  <c r="X62" i="46"/>
  <c r="Z62" i="46"/>
  <c r="Y62" i="46" s="1"/>
  <c r="X43" i="46"/>
  <c r="Z43" i="46"/>
  <c r="Y43" i="46" s="1"/>
  <c r="X99" i="46"/>
  <c r="Z99" i="46"/>
  <c r="Y99" i="46" s="1"/>
  <c r="X97" i="46"/>
  <c r="Z97" i="46"/>
  <c r="Y97" i="46" s="1"/>
  <c r="X70" i="46"/>
  <c r="Z70" i="46"/>
  <c r="Y70" i="46" s="1"/>
  <c r="X96" i="46"/>
  <c r="Z96" i="46"/>
  <c r="Y96" i="46" s="1"/>
  <c r="X80" i="46"/>
  <c r="Z80" i="46"/>
  <c r="Y80" i="46" s="1"/>
  <c r="X118" i="46"/>
  <c r="Z118" i="46"/>
  <c r="Y118" i="46" s="1"/>
  <c r="X88" i="46"/>
  <c r="Z88" i="46"/>
  <c r="Y88" i="46" s="1"/>
  <c r="X53" i="46"/>
  <c r="Z53" i="46"/>
  <c r="Y53" i="46" s="1"/>
  <c r="X64" i="46"/>
  <c r="Z64" i="46"/>
  <c r="Y64" i="46" s="1"/>
  <c r="X94" i="46"/>
  <c r="Z94" i="46"/>
  <c r="Y94" i="46" s="1"/>
  <c r="X47" i="46"/>
  <c r="Z47" i="46"/>
  <c r="Y47" i="46" s="1"/>
  <c r="X75" i="46"/>
  <c r="Z75" i="46"/>
  <c r="Y75" i="46" s="1"/>
  <c r="X83" i="46"/>
  <c r="Z83" i="46"/>
  <c r="Y83" i="46" s="1"/>
  <c r="X119" i="46"/>
  <c r="Z119" i="46"/>
  <c r="Y119" i="46" s="1"/>
  <c r="X73" i="46"/>
  <c r="Z73" i="46"/>
  <c r="Y73" i="46" s="1"/>
  <c r="X81" i="46"/>
  <c r="Z81" i="46"/>
  <c r="Y81" i="46" s="1"/>
  <c r="X117" i="46"/>
  <c r="Z117" i="46"/>
  <c r="Y117" i="46" s="1"/>
  <c r="X116" i="46"/>
  <c r="Z116" i="46"/>
  <c r="Y116" i="46" s="1"/>
  <c r="X42" i="46"/>
  <c r="Z42" i="46"/>
  <c r="Y42" i="46" s="1"/>
  <c r="X66" i="46"/>
  <c r="Z66" i="46"/>
  <c r="Y66" i="46" s="1"/>
  <c r="X41" i="46"/>
  <c r="Z41" i="46"/>
  <c r="Y41" i="46" s="1"/>
  <c r="X102" i="46"/>
  <c r="Z102" i="46"/>
  <c r="Y102" i="46" s="1"/>
  <c r="X51" i="46"/>
  <c r="Z51" i="46"/>
  <c r="Y51" i="46" s="1"/>
  <c r="X71" i="46"/>
  <c r="Z71" i="46"/>
  <c r="Y71" i="46" s="1"/>
  <c r="X115" i="46"/>
  <c r="Z115" i="46"/>
  <c r="Y115" i="46" s="1"/>
  <c r="X77" i="46"/>
  <c r="Z77" i="46"/>
  <c r="Y77" i="46" s="1"/>
  <c r="N69" i="46"/>
  <c r="V69" i="46"/>
  <c r="Z69" i="46" s="1"/>
  <c r="Y69" i="46" s="1"/>
  <c r="X48" i="46"/>
  <c r="Z48" i="46"/>
  <c r="Y48" i="46" s="1"/>
  <c r="Z44" i="46"/>
  <c r="Y44" i="46" s="1"/>
  <c r="X44" i="46"/>
  <c r="X92" i="46"/>
  <c r="Z92" i="46"/>
  <c r="Y92" i="46" s="1"/>
  <c r="X57" i="46"/>
  <c r="Z57" i="46"/>
  <c r="Y57" i="46" s="1"/>
  <c r="X114" i="46"/>
  <c r="Z114" i="46"/>
  <c r="Y114" i="46" s="1"/>
  <c r="X49" i="46"/>
  <c r="Z49" i="46"/>
  <c r="Y49" i="46" s="1"/>
  <c r="X60" i="46"/>
  <c r="Z60" i="46"/>
  <c r="Y60" i="46" s="1"/>
  <c r="X90" i="46"/>
  <c r="Z90" i="46"/>
  <c r="Y90" i="46" s="1"/>
  <c r="X110" i="46"/>
  <c r="Z110" i="46"/>
  <c r="Y110" i="46" s="1"/>
  <c r="X63" i="46"/>
  <c r="Z63" i="46"/>
  <c r="Y63" i="46" s="1"/>
  <c r="X91" i="46"/>
  <c r="Z91" i="46"/>
  <c r="Y91" i="46" s="1"/>
  <c r="X107" i="46"/>
  <c r="Z107" i="46"/>
  <c r="Y107" i="46" s="1"/>
  <c r="Z61" i="46"/>
  <c r="Y61" i="46" s="1"/>
  <c r="X61" i="46"/>
  <c r="X89" i="46"/>
  <c r="Z89" i="46"/>
  <c r="Y89" i="46" s="1"/>
  <c r="X105" i="46"/>
  <c r="Z105" i="46"/>
  <c r="Y105" i="46" s="1"/>
  <c r="X120" i="46"/>
  <c r="Z120" i="46"/>
  <c r="Y120" i="46" s="1"/>
  <c r="N108" i="46"/>
  <c r="V108" i="46"/>
  <c r="Z108" i="46" s="1"/>
  <c r="Y108" i="46" s="1"/>
  <c r="V45" i="46"/>
  <c r="Z45" i="46" s="1"/>
  <c r="Y45" i="46" s="1"/>
  <c r="N45" i="46"/>
  <c r="X46" i="46"/>
  <c r="Z46" i="46"/>
  <c r="Y46" i="46" s="1"/>
  <c r="X50" i="46"/>
  <c r="Z50" i="46"/>
  <c r="Y50" i="46" s="1"/>
  <c r="V106" i="46"/>
  <c r="Z106" i="46" s="1"/>
  <c r="Y106" i="46" s="1"/>
  <c r="N106" i="46"/>
  <c r="V40" i="46"/>
  <c r="Z40" i="46" s="1"/>
  <c r="Y40" i="46" s="1"/>
  <c r="N40" i="46"/>
  <c r="N55" i="46"/>
  <c r="V55" i="46"/>
  <c r="Z55" i="46" s="1"/>
  <c r="Y55" i="46" s="1"/>
  <c r="N111" i="46"/>
  <c r="V111" i="46"/>
  <c r="Z111" i="46" s="1"/>
  <c r="Y111" i="46" s="1"/>
  <c r="N85" i="46"/>
  <c r="V85" i="46"/>
  <c r="Z85" i="46" s="1"/>
  <c r="Y85" i="46" s="1"/>
  <c r="X74" i="46"/>
  <c r="Z74" i="46"/>
  <c r="Y74" i="46" s="1"/>
  <c r="X78" i="46"/>
  <c r="Z78" i="46"/>
  <c r="Y78" i="46" s="1"/>
  <c r="X122" i="46"/>
  <c r="Z122" i="46"/>
  <c r="Y122" i="46" s="1"/>
  <c r="X100" i="46"/>
  <c r="Z100" i="46"/>
  <c r="Y100" i="46" s="1"/>
  <c r="X84" i="46"/>
  <c r="Z84" i="46"/>
  <c r="Y84" i="46" s="1"/>
  <c r="X52" i="46"/>
  <c r="Z52" i="46"/>
  <c r="Y52" i="46" s="1"/>
  <c r="X58" i="46"/>
  <c r="Z58" i="46"/>
  <c r="Y58" i="46" s="1"/>
  <c r="X68" i="46"/>
  <c r="Z68" i="46"/>
  <c r="Y68" i="46" s="1"/>
  <c r="X98" i="46"/>
  <c r="Z98" i="46"/>
  <c r="Y98" i="46" s="1"/>
  <c r="X59" i="46"/>
  <c r="Z59" i="46"/>
  <c r="Y59" i="46" s="1"/>
  <c r="X67" i="46"/>
  <c r="Z67" i="46"/>
  <c r="Y67" i="46" s="1"/>
  <c r="X87" i="46"/>
  <c r="Z87" i="46"/>
  <c r="Y87" i="46" s="1"/>
  <c r="X95" i="46"/>
  <c r="Z95" i="46"/>
  <c r="Y95" i="46" s="1"/>
  <c r="X103" i="46"/>
  <c r="Z103" i="46"/>
  <c r="Y103" i="46" s="1"/>
  <c r="X65" i="46"/>
  <c r="Z65" i="46"/>
  <c r="Y65" i="46" s="1"/>
  <c r="X93" i="46"/>
  <c r="Z93" i="46"/>
  <c r="Y93" i="46" s="1"/>
  <c r="X101" i="46"/>
  <c r="Z101" i="46"/>
  <c r="Y101" i="46" s="1"/>
  <c r="X109" i="46"/>
  <c r="Z109" i="46"/>
  <c r="Y109" i="46" s="1"/>
  <c r="AE39" i="46"/>
  <c r="Q39" i="46"/>
  <c r="R10" i="47" l="1"/>
  <c r="R9" i="47"/>
  <c r="R8" i="47"/>
  <c r="R7" i="47"/>
  <c r="R6" i="47"/>
  <c r="R5" i="47"/>
  <c r="R4" i="47"/>
  <c r="AM3" i="47" l="1"/>
  <c r="O96" i="52"/>
  <c r="A507" i="44" l="1"/>
  <c r="A26" i="45"/>
  <c r="A139" i="46"/>
  <c r="A6" i="35" l="1"/>
  <c r="C3" i="16" s="1"/>
  <c r="BE8" i="52" l="1"/>
  <c r="G100" i="52" l="1"/>
  <c r="R3" i="47" l="1"/>
  <c r="P1" i="63" l="1"/>
  <c r="L46" i="35"/>
  <c r="M46" i="35" l="1"/>
  <c r="N46" i="35"/>
  <c r="L47" i="35"/>
  <c r="N47" i="35" s="1"/>
  <c r="L48" i="35"/>
  <c r="N48" i="35" s="1"/>
  <c r="I56" i="35"/>
  <c r="M48" i="35" l="1"/>
  <c r="M47" i="35"/>
  <c r="K1" i="63"/>
  <c r="F1" i="63"/>
  <c r="A1" i="63"/>
  <c r="AF100" i="52" l="1"/>
  <c r="B72" i="35"/>
  <c r="F26" i="46" l="1"/>
  <c r="L51" i="35" l="1"/>
  <c r="I51" i="35"/>
  <c r="K48" i="35"/>
  <c r="J48" i="35"/>
  <c r="K47" i="35"/>
  <c r="J47" i="35"/>
  <c r="K46" i="35"/>
  <c r="K51" i="35" s="1"/>
  <c r="J46" i="35"/>
  <c r="J51" i="35" s="1"/>
  <c r="N51" i="35"/>
  <c r="M51" i="35"/>
  <c r="BD37" i="52" l="1"/>
  <c r="H56" i="35" l="1"/>
  <c r="G56" i="35"/>
  <c r="G48" i="35"/>
  <c r="G47" i="35"/>
  <c r="G46" i="35"/>
  <c r="F51" i="35"/>
  <c r="E51" i="35"/>
  <c r="H48" i="35"/>
  <c r="H47" i="35"/>
  <c r="H46" i="35"/>
  <c r="G51" i="35" l="1"/>
  <c r="H51" i="35"/>
  <c r="AE124" i="46"/>
  <c r="R132" i="52" l="1"/>
  <c r="R130" i="52"/>
  <c r="R128" i="52"/>
  <c r="AD124" i="52"/>
  <c r="AR16" i="35" l="1"/>
  <c r="A2" i="46" l="1"/>
  <c r="L124" i="46" l="1"/>
  <c r="Q124" i="46"/>
  <c r="AA124" i="46" s="1"/>
  <c r="X124" i="46"/>
  <c r="V124" i="46"/>
  <c r="Y124" i="46"/>
  <c r="AC124" i="46"/>
  <c r="G22" i="46"/>
  <c r="G21" i="46"/>
  <c r="F22" i="46"/>
  <c r="F21" i="46"/>
  <c r="C16" i="46"/>
  <c r="B16" i="46"/>
  <c r="C15" i="46"/>
  <c r="B15" i="46"/>
  <c r="AS6" i="35"/>
  <c r="AR6" i="35"/>
  <c r="AG124" i="46" l="1"/>
  <c r="S124" i="46"/>
  <c r="O124" i="46"/>
  <c r="N124" i="46"/>
  <c r="M124" i="46" l="1"/>
  <c r="D300" i="47"/>
  <c r="A300" i="47"/>
  <c r="D299" i="47"/>
  <c r="A299" i="47"/>
  <c r="D298" i="47"/>
  <c r="A298" i="47"/>
  <c r="D297" i="47"/>
  <c r="A297" i="47"/>
  <c r="D296" i="47"/>
  <c r="A296" i="47"/>
  <c r="D295" i="47"/>
  <c r="A295" i="47"/>
  <c r="D294" i="47"/>
  <c r="A294" i="47"/>
  <c r="D293" i="47"/>
  <c r="A293" i="47"/>
  <c r="D292" i="47"/>
  <c r="A292" i="47"/>
  <c r="D291" i="47"/>
  <c r="A291" i="47"/>
  <c r="D290" i="47"/>
  <c r="A290" i="47"/>
  <c r="D289" i="47"/>
  <c r="A289" i="47"/>
  <c r="D288" i="47"/>
  <c r="A288" i="47"/>
  <c r="D287" i="47"/>
  <c r="A287" i="47"/>
  <c r="D286" i="47"/>
  <c r="A286" i="47"/>
  <c r="D285" i="47"/>
  <c r="A285" i="47"/>
  <c r="D284" i="47"/>
  <c r="A284" i="47"/>
  <c r="D283" i="47"/>
  <c r="A283" i="47"/>
  <c r="D282" i="47"/>
  <c r="A282" i="47"/>
  <c r="D281" i="47"/>
  <c r="A281" i="47"/>
  <c r="D280" i="47"/>
  <c r="A280" i="47"/>
  <c r="D279" i="47"/>
  <c r="A279" i="47"/>
  <c r="D278" i="47"/>
  <c r="A278" i="47"/>
  <c r="D277" i="47"/>
  <c r="A277" i="47"/>
  <c r="D276" i="47"/>
  <c r="A276" i="47"/>
  <c r="D275" i="47"/>
  <c r="A275" i="47"/>
  <c r="D274" i="47"/>
  <c r="A274" i="47"/>
  <c r="D273" i="47"/>
  <c r="A273" i="47"/>
  <c r="D272" i="47"/>
  <c r="A272" i="47"/>
  <c r="D271" i="47"/>
  <c r="A271" i="47"/>
  <c r="D270" i="47"/>
  <c r="A270" i="47"/>
  <c r="D269" i="47"/>
  <c r="A269" i="47"/>
  <c r="D268" i="47"/>
  <c r="A268" i="47"/>
  <c r="D267" i="47"/>
  <c r="A267" i="47"/>
  <c r="D266" i="47"/>
  <c r="A266" i="47"/>
  <c r="D265" i="47"/>
  <c r="A265" i="47"/>
  <c r="D264" i="47"/>
  <c r="A264" i="47"/>
  <c r="D263" i="47"/>
  <c r="A263" i="47"/>
  <c r="D262" i="47"/>
  <c r="A262" i="47"/>
  <c r="D261" i="47"/>
  <c r="A261" i="47"/>
  <c r="D260" i="47"/>
  <c r="A260" i="47"/>
  <c r="D259" i="47"/>
  <c r="A259" i="47"/>
  <c r="D258" i="47"/>
  <c r="A258" i="47"/>
  <c r="D257" i="47"/>
  <c r="A257" i="47"/>
  <c r="D256" i="47"/>
  <c r="A256" i="47"/>
  <c r="D255" i="47"/>
  <c r="A255" i="47"/>
  <c r="D254" i="47"/>
  <c r="A254" i="47"/>
  <c r="D253" i="47"/>
  <c r="A253" i="47"/>
  <c r="D252" i="47"/>
  <c r="A252" i="47"/>
  <c r="D251" i="47"/>
  <c r="A251" i="47"/>
  <c r="D250" i="47"/>
  <c r="A250" i="47"/>
  <c r="D249" i="47"/>
  <c r="A249" i="47"/>
  <c r="D248" i="47"/>
  <c r="A248" i="47"/>
  <c r="D247" i="47"/>
  <c r="A247" i="47"/>
  <c r="D246" i="47"/>
  <c r="A246" i="47"/>
  <c r="D245" i="47"/>
  <c r="A245" i="47"/>
  <c r="D244" i="47"/>
  <c r="A244" i="47"/>
  <c r="D243" i="47"/>
  <c r="A243" i="47"/>
  <c r="D242" i="47"/>
  <c r="A242" i="47"/>
  <c r="D241" i="47"/>
  <c r="A241" i="47"/>
  <c r="D240" i="47"/>
  <c r="A240" i="47"/>
  <c r="D239" i="47"/>
  <c r="A239" i="47"/>
  <c r="D238" i="47"/>
  <c r="A238" i="47"/>
  <c r="D237" i="47"/>
  <c r="A237" i="47"/>
  <c r="D236" i="47"/>
  <c r="A236" i="47"/>
  <c r="D235" i="47"/>
  <c r="A235" i="47"/>
  <c r="D234" i="47"/>
  <c r="A234" i="47"/>
  <c r="D233" i="47"/>
  <c r="A233" i="47"/>
  <c r="D232" i="47"/>
  <c r="A232" i="47"/>
  <c r="D231" i="47"/>
  <c r="A231" i="47"/>
  <c r="D230" i="47"/>
  <c r="A230" i="47"/>
  <c r="D229" i="47"/>
  <c r="A229" i="47"/>
  <c r="D228" i="47"/>
  <c r="A228" i="47"/>
  <c r="D227" i="47"/>
  <c r="A227" i="47"/>
  <c r="D226" i="47"/>
  <c r="A226" i="47"/>
  <c r="D225" i="47"/>
  <c r="A225" i="47"/>
  <c r="D224" i="47"/>
  <c r="A224" i="47"/>
  <c r="D223" i="47"/>
  <c r="A223" i="47"/>
  <c r="D222" i="47"/>
  <c r="A222" i="47"/>
  <c r="D221" i="47"/>
  <c r="A221" i="47"/>
  <c r="D220" i="47"/>
  <c r="A220" i="47"/>
  <c r="D219" i="47"/>
  <c r="A219" i="47"/>
  <c r="D218" i="47"/>
  <c r="A218" i="47"/>
  <c r="D217" i="47"/>
  <c r="A217" i="47"/>
  <c r="D216" i="47"/>
  <c r="A216" i="47"/>
  <c r="D215" i="47"/>
  <c r="A215" i="47"/>
  <c r="D214" i="47"/>
  <c r="A214" i="47"/>
  <c r="D213" i="47"/>
  <c r="A213" i="47"/>
  <c r="D212" i="47"/>
  <c r="A212" i="47"/>
  <c r="D211" i="47"/>
  <c r="A211" i="47"/>
  <c r="D210" i="47"/>
  <c r="A210" i="47"/>
  <c r="D209" i="47"/>
  <c r="A209" i="47"/>
  <c r="D208" i="47"/>
  <c r="A208" i="47"/>
  <c r="D207" i="47"/>
  <c r="A207" i="47"/>
  <c r="D206" i="47"/>
  <c r="A206" i="47"/>
  <c r="D205" i="47"/>
  <c r="A205" i="47"/>
  <c r="D204" i="47"/>
  <c r="A204" i="47"/>
  <c r="D203" i="47"/>
  <c r="A203" i="47"/>
  <c r="D202" i="47"/>
  <c r="A202" i="47"/>
  <c r="D201" i="47"/>
  <c r="A201" i="47"/>
  <c r="D200" i="47"/>
  <c r="A200" i="47"/>
  <c r="D199" i="47"/>
  <c r="A199" i="47"/>
  <c r="D198" i="47"/>
  <c r="A198" i="47"/>
  <c r="D197" i="47"/>
  <c r="A197" i="47"/>
  <c r="D196" i="47"/>
  <c r="A196" i="47"/>
  <c r="D195" i="47"/>
  <c r="A195" i="47"/>
  <c r="D194" i="47"/>
  <c r="A194" i="47"/>
  <c r="D193" i="47"/>
  <c r="A193" i="47"/>
  <c r="D192" i="47"/>
  <c r="A192" i="47"/>
  <c r="D191" i="47"/>
  <c r="A191" i="47"/>
  <c r="D190" i="47"/>
  <c r="A190" i="47"/>
  <c r="D189" i="47"/>
  <c r="A189" i="47"/>
  <c r="D188" i="47"/>
  <c r="A188" i="47"/>
  <c r="D187" i="47"/>
  <c r="A187" i="47"/>
  <c r="D186" i="47"/>
  <c r="A186" i="47"/>
  <c r="D185" i="47"/>
  <c r="A185" i="47"/>
  <c r="D184" i="47"/>
  <c r="A184" i="47"/>
  <c r="D183" i="47"/>
  <c r="A183" i="47"/>
  <c r="D182" i="47"/>
  <c r="A182" i="47"/>
  <c r="D181" i="47"/>
  <c r="A181" i="47"/>
  <c r="D180" i="47"/>
  <c r="A180" i="47"/>
  <c r="D179" i="47"/>
  <c r="A179" i="47"/>
  <c r="D178" i="47"/>
  <c r="A178" i="47"/>
  <c r="D177" i="47"/>
  <c r="A177" i="47"/>
  <c r="D176" i="47"/>
  <c r="A176" i="47"/>
  <c r="D175" i="47"/>
  <c r="A175" i="47"/>
  <c r="D174" i="47"/>
  <c r="A174" i="47"/>
  <c r="D173" i="47"/>
  <c r="A173" i="47"/>
  <c r="D172" i="47"/>
  <c r="A172" i="47"/>
  <c r="D171" i="47"/>
  <c r="A171" i="47"/>
  <c r="D170" i="47"/>
  <c r="A170" i="47"/>
  <c r="D169" i="47"/>
  <c r="A169" i="47"/>
  <c r="D168" i="47"/>
  <c r="A168" i="47"/>
  <c r="D167" i="47"/>
  <c r="A167" i="47"/>
  <c r="D166" i="47"/>
  <c r="A166" i="47"/>
  <c r="D165" i="47"/>
  <c r="A165" i="47"/>
  <c r="D164" i="47"/>
  <c r="A164" i="47"/>
  <c r="D163" i="47"/>
  <c r="A163" i="47"/>
  <c r="D162" i="47"/>
  <c r="A162" i="47"/>
  <c r="D161" i="47"/>
  <c r="A161" i="47"/>
  <c r="D160" i="47"/>
  <c r="A160" i="47"/>
  <c r="D159" i="47"/>
  <c r="A159" i="47"/>
  <c r="D158" i="47"/>
  <c r="A158" i="47"/>
  <c r="D157" i="47"/>
  <c r="A157" i="47"/>
  <c r="D156" i="47"/>
  <c r="A156" i="47"/>
  <c r="D155" i="47"/>
  <c r="A155" i="47"/>
  <c r="D154" i="47"/>
  <c r="A154" i="47"/>
  <c r="D153" i="47"/>
  <c r="A153" i="47"/>
  <c r="D152" i="47"/>
  <c r="A152" i="47"/>
  <c r="D151" i="47"/>
  <c r="A151" i="47"/>
  <c r="D150" i="47"/>
  <c r="A150" i="47"/>
  <c r="D149" i="47"/>
  <c r="A149" i="47"/>
  <c r="D148" i="47"/>
  <c r="A148" i="47"/>
  <c r="D147" i="47"/>
  <c r="A147" i="47"/>
  <c r="D146" i="47"/>
  <c r="A146" i="47"/>
  <c r="D145" i="47"/>
  <c r="A145" i="47"/>
  <c r="D144" i="47"/>
  <c r="A144" i="47"/>
  <c r="D143" i="47"/>
  <c r="A143" i="47"/>
  <c r="D142" i="47"/>
  <c r="A142" i="47"/>
  <c r="D141" i="47"/>
  <c r="A141" i="47"/>
  <c r="D140" i="47"/>
  <c r="A140" i="47"/>
  <c r="D139" i="47"/>
  <c r="A139" i="47"/>
  <c r="D138" i="47"/>
  <c r="A138" i="47"/>
  <c r="D137" i="47"/>
  <c r="A137" i="47"/>
  <c r="D136" i="47"/>
  <c r="A136" i="47"/>
  <c r="D135" i="47"/>
  <c r="A135" i="47"/>
  <c r="D134" i="47"/>
  <c r="A134" i="47"/>
  <c r="D133" i="47"/>
  <c r="A133" i="47"/>
  <c r="D132" i="47"/>
  <c r="A132" i="47"/>
  <c r="D131" i="47"/>
  <c r="A131" i="47"/>
  <c r="D130" i="47"/>
  <c r="A130" i="47"/>
  <c r="D129" i="47"/>
  <c r="A129" i="47"/>
  <c r="D128" i="47"/>
  <c r="A128" i="47"/>
  <c r="D127" i="47"/>
  <c r="A127" i="47"/>
  <c r="D126" i="47"/>
  <c r="A126" i="47"/>
  <c r="D125" i="47"/>
  <c r="A125" i="47"/>
  <c r="D124" i="47"/>
  <c r="A124" i="47"/>
  <c r="D123" i="47"/>
  <c r="A123" i="47"/>
  <c r="D122" i="47"/>
  <c r="A122" i="47"/>
  <c r="D121" i="47"/>
  <c r="A121" i="47"/>
  <c r="D120" i="47"/>
  <c r="A120" i="47"/>
  <c r="D119" i="47"/>
  <c r="A119" i="47"/>
  <c r="D118" i="47"/>
  <c r="A118" i="47"/>
  <c r="D117" i="47"/>
  <c r="A117" i="47"/>
  <c r="D116" i="47"/>
  <c r="A116" i="47"/>
  <c r="D115" i="47"/>
  <c r="A115" i="47"/>
  <c r="D114" i="47"/>
  <c r="A114" i="47"/>
  <c r="D113" i="47"/>
  <c r="A113" i="47"/>
  <c r="D112" i="47"/>
  <c r="A112" i="47"/>
  <c r="D111" i="47"/>
  <c r="A111" i="47"/>
  <c r="D110" i="47"/>
  <c r="A110" i="47"/>
  <c r="D109" i="47"/>
  <c r="A109" i="47"/>
  <c r="D108" i="47"/>
  <c r="A108" i="47"/>
  <c r="D107" i="47"/>
  <c r="A107" i="47"/>
  <c r="D106" i="47"/>
  <c r="A106" i="47"/>
  <c r="D105" i="47"/>
  <c r="A105" i="47"/>
  <c r="D104" i="47"/>
  <c r="A104" i="47"/>
  <c r="D103" i="47"/>
  <c r="A103" i="47"/>
  <c r="D102" i="47"/>
  <c r="A102" i="47"/>
  <c r="D101" i="47"/>
  <c r="A101" i="47"/>
  <c r="D100" i="47"/>
  <c r="A100" i="47"/>
  <c r="D99" i="47"/>
  <c r="A99" i="47"/>
  <c r="D98" i="47"/>
  <c r="A98" i="47"/>
  <c r="D97" i="47"/>
  <c r="A97" i="47"/>
  <c r="D96" i="47"/>
  <c r="A96" i="47"/>
  <c r="D95" i="47"/>
  <c r="A95" i="47"/>
  <c r="D94" i="47"/>
  <c r="A94" i="47"/>
  <c r="D93" i="47"/>
  <c r="A93" i="47"/>
  <c r="D92" i="47"/>
  <c r="A92" i="47"/>
  <c r="D91" i="47"/>
  <c r="A91" i="47"/>
  <c r="D90" i="47"/>
  <c r="A90" i="47"/>
  <c r="D89" i="47"/>
  <c r="A89" i="47"/>
  <c r="D88" i="47"/>
  <c r="A88" i="47"/>
  <c r="D87" i="47"/>
  <c r="A87" i="47"/>
  <c r="D86" i="47"/>
  <c r="A86" i="47"/>
  <c r="D85" i="47"/>
  <c r="A85" i="47"/>
  <c r="D84" i="47"/>
  <c r="A84" i="47"/>
  <c r="D83" i="47"/>
  <c r="A83" i="47"/>
  <c r="D82" i="47"/>
  <c r="A82" i="47"/>
  <c r="D81" i="47"/>
  <c r="A81" i="47"/>
  <c r="D80" i="47"/>
  <c r="A80" i="47"/>
  <c r="D79" i="47"/>
  <c r="A79" i="47"/>
  <c r="D78" i="47"/>
  <c r="A78" i="47"/>
  <c r="D77" i="47"/>
  <c r="A77" i="47"/>
  <c r="D76" i="47"/>
  <c r="A76" i="47"/>
  <c r="D75" i="47"/>
  <c r="A75" i="47"/>
  <c r="D74" i="47"/>
  <c r="A74" i="47"/>
  <c r="D73" i="47"/>
  <c r="A73" i="47"/>
  <c r="D72" i="47"/>
  <c r="A72" i="47"/>
  <c r="D71" i="47"/>
  <c r="A71" i="47"/>
  <c r="D70" i="47"/>
  <c r="A70" i="47"/>
  <c r="D69" i="47"/>
  <c r="A69" i="47"/>
  <c r="D68" i="47"/>
  <c r="A68" i="47"/>
  <c r="D67" i="47"/>
  <c r="A67" i="47"/>
  <c r="D66" i="47"/>
  <c r="A66" i="47"/>
  <c r="D65" i="47"/>
  <c r="A65" i="47"/>
  <c r="D64" i="47"/>
  <c r="A64" i="47"/>
  <c r="D63" i="47"/>
  <c r="A63" i="47"/>
  <c r="D62" i="47"/>
  <c r="A62" i="47"/>
  <c r="D61" i="47"/>
  <c r="A61" i="47"/>
  <c r="D60" i="47"/>
  <c r="A60" i="47"/>
  <c r="D59" i="47"/>
  <c r="A59" i="47"/>
  <c r="D58" i="47"/>
  <c r="A58" i="47"/>
  <c r="D57" i="47"/>
  <c r="A57" i="47"/>
  <c r="D56" i="47"/>
  <c r="A56" i="47"/>
  <c r="D55" i="47"/>
  <c r="A55" i="47"/>
  <c r="D54" i="47"/>
  <c r="A54" i="47"/>
  <c r="D53" i="47"/>
  <c r="A53" i="47"/>
  <c r="D52" i="47"/>
  <c r="A52" i="47"/>
  <c r="D51" i="47"/>
  <c r="A51" i="47"/>
  <c r="D50" i="47"/>
  <c r="A50" i="47"/>
  <c r="D49" i="47"/>
  <c r="A49" i="47"/>
  <c r="D48" i="47"/>
  <c r="A48" i="47"/>
  <c r="D47" i="47"/>
  <c r="A47" i="47"/>
  <c r="D46" i="47"/>
  <c r="A46" i="47"/>
  <c r="D45" i="47"/>
  <c r="A45" i="47"/>
  <c r="D44" i="47"/>
  <c r="A44" i="47"/>
  <c r="D43" i="47"/>
  <c r="A43" i="47"/>
  <c r="D42" i="47"/>
  <c r="A42" i="47"/>
  <c r="D41" i="47"/>
  <c r="A41" i="47"/>
  <c r="D40" i="47"/>
  <c r="A40" i="47"/>
  <c r="D39" i="47"/>
  <c r="A39" i="47"/>
  <c r="D38" i="47"/>
  <c r="A38" i="47"/>
  <c r="D37" i="47"/>
  <c r="A37" i="47"/>
  <c r="D36" i="47"/>
  <c r="A36" i="47"/>
  <c r="D35" i="47"/>
  <c r="A35" i="47"/>
  <c r="D34" i="47"/>
  <c r="A34" i="47"/>
  <c r="D33" i="47"/>
  <c r="A33" i="47"/>
  <c r="D32" i="47"/>
  <c r="A32" i="47"/>
  <c r="D31" i="47"/>
  <c r="A31" i="47"/>
  <c r="D30" i="47"/>
  <c r="A30" i="47"/>
  <c r="D29" i="47"/>
  <c r="A29" i="47"/>
  <c r="D28" i="47"/>
  <c r="A28" i="47"/>
  <c r="D27" i="47"/>
  <c r="A27" i="47"/>
  <c r="D26" i="47"/>
  <c r="A26" i="47"/>
  <c r="D25" i="47"/>
  <c r="A25" i="47"/>
  <c r="D24" i="47"/>
  <c r="A24" i="47"/>
  <c r="D23" i="47"/>
  <c r="A23" i="47"/>
  <c r="D22" i="47"/>
  <c r="A22" i="47"/>
  <c r="D21" i="47"/>
  <c r="A21" i="47"/>
  <c r="D20" i="47"/>
  <c r="A20" i="47"/>
  <c r="D19" i="47"/>
  <c r="A19" i="47"/>
  <c r="D18" i="47"/>
  <c r="A18" i="47"/>
  <c r="D17" i="47"/>
  <c r="A17" i="47"/>
  <c r="D16" i="47"/>
  <c r="A16" i="47"/>
  <c r="D15" i="47"/>
  <c r="A15" i="47"/>
  <c r="D14" i="47"/>
  <c r="A14" i="47"/>
  <c r="D13" i="47"/>
  <c r="A13" i="47"/>
  <c r="D12" i="47"/>
  <c r="A12" i="47"/>
  <c r="D11" i="47"/>
  <c r="A11" i="47"/>
  <c r="D10" i="47"/>
  <c r="A10" i="47"/>
  <c r="D9" i="47"/>
  <c r="A9" i="47"/>
  <c r="D8" i="47"/>
  <c r="A8" i="47"/>
  <c r="D7" i="47"/>
  <c r="A7" i="47"/>
  <c r="D6" i="47"/>
  <c r="A6" i="47"/>
  <c r="D5" i="47"/>
  <c r="A5" i="47"/>
  <c r="D4" i="47"/>
  <c r="A4" i="47"/>
  <c r="Q104" i="46" l="1"/>
  <c r="Q100" i="46"/>
  <c r="Q96" i="46"/>
  <c r="Q92" i="46"/>
  <c r="Q88" i="46"/>
  <c r="Q84" i="46"/>
  <c r="Q80" i="46"/>
  <c r="Q76" i="46"/>
  <c r="Q72" i="46"/>
  <c r="Q68" i="46"/>
  <c r="Q64" i="46"/>
  <c r="Q60" i="46"/>
  <c r="Q122" i="46"/>
  <c r="Q118" i="46"/>
  <c r="Q114" i="46"/>
  <c r="Q110" i="46"/>
  <c r="Q56" i="46"/>
  <c r="Q117" i="46"/>
  <c r="Q113" i="46"/>
  <c r="AE107" i="46"/>
  <c r="AG107" i="46" s="1"/>
  <c r="AE103" i="46"/>
  <c r="AG103" i="46" s="1"/>
  <c r="AE99" i="46"/>
  <c r="AG99" i="46" s="1"/>
  <c r="AE95" i="46"/>
  <c r="AG95" i="46" s="1"/>
  <c r="AE91" i="46"/>
  <c r="AG91" i="46" s="1"/>
  <c r="AE87" i="46"/>
  <c r="AG87" i="46" s="1"/>
  <c r="Q83" i="46"/>
  <c r="Q79" i="46"/>
  <c r="Q75" i="46"/>
  <c r="Q71" i="46"/>
  <c r="AE65" i="46"/>
  <c r="AG65" i="46" s="1"/>
  <c r="Q57" i="46"/>
  <c r="AE54" i="46"/>
  <c r="AG54" i="46" s="1"/>
  <c r="AE61" i="46"/>
  <c r="AG61" i="46" s="1"/>
  <c r="Q59" i="46"/>
  <c r="Q55" i="46"/>
  <c r="Q65" i="46"/>
  <c r="Q48" i="46"/>
  <c r="AE46" i="46"/>
  <c r="AG46" i="46" s="1"/>
  <c r="AE58" i="46"/>
  <c r="AG58" i="46" s="1"/>
  <c r="Q44" i="46"/>
  <c r="AE53" i="46"/>
  <c r="AG53" i="46" s="1"/>
  <c r="Q52" i="46"/>
  <c r="AE50" i="46"/>
  <c r="AG50" i="46" s="1"/>
  <c r="AE41" i="46"/>
  <c r="AG41" i="46" s="1"/>
  <c r="AE119" i="46"/>
  <c r="AG119" i="46" s="1"/>
  <c r="Q91" i="46"/>
  <c r="AE69" i="46"/>
  <c r="AG69" i="46" s="1"/>
  <c r="AE115" i="46"/>
  <c r="AG115" i="46" s="1"/>
  <c r="Q103" i="46"/>
  <c r="Q95" i="46"/>
  <c r="Q87" i="46"/>
  <c r="AE81" i="46"/>
  <c r="AG81" i="46" s="1"/>
  <c r="AE73" i="46"/>
  <c r="AG73" i="46" s="1"/>
  <c r="AE42" i="46"/>
  <c r="AG42" i="46" s="1"/>
  <c r="Q61" i="46"/>
  <c r="AE40" i="46"/>
  <c r="AG40" i="46" s="1"/>
  <c r="Q121" i="46"/>
  <c r="AE111" i="46"/>
  <c r="AG111" i="46" s="1"/>
  <c r="Q107" i="46"/>
  <c r="Q99" i="46"/>
  <c r="AE77" i="46"/>
  <c r="AG77" i="46" s="1"/>
  <c r="AE49" i="46"/>
  <c r="AG49" i="46" s="1"/>
  <c r="AE43" i="46"/>
  <c r="AG43" i="46" s="1"/>
  <c r="AE47" i="46"/>
  <c r="AG47" i="46" s="1"/>
  <c r="Q101" i="46"/>
  <c r="Q69" i="46"/>
  <c r="Q111" i="46"/>
  <c r="AE59" i="46"/>
  <c r="AG59" i="46" s="1"/>
  <c r="AE75" i="46"/>
  <c r="AG75" i="46" s="1"/>
  <c r="Q115" i="46"/>
  <c r="Q85" i="46"/>
  <c r="AE45" i="46"/>
  <c r="AG45" i="46" s="1"/>
  <c r="AE51" i="46"/>
  <c r="AG51" i="46" s="1"/>
  <c r="AE84" i="46"/>
  <c r="AG84" i="46" s="1"/>
  <c r="Q97" i="46"/>
  <c r="Q58" i="46"/>
  <c r="Q42" i="46"/>
  <c r="Q50" i="46"/>
  <c r="AE74" i="46"/>
  <c r="AG74" i="46" s="1"/>
  <c r="Q116" i="46"/>
  <c r="Q123" i="46"/>
  <c r="AE94" i="46"/>
  <c r="AG94" i="46" s="1"/>
  <c r="AE110" i="46"/>
  <c r="AG110" i="46" s="1"/>
  <c r="AE92" i="46"/>
  <c r="AG92" i="46" s="1"/>
  <c r="Q108" i="46"/>
  <c r="Q74" i="46"/>
  <c r="Q90" i="46"/>
  <c r="Q106" i="46"/>
  <c r="AE120" i="46"/>
  <c r="AG120" i="46" s="1"/>
  <c r="Q43" i="46"/>
  <c r="Q47" i="46"/>
  <c r="Q40" i="46"/>
  <c r="AE71" i="46"/>
  <c r="AG71" i="46" s="1"/>
  <c r="AE113" i="46"/>
  <c r="AG113" i="46" s="1"/>
  <c r="AE67" i="46"/>
  <c r="AG67" i="46" s="1"/>
  <c r="AE83" i="46"/>
  <c r="AG83" i="46" s="1"/>
  <c r="AE57" i="46"/>
  <c r="AG57" i="46" s="1"/>
  <c r="AE93" i="46"/>
  <c r="AG93" i="46" s="1"/>
  <c r="Q49" i="46"/>
  <c r="Q51" i="46"/>
  <c r="AE89" i="46"/>
  <c r="AG89" i="46" s="1"/>
  <c r="AE105" i="46"/>
  <c r="AG105" i="46" s="1"/>
  <c r="AE64" i="46"/>
  <c r="AG64" i="46" s="1"/>
  <c r="AE44" i="46"/>
  <c r="AG44" i="46" s="1"/>
  <c r="AE52" i="46"/>
  <c r="AG52" i="46" s="1"/>
  <c r="AE78" i="46"/>
  <c r="AG78" i="46" s="1"/>
  <c r="Q120" i="46"/>
  <c r="AE56" i="46"/>
  <c r="AG56" i="46" s="1"/>
  <c r="AE98" i="46"/>
  <c r="AG98" i="46" s="1"/>
  <c r="AE62" i="46"/>
  <c r="AG62" i="46" s="1"/>
  <c r="AE96" i="46"/>
  <c r="AG96" i="46" s="1"/>
  <c r="Q62" i="46"/>
  <c r="Q78" i="46"/>
  <c r="Q94" i="46"/>
  <c r="AE108" i="46"/>
  <c r="AG108" i="46" s="1"/>
  <c r="AE123" i="46"/>
  <c r="AG123" i="46" s="1"/>
  <c r="Q81" i="46"/>
  <c r="AE63" i="46"/>
  <c r="AG63" i="46" s="1"/>
  <c r="Q119" i="46"/>
  <c r="AE109" i="46"/>
  <c r="AG109" i="46" s="1"/>
  <c r="Q93" i="46"/>
  <c r="Q53" i="46"/>
  <c r="Q105" i="46"/>
  <c r="Q46" i="46"/>
  <c r="AE82" i="46"/>
  <c r="AG82" i="46" s="1"/>
  <c r="AE60" i="46"/>
  <c r="AG60" i="46" s="1"/>
  <c r="AE66" i="46"/>
  <c r="AG66" i="46" s="1"/>
  <c r="Q66" i="46"/>
  <c r="Q98" i="46"/>
  <c r="AE80" i="46"/>
  <c r="AG80" i="46" s="1"/>
  <c r="Q77" i="46"/>
  <c r="Q67" i="46"/>
  <c r="AE72" i="46"/>
  <c r="AG72" i="46" s="1"/>
  <c r="AE55" i="46"/>
  <c r="AG55" i="46" s="1"/>
  <c r="Q89" i="46"/>
  <c r="AE86" i="46"/>
  <c r="AG86" i="46" s="1"/>
  <c r="Q54" i="46"/>
  <c r="AE121" i="46"/>
  <c r="AG121" i="46" s="1"/>
  <c r="AE102" i="46"/>
  <c r="AG102" i="46" s="1"/>
  <c r="AE100" i="46"/>
  <c r="AG100" i="46" s="1"/>
  <c r="Q82" i="46"/>
  <c r="AE112" i="46"/>
  <c r="AG112" i="46" s="1"/>
  <c r="AE101" i="46"/>
  <c r="AG101" i="46" s="1"/>
  <c r="AE79" i="46"/>
  <c r="AG79" i="46" s="1"/>
  <c r="Q73" i="46"/>
  <c r="AE85" i="46"/>
  <c r="AG85" i="46" s="1"/>
  <c r="Q41" i="46"/>
  <c r="AE97" i="46"/>
  <c r="AG97" i="46" s="1"/>
  <c r="AE90" i="46"/>
  <c r="AG90" i="46" s="1"/>
  <c r="AE70" i="46"/>
  <c r="AG70" i="46" s="1"/>
  <c r="AE122" i="46"/>
  <c r="AG122" i="46" s="1"/>
  <c r="AE106" i="46"/>
  <c r="AG106" i="46" s="1"/>
  <c r="AE104" i="46"/>
  <c r="AG104" i="46" s="1"/>
  <c r="Q86" i="46"/>
  <c r="AE116" i="46"/>
  <c r="AG116" i="46" s="1"/>
  <c r="AE117" i="46"/>
  <c r="AG117" i="46" s="1"/>
  <c r="Q63" i="46"/>
  <c r="Q45" i="46"/>
  <c r="Q109" i="46"/>
  <c r="AE114" i="46"/>
  <c r="AG114" i="46" s="1"/>
  <c r="AE76" i="46"/>
  <c r="AG76" i="46" s="1"/>
  <c r="AE118" i="46"/>
  <c r="AG118" i="46" s="1"/>
  <c r="AE48" i="46"/>
  <c r="AG48" i="46" s="1"/>
  <c r="Q112" i="46"/>
  <c r="AE68" i="46"/>
  <c r="AG68" i="46" s="1"/>
  <c r="AE88" i="46"/>
  <c r="AG88" i="46" s="1"/>
  <c r="Q70" i="46"/>
  <c r="Q102" i="46"/>
  <c r="L39" i="46"/>
  <c r="AA102" i="46" l="1"/>
  <c r="S102" i="46"/>
  <c r="O102" i="46"/>
  <c r="M102" i="46" s="1"/>
  <c r="AA67" i="46"/>
  <c r="S67" i="46"/>
  <c r="O67" i="46"/>
  <c r="M67" i="46" s="1"/>
  <c r="AA46" i="46"/>
  <c r="S46" i="46"/>
  <c r="O46" i="46"/>
  <c r="M46" i="46" s="1"/>
  <c r="AA62" i="46"/>
  <c r="S62" i="46"/>
  <c r="O62" i="46"/>
  <c r="M62" i="46" s="1"/>
  <c r="AA51" i="46"/>
  <c r="S51" i="46"/>
  <c r="O51" i="46"/>
  <c r="M51" i="46" s="1"/>
  <c r="AA106" i="46"/>
  <c r="S106" i="46"/>
  <c r="O106" i="46"/>
  <c r="M106" i="46" s="1"/>
  <c r="AA116" i="46"/>
  <c r="O116" i="46"/>
  <c r="M116" i="46" s="1"/>
  <c r="S116" i="46"/>
  <c r="AA44" i="46"/>
  <c r="S44" i="46"/>
  <c r="O44" i="46"/>
  <c r="M44" i="46" s="1"/>
  <c r="AA65" i="46"/>
  <c r="O65" i="46"/>
  <c r="M65" i="46" s="1"/>
  <c r="S65" i="46"/>
  <c r="AA75" i="46"/>
  <c r="O75" i="46"/>
  <c r="M75" i="46" s="1"/>
  <c r="S75" i="46"/>
  <c r="AA110" i="46"/>
  <c r="O110" i="46"/>
  <c r="M110" i="46" s="1"/>
  <c r="S110" i="46"/>
  <c r="AA60" i="46"/>
  <c r="O60" i="46"/>
  <c r="M60" i="46" s="1"/>
  <c r="S60" i="46"/>
  <c r="AA76" i="46"/>
  <c r="O76" i="46"/>
  <c r="M76" i="46" s="1"/>
  <c r="S76" i="46"/>
  <c r="AA92" i="46"/>
  <c r="O92" i="46"/>
  <c r="M92" i="46" s="1"/>
  <c r="S92" i="46"/>
  <c r="AA70" i="46"/>
  <c r="O70" i="46"/>
  <c r="M70" i="46" s="1"/>
  <c r="S70" i="46"/>
  <c r="AA109" i="46"/>
  <c r="S109" i="46"/>
  <c r="O109" i="46"/>
  <c r="M109" i="46" s="1"/>
  <c r="AA41" i="46"/>
  <c r="S41" i="46"/>
  <c r="O41" i="46"/>
  <c r="M41" i="46" s="1"/>
  <c r="AA89" i="46"/>
  <c r="O89" i="46"/>
  <c r="M89" i="46" s="1"/>
  <c r="S89" i="46"/>
  <c r="AA77" i="46"/>
  <c r="O77" i="46"/>
  <c r="M77" i="46" s="1"/>
  <c r="S77" i="46"/>
  <c r="AA105" i="46"/>
  <c r="O105" i="46"/>
  <c r="M105" i="46" s="1"/>
  <c r="S105" i="46"/>
  <c r="AA119" i="46"/>
  <c r="S119" i="46"/>
  <c r="O119" i="46"/>
  <c r="M119" i="46" s="1"/>
  <c r="AA120" i="46"/>
  <c r="S120" i="46"/>
  <c r="O120" i="46"/>
  <c r="M120" i="46" s="1"/>
  <c r="AA49" i="46"/>
  <c r="S49" i="46"/>
  <c r="O49" i="46"/>
  <c r="M49" i="46" s="1"/>
  <c r="AA47" i="46"/>
  <c r="S47" i="46"/>
  <c r="O47" i="46"/>
  <c r="M47" i="46" s="1"/>
  <c r="AA90" i="46"/>
  <c r="O90" i="46"/>
  <c r="M90" i="46" s="1"/>
  <c r="S90" i="46"/>
  <c r="AA97" i="46"/>
  <c r="O97" i="46"/>
  <c r="M97" i="46" s="1"/>
  <c r="S97" i="46"/>
  <c r="AA85" i="46"/>
  <c r="O85" i="46"/>
  <c r="M85" i="46" s="1"/>
  <c r="S85" i="46"/>
  <c r="AA111" i="46"/>
  <c r="S111" i="46"/>
  <c r="O111" i="46"/>
  <c r="M111" i="46" s="1"/>
  <c r="AA107" i="46"/>
  <c r="S107" i="46"/>
  <c r="O107" i="46"/>
  <c r="M107" i="46" s="1"/>
  <c r="AA61" i="46"/>
  <c r="O61" i="46"/>
  <c r="M61" i="46" s="1"/>
  <c r="S61" i="46"/>
  <c r="AA87" i="46"/>
  <c r="O87" i="46"/>
  <c r="M87" i="46" s="1"/>
  <c r="S87" i="46"/>
  <c r="AA55" i="46"/>
  <c r="S55" i="46"/>
  <c r="O55" i="46"/>
  <c r="M55" i="46" s="1"/>
  <c r="AA57" i="46"/>
  <c r="O57" i="46"/>
  <c r="M57" i="46" s="1"/>
  <c r="S57" i="46"/>
  <c r="AA79" i="46"/>
  <c r="O79" i="46"/>
  <c r="M79" i="46" s="1"/>
  <c r="S79" i="46"/>
  <c r="AA113" i="46"/>
  <c r="O113" i="46"/>
  <c r="M113" i="46" s="1"/>
  <c r="S113" i="46"/>
  <c r="AA114" i="46"/>
  <c r="O114" i="46"/>
  <c r="M114" i="46" s="1"/>
  <c r="S114" i="46"/>
  <c r="AA64" i="46"/>
  <c r="O64" i="46"/>
  <c r="M64" i="46" s="1"/>
  <c r="S64" i="46"/>
  <c r="AA80" i="46"/>
  <c r="O80" i="46"/>
  <c r="M80" i="46" s="1"/>
  <c r="S80" i="46"/>
  <c r="AA96" i="46"/>
  <c r="O96" i="46"/>
  <c r="M96" i="46" s="1"/>
  <c r="S96" i="46"/>
  <c r="AA40" i="46"/>
  <c r="O40" i="46"/>
  <c r="M40" i="46" s="1"/>
  <c r="S40" i="46"/>
  <c r="AA99" i="46"/>
  <c r="S99" i="46"/>
  <c r="O99" i="46"/>
  <c r="M99" i="46" s="1"/>
  <c r="AA45" i="46"/>
  <c r="O45" i="46"/>
  <c r="M45" i="46" s="1"/>
  <c r="S45" i="46"/>
  <c r="AA53" i="46"/>
  <c r="O53" i="46"/>
  <c r="M53" i="46" s="1"/>
  <c r="S53" i="46"/>
  <c r="AA94" i="46"/>
  <c r="O94" i="46"/>
  <c r="M94" i="46" s="1"/>
  <c r="S94" i="46"/>
  <c r="AA43" i="46"/>
  <c r="O43" i="46"/>
  <c r="M43" i="46" s="1"/>
  <c r="S43" i="46"/>
  <c r="AA74" i="46"/>
  <c r="O74" i="46"/>
  <c r="M74" i="46" s="1"/>
  <c r="S74" i="46"/>
  <c r="AA50" i="46"/>
  <c r="O50" i="46"/>
  <c r="M50" i="46" s="1"/>
  <c r="S50" i="46"/>
  <c r="AA115" i="46"/>
  <c r="O115" i="46"/>
  <c r="M115" i="46" s="1"/>
  <c r="S115" i="46"/>
  <c r="AA69" i="46"/>
  <c r="O69" i="46"/>
  <c r="M69" i="46" s="1"/>
  <c r="S69" i="46"/>
  <c r="AA95" i="46"/>
  <c r="O95" i="46"/>
  <c r="M95" i="46" s="1"/>
  <c r="S95" i="46"/>
  <c r="AA91" i="46"/>
  <c r="S91" i="46"/>
  <c r="O91" i="46"/>
  <c r="M91" i="46" s="1"/>
  <c r="AA52" i="46"/>
  <c r="S52" i="46"/>
  <c r="O52" i="46"/>
  <c r="M52" i="46" s="1"/>
  <c r="AA59" i="46"/>
  <c r="O59" i="46"/>
  <c r="M59" i="46" s="1"/>
  <c r="S59" i="46"/>
  <c r="AA83" i="46"/>
  <c r="S83" i="46"/>
  <c r="O83" i="46"/>
  <c r="M83" i="46" s="1"/>
  <c r="AA117" i="46"/>
  <c r="O117" i="46"/>
  <c r="M117" i="46" s="1"/>
  <c r="S117" i="46"/>
  <c r="AA118" i="46"/>
  <c r="O118" i="46"/>
  <c r="M118" i="46" s="1"/>
  <c r="S118" i="46"/>
  <c r="AA68" i="46"/>
  <c r="O68" i="46"/>
  <c r="M68" i="46" s="1"/>
  <c r="S68" i="46"/>
  <c r="AA84" i="46"/>
  <c r="S84" i="46"/>
  <c r="O84" i="46"/>
  <c r="M84" i="46" s="1"/>
  <c r="AA100" i="46"/>
  <c r="O100" i="46"/>
  <c r="M100" i="46" s="1"/>
  <c r="S100" i="46"/>
  <c r="AA112" i="46"/>
  <c r="O112" i="46"/>
  <c r="M112" i="46" s="1"/>
  <c r="S112" i="46"/>
  <c r="AA66" i="46"/>
  <c r="O66" i="46"/>
  <c r="M66" i="46" s="1"/>
  <c r="S66" i="46"/>
  <c r="AA58" i="46"/>
  <c r="O58" i="46"/>
  <c r="M58" i="46" s="1"/>
  <c r="S58" i="46"/>
  <c r="AA86" i="46"/>
  <c r="O86" i="46"/>
  <c r="M86" i="46" s="1"/>
  <c r="S86" i="46"/>
  <c r="AA63" i="46"/>
  <c r="S63" i="46"/>
  <c r="O63" i="46"/>
  <c r="M63" i="46" s="1"/>
  <c r="AA73" i="46"/>
  <c r="S73" i="46"/>
  <c r="O73" i="46"/>
  <c r="M73" i="46" s="1"/>
  <c r="AA82" i="46"/>
  <c r="S82" i="46"/>
  <c r="O82" i="46"/>
  <c r="M82" i="46" s="1"/>
  <c r="AA54" i="46"/>
  <c r="S54" i="46"/>
  <c r="O54" i="46"/>
  <c r="M54" i="46" s="1"/>
  <c r="O98" i="46"/>
  <c r="M98" i="46" s="1"/>
  <c r="AA98" i="46"/>
  <c r="S98" i="46"/>
  <c r="AA93" i="46"/>
  <c r="O93" i="46"/>
  <c r="M93" i="46" s="1"/>
  <c r="S93" i="46"/>
  <c r="AA81" i="46"/>
  <c r="S81" i="46"/>
  <c r="O81" i="46"/>
  <c r="M81" i="46" s="1"/>
  <c r="AA78" i="46"/>
  <c r="S78" i="46"/>
  <c r="O78" i="46"/>
  <c r="M78" i="46" s="1"/>
  <c r="AA108" i="46"/>
  <c r="O108" i="46"/>
  <c r="M108" i="46" s="1"/>
  <c r="S108" i="46"/>
  <c r="AA123" i="46"/>
  <c r="O123" i="46"/>
  <c r="M123" i="46" s="1"/>
  <c r="S123" i="46"/>
  <c r="AA42" i="46"/>
  <c r="S42" i="46"/>
  <c r="O42" i="46"/>
  <c r="M42" i="46" s="1"/>
  <c r="AA101" i="46"/>
  <c r="O101" i="46"/>
  <c r="M101" i="46" s="1"/>
  <c r="S101" i="46"/>
  <c r="AA121" i="46"/>
  <c r="O121" i="46"/>
  <c r="M121" i="46" s="1"/>
  <c r="S121" i="46"/>
  <c r="AA103" i="46"/>
  <c r="S103" i="46"/>
  <c r="O103" i="46"/>
  <c r="M103" i="46" s="1"/>
  <c r="AA48" i="46"/>
  <c r="S48" i="46"/>
  <c r="O48" i="46"/>
  <c r="M48" i="46" s="1"/>
  <c r="AA71" i="46"/>
  <c r="O71" i="46"/>
  <c r="M71" i="46" s="1"/>
  <c r="S71" i="46"/>
  <c r="AA56" i="46"/>
  <c r="S56" i="46"/>
  <c r="O56" i="46"/>
  <c r="M56" i="46" s="1"/>
  <c r="AA122" i="46"/>
  <c r="O122" i="46"/>
  <c r="M122" i="46" s="1"/>
  <c r="S122" i="46"/>
  <c r="AA72" i="46"/>
  <c r="S72" i="46"/>
  <c r="O72" i="46"/>
  <c r="M72" i="46" s="1"/>
  <c r="AA88" i="46"/>
  <c r="S88" i="46"/>
  <c r="O88" i="46"/>
  <c r="M88" i="46" s="1"/>
  <c r="AA104" i="46"/>
  <c r="S104" i="46"/>
  <c r="O104" i="46"/>
  <c r="M104" i="46" s="1"/>
  <c r="E16" i="46"/>
  <c r="E15" i="46"/>
  <c r="D16" i="46"/>
  <c r="G15" i="46"/>
  <c r="G16" i="46"/>
  <c r="F16" i="46"/>
  <c r="B22" i="46" l="1"/>
  <c r="AA129" i="46" l="1"/>
  <c r="N129" i="46"/>
  <c r="M129" i="46"/>
  <c r="AA128" i="46"/>
  <c r="N128" i="46"/>
  <c r="M128" i="46"/>
  <c r="C17" i="46" l="1"/>
  <c r="AC39" i="46" l="1"/>
  <c r="W125" i="46" l="1"/>
  <c r="AG39" i="46"/>
  <c r="V39" i="46"/>
  <c r="S39" i="46"/>
  <c r="N39" i="46"/>
  <c r="X38" i="46"/>
  <c r="O38" i="46"/>
  <c r="N38" i="46"/>
  <c r="M38" i="46"/>
  <c r="B17" i="46"/>
  <c r="D15" i="46"/>
  <c r="F15" i="46"/>
  <c r="F17" i="46" l="1"/>
  <c r="E17" i="46"/>
  <c r="D17" i="46"/>
  <c r="AF125" i="46"/>
  <c r="AF131" i="46" s="1"/>
  <c r="Q125" i="46"/>
  <c r="AC125" i="46"/>
  <c r="AC131" i="46" s="1"/>
  <c r="G17" i="46"/>
  <c r="X39" i="46"/>
  <c r="AA39" i="46"/>
  <c r="O39" i="46"/>
  <c r="Z39" i="46"/>
  <c r="N125" i="46" l="1"/>
  <c r="AG125" i="46"/>
  <c r="U125" i="46"/>
  <c r="S125" i="46"/>
  <c r="R125" i="46"/>
  <c r="R131" i="46" s="1"/>
  <c r="R132" i="46" s="1"/>
  <c r="R133" i="46" s="1"/>
  <c r="AE125" i="46"/>
  <c r="V125" i="46"/>
  <c r="Q131" i="46"/>
  <c r="M39" i="46"/>
  <c r="AC132" i="46"/>
  <c r="AC133" i="46" s="1"/>
  <c r="AF132" i="46"/>
  <c r="AF133" i="46" s="1"/>
  <c r="X125" i="46"/>
  <c r="X131" i="46" s="1"/>
  <c r="AA125" i="46"/>
  <c r="Z125" i="46"/>
  <c r="Y39" i="46"/>
  <c r="Y125" i="46" s="1"/>
  <c r="C14" i="16"/>
  <c r="N126" i="46" l="1"/>
  <c r="N127" i="46"/>
  <c r="AG131" i="46"/>
  <c r="AG132" i="46" s="1"/>
  <c r="AG133" i="46" s="1"/>
  <c r="AE131" i="46"/>
  <c r="AE132" i="46" s="1"/>
  <c r="AE133" i="46" s="1"/>
  <c r="O125" i="46"/>
  <c r="S131" i="46"/>
  <c r="AA131" i="46"/>
  <c r="Z130" i="46"/>
  <c r="Z131" i="46" s="1"/>
  <c r="X132" i="46"/>
  <c r="X133" i="46" s="1"/>
  <c r="Q132" i="46"/>
  <c r="Q133" i="46" s="1"/>
  <c r="N130" i="46"/>
  <c r="C9" i="46"/>
  <c r="B9" i="46" s="1"/>
  <c r="Y130" i="46"/>
  <c r="Y131" i="46" s="1"/>
  <c r="M125" i="46" l="1"/>
  <c r="O131" i="46"/>
  <c r="O132" i="46" s="1"/>
  <c r="O133" i="46" s="1"/>
  <c r="N131" i="46"/>
  <c r="N132" i="46" s="1"/>
  <c r="N133" i="46" s="1"/>
  <c r="Y132" i="46"/>
  <c r="Y133" i="46" s="1"/>
  <c r="Z132" i="46"/>
  <c r="Z133" i="46" s="1"/>
  <c r="C7" i="46" s="1"/>
  <c r="B7" i="46" s="1"/>
  <c r="AA132" i="46"/>
  <c r="AA133" i="46" s="1"/>
  <c r="C6" i="46" s="1"/>
  <c r="S132" i="46"/>
  <c r="S133" i="46" s="1"/>
  <c r="G8" i="46" s="1"/>
  <c r="B128" i="46" l="1"/>
  <c r="U130" i="46"/>
  <c r="U131" i="46" s="1"/>
  <c r="U132" i="46" s="1"/>
  <c r="U133" i="46" s="1"/>
  <c r="V130" i="46"/>
  <c r="V131" i="46" s="1"/>
  <c r="V132" i="46" s="1"/>
  <c r="V133" i="46" s="1"/>
  <c r="M130" i="46"/>
  <c r="M127" i="46"/>
  <c r="B127" i="46"/>
  <c r="C127" i="46"/>
  <c r="M126" i="46"/>
  <c r="C128" i="46"/>
  <c r="B6" i="46"/>
  <c r="F8" i="46"/>
  <c r="B129" i="46" l="1"/>
  <c r="B130" i="46" s="1"/>
  <c r="B131" i="46" s="1"/>
  <c r="M131" i="46"/>
  <c r="M132" i="46" s="1"/>
  <c r="M133" i="46" s="1"/>
  <c r="C129" i="46"/>
  <c r="C130" i="46" s="1"/>
  <c r="C131" i="46" s="1"/>
  <c r="C8" i="46" s="1"/>
  <c r="B8" i="46" s="1"/>
  <c r="B10" i="46" s="1"/>
  <c r="G6" i="46" l="1"/>
  <c r="C10" i="46"/>
  <c r="G101" i="52" l="1"/>
  <c r="G10" i="46"/>
  <c r="F6" i="46"/>
  <c r="F10" i="46" s="1"/>
  <c r="B8" i="35"/>
  <c r="K14" i="52" l="1"/>
  <c r="C12" i="16" l="1"/>
  <c r="B44" i="35" l="1"/>
  <c r="B24" i="35" l="1"/>
  <c r="B10" i="35"/>
  <c r="AT14" i="52" l="1"/>
  <c r="F19" i="35"/>
  <c r="E19" i="35"/>
  <c r="D42" i="35" l="1"/>
  <c r="E42" i="35"/>
  <c r="K35" i="35" l="1"/>
  <c r="K34" i="35"/>
  <c r="K33" i="35"/>
  <c r="K29" i="35"/>
  <c r="K28" i="35"/>
  <c r="E35" i="35"/>
  <c r="O17" i="35" l="1"/>
  <c r="O16" i="35"/>
  <c r="O15" i="35"/>
  <c r="O14" i="35"/>
  <c r="O5" i="35"/>
  <c r="O4" i="35"/>
  <c r="O3" i="35"/>
  <c r="G10" i="35" l="1"/>
  <c r="F10" i="35"/>
  <c r="G2" i="35"/>
  <c r="F2" i="35"/>
  <c r="B22" i="35" l="1"/>
  <c r="B23" i="35" s="1"/>
  <c r="C20" i="16" l="1"/>
  <c r="C6" i="16"/>
  <c r="C5" i="16"/>
  <c r="C4" i="16"/>
  <c r="O7" i="35"/>
  <c r="C25" i="35"/>
  <c r="D24" i="35"/>
  <c r="B25" i="35" s="1"/>
  <c r="E7" i="35" l="1"/>
  <c r="AE1" i="35"/>
  <c r="Y1" i="35"/>
  <c r="S1" i="35"/>
  <c r="E39" i="35" l="1"/>
  <c r="E34" i="35"/>
  <c r="E33" i="35"/>
  <c r="E32" i="35"/>
  <c r="E31" i="35"/>
  <c r="E30" i="35"/>
  <c r="E29" i="35"/>
  <c r="E28" i="35"/>
  <c r="F7" i="35" l="1"/>
  <c r="G7" i="35"/>
  <c r="K31" i="35" s="1"/>
  <c r="D7" i="35"/>
  <c r="D51" i="35" s="1"/>
  <c r="K30" i="35" l="1"/>
  <c r="B13" i="35"/>
  <c r="C19" i="16" l="1"/>
  <c r="D3" i="35" l="1"/>
  <c r="BL14" i="52" s="1"/>
  <c r="F93" i="52" s="1"/>
  <c r="G3" i="35"/>
  <c r="H35" i="35" s="1"/>
  <c r="F3" i="35"/>
  <c r="E3" i="35"/>
  <c r="B31" i="35" s="1"/>
  <c r="AE49" i="52" l="1"/>
  <c r="C18" i="16"/>
  <c r="H28" i="35"/>
  <c r="H29" i="35"/>
  <c r="H33" i="35"/>
  <c r="B29" i="35"/>
  <c r="D39" i="35"/>
  <c r="B18" i="35"/>
  <c r="C16" i="16" l="1"/>
  <c r="B39" i="35"/>
  <c r="B9" i="35" l="1"/>
  <c r="C45" i="35"/>
  <c r="B45" i="35"/>
  <c r="C13" i="16"/>
  <c r="AC14" i="52" l="1"/>
  <c r="C15" i="16"/>
  <c r="B46" i="35"/>
  <c r="F42" i="35" l="1"/>
  <c r="G42" i="35" s="1"/>
  <c r="F32" i="35"/>
  <c r="G32" i="35" s="1"/>
  <c r="H32" i="35" s="1"/>
  <c r="F28" i="35"/>
  <c r="G28" i="35" s="1"/>
  <c r="F35" i="35"/>
  <c r="G35" i="35" s="1"/>
  <c r="F31" i="35"/>
  <c r="G31" i="35" s="1"/>
  <c r="F34" i="35"/>
  <c r="F30" i="35"/>
  <c r="G30" i="35" s="1"/>
  <c r="F33" i="35"/>
  <c r="G33" i="35" s="1"/>
  <c r="F29" i="35"/>
  <c r="G29" i="35" s="1"/>
  <c r="F39" i="35"/>
  <c r="G39" i="35" s="1"/>
  <c r="H30" i="35"/>
  <c r="H31" i="35"/>
  <c r="K32" i="35"/>
  <c r="C17" i="16"/>
  <c r="H34" i="35" l="1"/>
  <c r="G34" i="35"/>
  <c r="B27" i="35"/>
</calcChain>
</file>

<file path=xl/sharedStrings.xml><?xml version="1.0" encoding="utf-8"?>
<sst xmlns="http://schemas.openxmlformats.org/spreadsheetml/2006/main" count="5054" uniqueCount="1274">
  <si>
    <t>Profiled Report for</t>
  </si>
  <si>
    <t>Total number of profiling days</t>
  </si>
  <si>
    <t>Server Name</t>
  </si>
  <si>
    <t>Premium</t>
  </si>
  <si>
    <t>Network Bandwidth</t>
  </si>
  <si>
    <t>Profiling Overview</t>
  </si>
  <si>
    <t>Source Environment Summary</t>
  </si>
  <si>
    <t>Total Virtual Machines</t>
  </si>
  <si>
    <t>Total number of cores required for Test Failover/Failover</t>
  </si>
  <si>
    <t>VMs to Place</t>
  </si>
  <si>
    <t>Storage Account</t>
  </si>
  <si>
    <t xml:space="preserve"> Cores</t>
  </si>
  <si>
    <t>Memory (MB)</t>
  </si>
  <si>
    <t>NICs</t>
  </si>
  <si>
    <t>Total number of VMs profiled</t>
  </si>
  <si>
    <t>Total number of disks</t>
  </si>
  <si>
    <t>Growth factor</t>
  </si>
  <si>
    <t>Bandwidth</t>
  </si>
  <si>
    <t>GB</t>
  </si>
  <si>
    <t>TB</t>
  </si>
  <si>
    <t>Desired RPO</t>
  </si>
  <si>
    <t>Recommendation: Use ExpressRoute</t>
  </si>
  <si>
    <t>Backlog size</t>
  </si>
  <si>
    <t>Backlog Duration
(in HH:MM)</t>
  </si>
  <si>
    <t>Learn more about Azure subscription limits</t>
  </si>
  <si>
    <t>Given Bandwidth</t>
  </si>
  <si>
    <t xml:space="preserve">Suggested Prefix </t>
  </si>
  <si>
    <t>Suggested Prefix</t>
  </si>
  <si>
    <t>Start date</t>
  </si>
  <si>
    <t>End date</t>
  </si>
  <si>
    <t>Number of profile days</t>
  </si>
  <si>
    <t>Profiling data</t>
  </si>
  <si>
    <t>Total number of storage accounts</t>
  </si>
  <si>
    <t>On-Prem requirements</t>
  </si>
  <si>
    <t>Disk type</t>
  </si>
  <si>
    <t>Selected RPO</t>
  </si>
  <si>
    <t>Average VM size</t>
  </si>
  <si>
    <t>Profiled VM details</t>
  </si>
  <si>
    <t>Churn</t>
  </si>
  <si>
    <t>Backlog duration  &gt;6 hours</t>
  </si>
  <si>
    <t>Number of Configuration Servers required (for V2A)</t>
  </si>
  <si>
    <t>Number of additional Process Servers required (for V2A)</t>
  </si>
  <si>
    <t>User input (Bandwidth or RPO)</t>
  </si>
  <si>
    <t>Number of violations more than 6 hours</t>
  </si>
  <si>
    <t>Max backlog size (in GB)</t>
  </si>
  <si>
    <t>Max backlog duration in HH:MM</t>
  </si>
  <si>
    <t>When RPO is given</t>
  </si>
  <si>
    <t>Max backlog size in GB</t>
  </si>
  <si>
    <t>Violations when Bandwidth is given</t>
  </si>
  <si>
    <t>Microsoft Azure Site Recovery Deployment Planner</t>
  </si>
  <si>
    <t>Observed typical data churn per day (GB)</t>
  </si>
  <si>
    <t>Date</t>
  </si>
  <si>
    <t>Total data churn per day in (GB)</t>
  </si>
  <si>
    <t>Total number of violation for given RPO</t>
  </si>
  <si>
    <t xml:space="preserve">To meet RPO </t>
  </si>
  <si>
    <t>% of the time</t>
  </si>
  <si>
    <t>RPO string</t>
  </si>
  <si>
    <t>Recommended VM placement plan</t>
  </si>
  <si>
    <t>Recommended naming conventions for Azure resources</t>
  </si>
  <si>
    <t>Azure Storage Scalability and Performance Targets</t>
  </si>
  <si>
    <t>Total storage size of the compatible VMs (GB)</t>
  </si>
  <si>
    <t>Average size of each compatible VM</t>
  </si>
  <si>
    <t>Average number of disks per compatible virtual machine</t>
  </si>
  <si>
    <t>Average disk size (GB)</t>
  </si>
  <si>
    <t>Total data to be replicated for initial replication (GB)</t>
  </si>
  <si>
    <t>Desired RPO (minutes)</t>
  </si>
  <si>
    <t xml:space="preserve">Microsoft Azure Site Recovery Deployment Planner Report </t>
  </si>
  <si>
    <t>Number of compatible virtual machines</t>
  </si>
  <si>
    <t>Desired bandwidth (Mbps)</t>
  </si>
  <si>
    <t>WriteIOPSPercentile</t>
  </si>
  <si>
    <t>ReadWriteIOPSPercentile</t>
  </si>
  <si>
    <t>DataChurnPercentile</t>
  </si>
  <si>
    <t>RetentionInDaysForV2A</t>
  </si>
  <si>
    <t>CompressionForV2AInPercentage</t>
  </si>
  <si>
    <t>RetentionPeriodInHours for premium storage account</t>
  </si>
  <si>
    <t>Achievable RPO string</t>
  </si>
  <si>
    <t xml:space="preserve">Achievable </t>
  </si>
  <si>
    <t xml:space="preserve">Average disk size of each compatible VM </t>
  </si>
  <si>
    <t>Number of compatible VMs</t>
  </si>
  <si>
    <t>SnapshotDataChurnPercentile</t>
  </si>
  <si>
    <t>Achieved Throughput</t>
  </si>
  <si>
    <t>Server name</t>
  </si>
  <si>
    <t xml:space="preserve">Total Profiled 
Virtual Machines 
</t>
  </si>
  <si>
    <t>VM Name</t>
  </si>
  <si>
    <t>Total number of profiled virtual machines</t>
  </si>
  <si>
    <t>Compatible VMs details</t>
  </si>
  <si>
    <t>-</t>
  </si>
  <si>
    <t>(</t>
  </si>
  <si>
    <t>)</t>
  </si>
  <si>
    <t>Desired RPO:</t>
  </si>
  <si>
    <t>Read/Write IOPS percentile:</t>
  </si>
  <si>
    <t>Write IOPS percentile:</t>
  </si>
  <si>
    <t>Data churn percentile:</t>
  </si>
  <si>
    <r>
      <t></t>
    </r>
    <r>
      <rPr>
        <sz val="11"/>
        <rFont val="Wingdings 2"/>
        <family val="1"/>
        <charset val="2"/>
      </rPr>
      <t></t>
    </r>
    <r>
      <rPr>
        <sz val="11"/>
        <rFont val="Calibri"/>
        <family val="2"/>
      </rPr>
      <t>Read more about VM to storage placement</t>
    </r>
  </si>
  <si>
    <r>
      <rPr>
        <sz val="11"/>
        <rFont val="Wingdings 2"/>
        <family val="1"/>
        <charset val="2"/>
      </rPr>
      <t></t>
    </r>
    <r>
      <rPr>
        <sz val="11"/>
        <rFont val="Calibri"/>
        <family val="2"/>
      </rPr>
      <t xml:space="preserve"> For naming convention refer to:</t>
    </r>
  </si>
  <si>
    <t>Deployment Planner tool version</t>
  </si>
  <si>
    <r>
      <t xml:space="preserve">Virtual Machines
</t>
    </r>
    <r>
      <rPr>
        <sz val="11"/>
        <color rgb="FFFF0000"/>
        <rFont val="Calibri"/>
        <family val="2"/>
      </rPr>
      <t>Incompatible</t>
    </r>
    <r>
      <rPr>
        <sz val="11"/>
        <rFont val="Calibri"/>
        <family val="2"/>
      </rPr>
      <t xml:space="preserve">
(Click for details)</t>
    </r>
  </si>
  <si>
    <t>Required Number of Azure Cores</t>
  </si>
  <si>
    <r>
      <rPr>
        <b/>
        <u/>
        <sz val="11"/>
        <rFont val="Calibri"/>
        <family val="2"/>
      </rPr>
      <t>What if</t>
    </r>
    <r>
      <rPr>
        <sz val="11"/>
        <rFont val="Calibri"/>
        <family val="2"/>
      </rPr>
      <t xml:space="preserve"> you provision lower bandwidth (Mbps):</t>
    </r>
  </si>
  <si>
    <t>Max value of IOPS and data churn of the profiled data considered for calculating bandwidth and Azure storage type:</t>
  </si>
  <si>
    <t>Learn more</t>
  </si>
  <si>
    <t>Suggested Account Name</t>
  </si>
  <si>
    <t>Suggested Log Account  Name</t>
  </si>
  <si>
    <t>Placement Summary</t>
  </si>
  <si>
    <t>Note:</t>
  </si>
  <si>
    <r>
      <rPr>
        <sz val="11"/>
        <rFont val="Wingdings 2"/>
        <family val="1"/>
        <charset val="2"/>
      </rPr>
      <t></t>
    </r>
    <r>
      <rPr>
        <sz val="11"/>
        <rFont val="Calibri"/>
        <family val="2"/>
      </rPr>
      <t xml:space="preserve"> It is recommended to use a three character prefix for storage account names for scale load balancing reasons</t>
    </r>
  </si>
  <si>
    <t>Partition Naming Convention  section in Microsoft Azure Storage Performance and Scalability Checklist</t>
  </si>
  <si>
    <t>Azure Site Recovery Deployment Planner Documentation</t>
  </si>
  <si>
    <t>Azure Site Recovery deployment planner is not aware of workloads running inside the VMs. It is recommended to always go with the Azure workload recommendation for storage type.</t>
  </si>
  <si>
    <t xml:space="preserve">Azure premium storage guidance </t>
  </si>
  <si>
    <t>SQL Server on Azure VMs guidance</t>
  </si>
  <si>
    <t>Microsoft server software support for Azure VMs</t>
  </si>
  <si>
    <t>VM Compatibility</t>
  </si>
  <si>
    <t>Storage Type</t>
  </si>
  <si>
    <t xml:space="preserve">Number of Disks </t>
  </si>
  <si>
    <t>Disk Size (GB)</t>
  </si>
  <si>
    <t>Deployment planning recommendation has been generated based on following source environment details and desired replication inputs</t>
  </si>
  <si>
    <t xml:space="preserve"> </t>
  </si>
  <si>
    <t>Select the network bandwidth based on RPO selection (this will be input for D3 to G3)</t>
  </si>
  <si>
    <t xml:space="preserve">IR- Number of VMs per batch for given Network Bandwidth </t>
  </si>
  <si>
    <t>Network bandwidth requirement for given RPO (input to graph)</t>
  </si>
  <si>
    <t xml:space="preserve">RPO that can be achieved with given bandwidth </t>
  </si>
  <si>
    <t>Profiling overview</t>
  </si>
  <si>
    <t>Azure Storage and Cores requirements</t>
  </si>
  <si>
    <t>Total number of backlog</t>
  </si>
  <si>
    <t>Number of backlog duration more than 6 hours</t>
  </si>
  <si>
    <t xml:space="preserve">Number of backlog duration more than 6 hours </t>
  </si>
  <si>
    <t>Backlog duration
(in HH:MM)</t>
  </si>
  <si>
    <t>Backlog duration &gt;6 hours</t>
  </si>
  <si>
    <t>Violation on 90%ile RPO for a given bandwidth</t>
  </si>
  <si>
    <t>Number of hours to complete IR</t>
  </si>
  <si>
    <t>Number of VMs in  batch</t>
  </si>
  <si>
    <t>Number of VMs in batch for 100% RPO</t>
  </si>
  <si>
    <t>Number of VMs in batch for 90%ile bandwidth</t>
  </si>
  <si>
    <t>Bandwidth as input</t>
  </si>
  <si>
    <t>Number of incompatible VMs</t>
  </si>
  <si>
    <t xml:space="preserve">Standard </t>
  </si>
  <si>
    <t>Number of VMs in batch when RPO as input</t>
  </si>
  <si>
    <t xml:space="preserve">Time to complete IR </t>
  </si>
  <si>
    <t>Achieved  Throughput</t>
  </si>
  <si>
    <t>Average disk size (compatible + Incompatible)</t>
  </si>
  <si>
    <t>Growth factor considered for all virtual machines (%):</t>
  </si>
  <si>
    <t>Total number of violations for given bandwidth for x% RPO</t>
  </si>
  <si>
    <t>Total number of disks across all compatible virtual machines</t>
  </si>
  <si>
    <t>Total number of disks across all compatible VMs</t>
  </si>
  <si>
    <t>Average number  of disks per compatible VM</t>
  </si>
  <si>
    <t>Boot Type</t>
  </si>
  <si>
    <t>OS Type</t>
  </si>
  <si>
    <t>Managed Disk</t>
  </si>
  <si>
    <t>Large disk</t>
  </si>
  <si>
    <t>Yes</t>
  </si>
  <si>
    <t>Azure Managed Disks Overview</t>
  </si>
  <si>
    <t>Total disks size (GB)</t>
  </si>
  <si>
    <t>Total  unmanaged disks across premium storage accounts for replication</t>
  </si>
  <si>
    <t>Total unmanaged disks across standard storage accounts for replication</t>
  </si>
  <si>
    <t>Overall DR costs by components</t>
  </si>
  <si>
    <t>Overall DR costs by States</t>
  </si>
  <si>
    <t>Month</t>
  </si>
  <si>
    <t>Year</t>
  </si>
  <si>
    <t>Compute</t>
  </si>
  <si>
    <t>Storage</t>
  </si>
  <si>
    <t>Network</t>
  </si>
  <si>
    <t>ASR License</t>
  </si>
  <si>
    <t>Total</t>
  </si>
  <si>
    <t>Cost duration</t>
  </si>
  <si>
    <t>Storage cost - Month (with discount)</t>
  </si>
  <si>
    <t>Storage cost - Year (with discount)</t>
  </si>
  <si>
    <t>Replication</t>
  </si>
  <si>
    <t>DR-Drill</t>
  </si>
  <si>
    <t xml:space="preserve">IaaS size </t>
  </si>
  <si>
    <t>Azure Hybrid Use Benefit</t>
  </si>
  <si>
    <t>Domain controller/DNS</t>
  </si>
  <si>
    <t>Standard_D3</t>
  </si>
  <si>
    <t>Discount in (%)</t>
  </si>
  <si>
    <t>SQL Always On</t>
  </si>
  <si>
    <t>Site to Azure Network</t>
  </si>
  <si>
    <t>ExpressRoute</t>
  </si>
  <si>
    <t>VPN Gateway type</t>
  </si>
  <si>
    <t>No</t>
  </si>
  <si>
    <t>Data Redundancy</t>
  </si>
  <si>
    <t>LRS</t>
  </si>
  <si>
    <t>Currency</t>
  </si>
  <si>
    <t>IaaS characteristics</t>
  </si>
  <si>
    <t>Number of DR-Drills in a year</t>
  </si>
  <si>
    <t>Storage type
Standard/Premium</t>
  </si>
  <si>
    <t>Replication cost
 per month 
(Storage)</t>
  </si>
  <si>
    <t>Replication cost 
per year
(Storage)</t>
  </si>
  <si>
    <t>Total storage cost  (average)
 per month 
(Replication + DR-Drill)</t>
  </si>
  <si>
    <t>Total storage cost 
 per year
(Replication + DR-Drill)</t>
  </si>
  <si>
    <t>ASR license cost per month</t>
  </si>
  <si>
    <t>DR-Drill IaaS cost
per day
(Compute)</t>
  </si>
  <si>
    <t>DR-Drill storage  cost
per day
(Storage)</t>
  </si>
  <si>
    <t>DR-Drill cost 
per day 
(Compute + storage)</t>
  </si>
  <si>
    <t>**START:INSERT A ROW BELOW TO ADD A NEW ENTRY**</t>
  </si>
  <si>
    <t>Windows</t>
  </si>
  <si>
    <t>Standard</t>
  </si>
  <si>
    <t>**END**</t>
  </si>
  <si>
    <t>ExpressRoute cost</t>
  </si>
  <si>
    <t>VPN Gateway cost</t>
  </si>
  <si>
    <t>VPN Gateway</t>
  </si>
  <si>
    <t>Domain controller/DNS VM cost</t>
  </si>
  <si>
    <t>SQL Always On VM cost</t>
  </si>
  <si>
    <t>Discount</t>
  </si>
  <si>
    <t>Approximate log storage cost</t>
  </si>
  <si>
    <t>Total Network cost after discount</t>
  </si>
  <si>
    <t>Total cost without discount</t>
  </si>
  <si>
    <t>Total cost with discount</t>
  </si>
  <si>
    <t>Disclaimer</t>
  </si>
  <si>
    <t>IaaS costs</t>
  </si>
  <si>
    <t>ExpressRoute Data Replication Cost</t>
  </si>
  <si>
    <t>Networking for VPN</t>
  </si>
  <si>
    <t>Plan SKU</t>
  </si>
  <si>
    <t>ASR License cost</t>
  </si>
  <si>
    <t>Machine Size</t>
  </si>
  <si>
    <t>Unmanaged</t>
  </si>
  <si>
    <t>Networking</t>
  </si>
  <si>
    <t>Cost per hour</t>
  </si>
  <si>
    <t>Cost per month</t>
  </si>
  <si>
    <t>Commitment</t>
  </si>
  <si>
    <t>Value</t>
  </si>
  <si>
    <t>SQL Replication License</t>
  </si>
  <si>
    <t>Scenario</t>
  </si>
  <si>
    <t>Storage type</t>
  </si>
  <si>
    <t>OnPrem</t>
  </si>
  <si>
    <t>NA</t>
  </si>
  <si>
    <t>Customer</t>
  </si>
  <si>
    <t>Site to Azure</t>
  </si>
  <si>
    <t>GRS</t>
  </si>
  <si>
    <t>US Dollar ($)</t>
  </si>
  <si>
    <t>Standard_A0</t>
  </si>
  <si>
    <t>Standard storage per GB</t>
  </si>
  <si>
    <t xml:space="preserve">Network </t>
  </si>
  <si>
    <t>Azure</t>
  </si>
  <si>
    <t>P10</t>
  </si>
  <si>
    <t>Storage transactions</t>
  </si>
  <si>
    <t>RA-GRS</t>
  </si>
  <si>
    <t>P20</t>
  </si>
  <si>
    <t>P30</t>
  </si>
  <si>
    <t>Average cost for permium disk US$/month</t>
  </si>
  <si>
    <t>Per GB</t>
  </si>
  <si>
    <t>Unmanaged disk cost</t>
  </si>
  <si>
    <t>Manged Disk approximate cost US$/month</t>
  </si>
  <si>
    <t>Standard (per GB)</t>
  </si>
  <si>
    <t>Premium (per GB)</t>
  </si>
  <si>
    <t>Manged Disk</t>
  </si>
  <si>
    <t>S4</t>
  </si>
  <si>
    <t>S6</t>
  </si>
  <si>
    <t>S10</t>
  </si>
  <si>
    <t>S20</t>
  </si>
  <si>
    <t>S30</t>
  </si>
  <si>
    <t>Show per</t>
  </si>
  <si>
    <t>View detailed cost analysis</t>
  </si>
  <si>
    <t>Number of VMs</t>
  </si>
  <si>
    <t>Non-Windows</t>
  </si>
  <si>
    <t xml:space="preserve">DR-Drill compute cost (per year) </t>
  </si>
  <si>
    <t>P4</t>
  </si>
  <si>
    <t>P6</t>
  </si>
  <si>
    <t>P40</t>
  </si>
  <si>
    <t>P50</t>
  </si>
  <si>
    <t>S40</t>
  </si>
  <si>
    <t>S50</t>
  </si>
  <si>
    <t>Region</t>
  </si>
  <si>
    <t>None</t>
  </si>
  <si>
    <t>Machine size with OS</t>
  </si>
  <si>
    <r>
      <t xml:space="preserve">Virtual Machines 
</t>
    </r>
    <r>
      <rPr>
        <sz val="11"/>
        <color rgb="FF339933"/>
        <rFont val="Calibri"/>
        <family val="2"/>
      </rPr>
      <t>Compatible</t>
    </r>
    <r>
      <rPr>
        <sz val="11"/>
        <rFont val="Calibri"/>
        <family val="2"/>
      </rPr>
      <t xml:space="preserve">
(Click for details)</t>
    </r>
  </si>
  <si>
    <t>Basic Gateway</t>
  </si>
  <si>
    <t>VpnGw1</t>
  </si>
  <si>
    <t>VpnGw2</t>
  </si>
  <si>
    <t>VpnGw3</t>
  </si>
  <si>
    <t>IaaS VM</t>
  </si>
  <si>
    <t>Standard ExpressRoute Gateway</t>
  </si>
  <si>
    <t>High Performance ExpressRoute Gateway</t>
  </si>
  <si>
    <t>Ultra Performance ExpressRoute Gateway</t>
  </si>
  <si>
    <t>ExpressRoute - 50 Mbps (Metered)</t>
  </si>
  <si>
    <t>Standard_A1</t>
  </si>
  <si>
    <t>ExpressRoute - 100 Mbps (Metered)</t>
  </si>
  <si>
    <t>Standard_A2</t>
  </si>
  <si>
    <t>ExpressRoute - 200 Mbps (Metered)</t>
  </si>
  <si>
    <t>Standard_A3</t>
  </si>
  <si>
    <t>ExpressRoute - 500 Mbps (Metered)</t>
  </si>
  <si>
    <t>Standard_A4</t>
  </si>
  <si>
    <t>ExpressRoute - 1 Gbps (Metered)</t>
  </si>
  <si>
    <t>Standard_A5</t>
  </si>
  <si>
    <t>ExpressRoute - 2 Gbps (Metered)</t>
  </si>
  <si>
    <t>Standard_A6</t>
  </si>
  <si>
    <t>ExpressRoute - 5 Gbps (Metered)</t>
  </si>
  <si>
    <t>Standard_A7</t>
  </si>
  <si>
    <t>ExpressRoute - 10 Gbps (Metered)</t>
  </si>
  <si>
    <t>Standard_A8</t>
  </si>
  <si>
    <t>ExpressRoute - 50 Mbps (Unlimited)</t>
  </si>
  <si>
    <t>Standard_A9</t>
  </si>
  <si>
    <t>ExpressRoute - 100 Mbps (Unlimited)</t>
  </si>
  <si>
    <t>Standard_A10</t>
  </si>
  <si>
    <t>ExpressRoute - 200 Mbps (Unlimited)</t>
  </si>
  <si>
    <t>Standard_A11</t>
  </si>
  <si>
    <t>ExpressRoute - 500 Mbps (Unlimited)</t>
  </si>
  <si>
    <t>Standard_A1_v2</t>
  </si>
  <si>
    <t>ExpressRoute - 1 Gbps (Unlimited)</t>
  </si>
  <si>
    <t>Standard_A2_v2</t>
  </si>
  <si>
    <t>ExpressRoute - 2 Gbps (Unlimited)</t>
  </si>
  <si>
    <t>Standard_A4_v2</t>
  </si>
  <si>
    <t>ExpressRoute - 5 Gbps (Unlimited)</t>
  </si>
  <si>
    <t>Standard_A8_v2</t>
  </si>
  <si>
    <t>ExpressRoute - 10 Gbps (Unlimited)</t>
  </si>
  <si>
    <t>Standard_A2m_v2</t>
  </si>
  <si>
    <t>Premium ExpressRoute - 50 Mbps (Metered)</t>
  </si>
  <si>
    <t>Standard_A4m_v2</t>
  </si>
  <si>
    <t>Premium ExpressRoute - 100 Mbps (Metered)</t>
  </si>
  <si>
    <t>Standard_A8m_v2</t>
  </si>
  <si>
    <t>Premium ExpressRoute - 200 Mbps (Metered)</t>
  </si>
  <si>
    <t>Standard_D1</t>
  </si>
  <si>
    <t>Premium ExpressRoute - 500 Mbps (Metered)</t>
  </si>
  <si>
    <t>Standard_D2</t>
  </si>
  <si>
    <t>Premium ExpressRoute - 1 Gbps (Metered)</t>
  </si>
  <si>
    <t>Premium ExpressRoute - 2 Gbps (Metered)</t>
  </si>
  <si>
    <t>Standard_D4</t>
  </si>
  <si>
    <t>Premium ExpressRoute - 5 Gbps (Metered)</t>
  </si>
  <si>
    <t>Standard_D11</t>
  </si>
  <si>
    <t>Premium ExpressRoute - 10 Gbps (Metered)</t>
  </si>
  <si>
    <t>Standard_D12</t>
  </si>
  <si>
    <t>Premium ExpressRoute - 50 Mbps (Unlimited)</t>
  </si>
  <si>
    <t>Standard_D13</t>
  </si>
  <si>
    <t>Premium ExpressRoute - 100 Mbps (Unlimited)</t>
  </si>
  <si>
    <t>Standard_D14</t>
  </si>
  <si>
    <t>Premium ExpressRoute - 200 Mbps (Unlimited)</t>
  </si>
  <si>
    <t>Standard_DS1</t>
  </si>
  <si>
    <t>Premium ExpressRoute - 500 Mbps (Unlimited)</t>
  </si>
  <si>
    <t>Standard_DS2</t>
  </si>
  <si>
    <t>Premium ExpressRoute - 1 Gbps (Unlimited)</t>
  </si>
  <si>
    <t>Standard_DS3</t>
  </si>
  <si>
    <t>Premium ExpressRoute - 2 Gbps (Unlimited)</t>
  </si>
  <si>
    <t>Standard_DS4</t>
  </si>
  <si>
    <t>Premium ExpressRoute - 5 Gbps (Unlimited)</t>
  </si>
  <si>
    <t>Standard_DS11</t>
  </si>
  <si>
    <t>Premium ExpressRoute - 10 Gbps (Unlimited)</t>
  </si>
  <si>
    <t>Standard_DS12</t>
  </si>
  <si>
    <t>Standard_DS13</t>
  </si>
  <si>
    <t>Standard_DS14</t>
  </si>
  <si>
    <t>Standard_D1_v2</t>
  </si>
  <si>
    <t>Standard_D2_v2</t>
  </si>
  <si>
    <t>Standard_D3_v2</t>
  </si>
  <si>
    <t>Standard_D4_v2</t>
  </si>
  <si>
    <t>Standard_D5_v2</t>
  </si>
  <si>
    <t>Standard_D11_v2</t>
  </si>
  <si>
    <t>Standard_D12_v2</t>
  </si>
  <si>
    <t>Standard_D13_v2</t>
  </si>
  <si>
    <t>Standard_D14_v2</t>
  </si>
  <si>
    <t>Standard_D15_v2</t>
  </si>
  <si>
    <t>Standard_DS1_v2</t>
  </si>
  <si>
    <t>Standard_DS2_v2</t>
  </si>
  <si>
    <t>Standard_DS3_v2</t>
  </si>
  <si>
    <t>Standard_DS4_v2</t>
  </si>
  <si>
    <t>Standard_DS5_v2</t>
  </si>
  <si>
    <t>Standard_DS11_v2</t>
  </si>
  <si>
    <t>Standard_DS12_v2</t>
  </si>
  <si>
    <t>Standard_DS13_v2</t>
  </si>
  <si>
    <t>Standard_DS14_v2</t>
  </si>
  <si>
    <t>Standard_DS15_v2</t>
  </si>
  <si>
    <t>Standard_F1</t>
  </si>
  <si>
    <t>Standard_F2</t>
  </si>
  <si>
    <t>Standard_F4</t>
  </si>
  <si>
    <t>Standard_F8</t>
  </si>
  <si>
    <t>Standard_F16</t>
  </si>
  <si>
    <t>Standard_F1s</t>
  </si>
  <si>
    <t>Standard_F2s</t>
  </si>
  <si>
    <t>Standard_F4s</t>
  </si>
  <si>
    <t>Standard_F8s</t>
  </si>
  <si>
    <t>Standard_F16s</t>
  </si>
  <si>
    <t>Standard_G1</t>
  </si>
  <si>
    <t>Standard_G2</t>
  </si>
  <si>
    <t>Standard_G3</t>
  </si>
  <si>
    <t>Standard_G4</t>
  </si>
  <si>
    <t>Standard_G5</t>
  </si>
  <si>
    <t>Standard_GS1</t>
  </si>
  <si>
    <t>Standard_GS2</t>
  </si>
  <si>
    <t>Standard_GS3</t>
  </si>
  <si>
    <t>Standard_GS4</t>
  </si>
  <si>
    <t>Standard_GS5</t>
  </si>
  <si>
    <t>Standard_H8</t>
  </si>
  <si>
    <t>Standard_H8m</t>
  </si>
  <si>
    <t>Standard_H16</t>
  </si>
  <si>
    <t>Standard_H16m</t>
  </si>
  <si>
    <t>Standard_H16mr</t>
  </si>
  <si>
    <t>Standard_H16r</t>
  </si>
  <si>
    <t>Standard_L4s</t>
  </si>
  <si>
    <t>Standard_L8s</t>
  </si>
  <si>
    <t>Standard_L16s</t>
  </si>
  <si>
    <t>Standard_L32s</t>
  </si>
  <si>
    <t>Value considered for the calculation</t>
  </si>
  <si>
    <t>Subscription ID</t>
  </si>
  <si>
    <t>Offer ID</t>
  </si>
  <si>
    <t>Target region</t>
  </si>
  <si>
    <t>Storage cost - Year (without discount)</t>
  </si>
  <si>
    <t>(Compute  + Storage )</t>
  </si>
  <si>
    <t>(ASR License + Storage + Network )</t>
  </si>
  <si>
    <t>Detailed cost analysis</t>
  </si>
  <si>
    <t>Cost breakup</t>
  </si>
  <si>
    <t>Storage cost breakup</t>
  </si>
  <si>
    <t>Compute cost</t>
  </si>
  <si>
    <t>License cost</t>
  </si>
  <si>
    <t>DR-Drill IaaS cost 
per year 
[for G x H number of days] 
(Compute)</t>
  </si>
  <si>
    <t>DR-Drill storage cost
per year
[for G x H number of days]
(Storage)</t>
  </si>
  <si>
    <t>Total DR-Drill cost 
per year
[for G x H number of days]
(Compute  + Storage )</t>
  </si>
  <si>
    <t>DR-Drill cost per day</t>
  </si>
  <si>
    <t>DR-Drill cost per year</t>
  </si>
  <si>
    <t>USD</t>
  </si>
  <si>
    <t xml:space="preserve">Total premium managed disks created during failover and test failover </t>
  </si>
  <si>
    <t xml:space="preserve">Total standard managed disks created during failover and test failover </t>
  </si>
  <si>
    <t>Replication Storage Type</t>
  </si>
  <si>
    <t>Log Storage Account Type</t>
  </si>
  <si>
    <t xml:space="preserve">Managed disk considered for failover or test failover: </t>
  </si>
  <si>
    <t>OS type</t>
  </si>
  <si>
    <t>VM running on Azure</t>
  </si>
  <si>
    <t>Cost-Set defaults</t>
  </si>
  <si>
    <t>IaaS size (Recommended)</t>
  </si>
  <si>
    <t>IaaS size 
(Your selection)</t>
  </si>
  <si>
    <t>VM total storage size (GB)
(Replication)</t>
  </si>
  <si>
    <t>Each DR-Drill duration (Days)</t>
  </si>
  <si>
    <t>Data redundancy</t>
  </si>
  <si>
    <t>Recommendations for Hyper-V to Azure</t>
  </si>
  <si>
    <t>Cost (Currency/Month)</t>
  </si>
  <si>
    <t>Currency Per hour</t>
  </si>
  <si>
    <t>Currency Per Month</t>
  </si>
  <si>
    <t>Currency/month per GB</t>
  </si>
  <si>
    <t>Cost in Currency per per month</t>
  </si>
  <si>
    <t>Comments</t>
  </si>
  <si>
    <t>Hyper-V host</t>
  </si>
  <si>
    <t>Free space available
(GB)</t>
  </si>
  <si>
    <t>Summary</t>
  </si>
  <si>
    <t>Bandwidth requirements</t>
  </si>
  <si>
    <t>Storage requirements</t>
  </si>
  <si>
    <t>Recommended batch size when RPO as input for VMware to Azure</t>
  </si>
  <si>
    <t>RPO</t>
  </si>
  <si>
    <t>Unit</t>
  </si>
  <si>
    <t>Recommended VM batches for a given bandwidth for Hyper-V to Azure</t>
  </si>
  <si>
    <t>Minimum IR Bandwidth (Mbps)</t>
  </si>
  <si>
    <t>Number of VM batches</t>
  </si>
  <si>
    <t>Is Bandwidth &gt;= 1000Mbps then convert into Gbps</t>
  </si>
  <si>
    <t>Given bandwidth</t>
  </si>
  <si>
    <t>[B] Number of batches in which VMs need to be protected as given below</t>
  </si>
  <si>
    <t>Delta Replication Bandwidth calculated for various RPO</t>
  </si>
  <si>
    <t>Recommended VM batches and Network Bandwidth when RPO as input for Hyper-V to Azure</t>
  </si>
  <si>
    <t>Copy Frequency in seconds (for Hyper-V)</t>
  </si>
  <si>
    <t>Number of VMs per batch for given various bandwidth for Vmware to Azure</t>
  </si>
  <si>
    <t>Batch#</t>
  </si>
  <si>
    <t>Number of VMs per batch</t>
  </si>
  <si>
    <t>Recommended VM batches when bandwidth as input for Vmware to Azure</t>
  </si>
  <si>
    <t>Number of Hyper-V servers profiled:</t>
  </si>
  <si>
    <t>Is size &gt; 1023 GB then convert into TB</t>
  </si>
  <si>
    <t>Additional storage required
GB</t>
  </si>
  <si>
    <t>String</t>
  </si>
  <si>
    <t>Max copy frequency</t>
  </si>
  <si>
    <t>Frequnecy Unit</t>
  </si>
  <si>
    <t>Convert time to seconds if copy frequency is 0.5 min</t>
  </si>
  <si>
    <t>Copy Frequency</t>
  </si>
  <si>
    <t>Additional on-prem storage requirement</t>
  </si>
  <si>
    <t>Select Copy Frequency</t>
  </si>
  <si>
    <t>Select Additional on-prem storage requirement</t>
  </si>
  <si>
    <t>Bandwidth required for DR of previous batches</t>
  </si>
  <si>
    <t>Total storage space required on the volume
(GB)</t>
  </si>
  <si>
    <t>Currency Name</t>
  </si>
  <si>
    <t>Learn more about additional on-premises storage space requirement</t>
  </si>
  <si>
    <t>Number of Hyper-V server profiled</t>
  </si>
  <si>
    <t>INR</t>
  </si>
  <si>
    <t>Name</t>
  </si>
  <si>
    <t>Indian Rupee (₹)</t>
  </si>
  <si>
    <t>DKK</t>
  </si>
  <si>
    <t>Danish Krone (kr)</t>
  </si>
  <si>
    <t>CAD</t>
  </si>
  <si>
    <t>Canadian Dollar ($)</t>
  </si>
  <si>
    <t>JPY</t>
  </si>
  <si>
    <t>Japanese Yen (¥)</t>
  </si>
  <si>
    <t>KRW</t>
  </si>
  <si>
    <t>Korean Won (₩)</t>
  </si>
  <si>
    <t>NZD</t>
  </si>
  <si>
    <t>NOK</t>
  </si>
  <si>
    <t>Norwegian Krone (kr)</t>
  </si>
  <si>
    <t>RUB</t>
  </si>
  <si>
    <t>Russian Ruble (руб)</t>
  </si>
  <si>
    <t>SAR</t>
  </si>
  <si>
    <t>Saudi Riyal (SR)</t>
  </si>
  <si>
    <t>ZAR</t>
  </si>
  <si>
    <t>South African Rand (R)</t>
  </si>
  <si>
    <t>SEK</t>
  </si>
  <si>
    <t>Swedish Krona (kr)</t>
  </si>
  <si>
    <t>TRY</t>
  </si>
  <si>
    <t>GBP</t>
  </si>
  <si>
    <t>British Pound (£)</t>
  </si>
  <si>
    <t>MXN</t>
  </si>
  <si>
    <t>MYR</t>
  </si>
  <si>
    <t>Malaysian Ringgit (RM$)</t>
  </si>
  <si>
    <t>HKD</t>
  </si>
  <si>
    <t>Hong Kong Dollar (HK$)</t>
  </si>
  <si>
    <t>BRL</t>
  </si>
  <si>
    <t>Brazilian Real (R$)</t>
  </si>
  <si>
    <t>TWD</t>
  </si>
  <si>
    <t>Taiwanese Dollar (NT$)</t>
  </si>
  <si>
    <t>EUR</t>
  </si>
  <si>
    <t>Euro (€)</t>
  </si>
  <si>
    <t>CHF</t>
  </si>
  <si>
    <t>Swiss Franc. (chf)</t>
  </si>
  <si>
    <t>ARS</t>
  </si>
  <si>
    <t>Argentine Peso ($)</t>
  </si>
  <si>
    <t>AUD</t>
  </si>
  <si>
    <t>Australian Dollar ($)</t>
  </si>
  <si>
    <t>Total DR Cost string</t>
  </si>
  <si>
    <t>Turkish Lira (TL)</t>
  </si>
  <si>
    <t>Mexican Peso (MX$)</t>
  </si>
  <si>
    <t>DR-Drill  (average)</t>
  </si>
  <si>
    <t>Is given bandwidth sufficient for IR?</t>
  </si>
  <si>
    <t>[A] Minimum bandwidth required for successful initial replication and delta replication of all VMs in the given batch order (Mbps)</t>
  </si>
  <si>
    <r>
      <rPr>
        <sz val="11"/>
        <rFont val="Wingdings 2"/>
        <family val="1"/>
        <charset val="2"/>
      </rPr>
      <t></t>
    </r>
    <r>
      <rPr>
        <sz val="11"/>
        <rFont val="Calibri"/>
        <family val="2"/>
      </rPr>
      <t>Virtual machines replicating to a standard storage account use the same standard storage account for log storage</t>
    </r>
  </si>
  <si>
    <t>Storage required on the volume for initial replication
(GB)</t>
  </si>
  <si>
    <t>Storage required on the volume for delta replication
(GB)</t>
  </si>
  <si>
    <t>Additional storage required based on deficit to avoid replication failure
(GB)</t>
  </si>
  <si>
    <t xml:space="preserve">Minimum bandwidth required for initial replication 
(Mbps) </t>
  </si>
  <si>
    <t xml:space="preserve">Minimum bandwidth required for delta replication 
(Mbps) </t>
  </si>
  <si>
    <t>Note</t>
  </si>
  <si>
    <r>
      <rPr>
        <b/>
        <sz val="18"/>
        <color theme="0"/>
        <rFont val="Calibri"/>
        <family val="2"/>
      </rPr>
      <t>Microsoft Azure Site Recovery Deployment Planner</t>
    </r>
    <r>
      <rPr>
        <sz val="18"/>
        <color theme="0"/>
        <rFont val="Calibri"/>
        <family val="2"/>
      </rPr>
      <t xml:space="preserve">
Cost estimation report </t>
    </r>
  </si>
  <si>
    <t>* Domain controller/DNS VM  cost: Only IaaS cost is included. Storage cost is not included.</t>
  </si>
  <si>
    <t>* SQL Always ON VM cost: Only IaaS cost is included. Storage cost is not included.</t>
  </si>
  <si>
    <t>* ExpressRoute cost: It includes only Azure charges.  It does not include installation charge by the provider.</t>
  </si>
  <si>
    <t>* The cost report does not include any application license charges.</t>
  </si>
  <si>
    <t>* Egress cost post failover is not included.</t>
  </si>
  <si>
    <t>* Storage transaction cost in not included.</t>
  </si>
  <si>
    <t>* Fixed log storage cost of USD 100 per month is used for the estimate – actuals will vary.</t>
  </si>
  <si>
    <t>* This is a summary estimate, not a quote.</t>
  </si>
  <si>
    <t>Learn more about initial replication batching for Hyper-V to Azure</t>
  </si>
  <si>
    <t>VMware(1) or Hyper-V (2)</t>
  </si>
  <si>
    <t>Using Managed disk</t>
  </si>
  <si>
    <t>Total Compute cost 
per year
(Replication +DR-Drill)</t>
  </si>
  <si>
    <t>Maximum Copy Frequency</t>
  </si>
  <si>
    <r>
      <rPr>
        <b/>
        <sz val="11"/>
        <color rgb="FF262626"/>
        <rFont val="Calibri"/>
        <family val="2"/>
      </rPr>
      <t xml:space="preserve">Required Network Bandwidth (Mbps) </t>
    </r>
    <r>
      <rPr>
        <sz val="11"/>
        <rFont val="Calibri"/>
        <family val="2"/>
      </rPr>
      <t xml:space="preserve">
</t>
    </r>
    <r>
      <rPr>
        <sz val="10"/>
        <rFont val="Calibri"/>
        <family val="2"/>
      </rPr>
      <t>For Delta Replication</t>
    </r>
  </si>
  <si>
    <t>Recommendations for Successful 
Initial Replication</t>
  </si>
  <si>
    <r>
      <rPr>
        <sz val="11"/>
        <rFont val="Wingdings 2"/>
        <family val="1"/>
        <charset val="2"/>
      </rPr>
      <t></t>
    </r>
    <r>
      <rPr>
        <sz val="11"/>
        <rFont val="Calibri"/>
        <family val="2"/>
      </rPr>
      <t>Virtual machines replicating to premium storage account uses additional standard storage account for log storage</t>
    </r>
  </si>
  <si>
    <r>
      <rPr>
        <sz val="11"/>
        <rFont val="Wingdings 2"/>
        <family val="1"/>
        <charset val="2"/>
      </rPr>
      <t></t>
    </r>
    <r>
      <rPr>
        <sz val="11"/>
        <rFont val="Calibri"/>
        <family val="2"/>
      </rPr>
      <t xml:space="preserve"> By default the report uses managed disk option for VMware. You can override the default by using '-Usemanageddisks'  parameter in command-line during report generation</t>
    </r>
  </si>
  <si>
    <t>Total additional storage to be provisioned on the volume for successful replication
(GB)</t>
  </si>
  <si>
    <t>Free space available on the volume
 (GB)</t>
  </si>
  <si>
    <t>Minimum bandwidth required to complete IR</t>
  </si>
  <si>
    <t>For Managed disk</t>
  </si>
  <si>
    <t>For Unmanged disk</t>
  </si>
  <si>
    <t>Settings</t>
  </si>
  <si>
    <t>Apply overall discount if applicable</t>
  </si>
  <si>
    <t xml:space="preserve">DR-Drill compute cost </t>
  </si>
  <si>
    <t>Number of virtual machines type and compute cost (per year)</t>
  </si>
  <si>
    <t xml:space="preserve">Cost estimation:      </t>
  </si>
  <si>
    <t>New Zealand Dollar ($)</t>
  </si>
  <si>
    <t>IDR</t>
  </si>
  <si>
    <t>WestUS2</t>
  </si>
  <si>
    <t>* Monthly price estimates are based on 732 hours of usage per month.</t>
  </si>
  <si>
    <t>Egress costs</t>
  </si>
  <si>
    <t>Outbound Data</t>
  </si>
  <si>
    <t>Cost</t>
  </si>
  <si>
    <t>Following table shows the storage required on each volume for successful initial replication and delta replication to ensure that the replication will not cause any undesirable downtime for your production applications</t>
  </si>
  <si>
    <t>Total additional storage to be provisioned (GB)</t>
  </si>
  <si>
    <t>Indonesia rupiah (Rp)</t>
  </si>
  <si>
    <t>Volume
(VHD path)</t>
  </si>
  <si>
    <t>Virtual Machine</t>
  </si>
  <si>
    <t>Volume (VHD path)</t>
  </si>
  <si>
    <t>S15</t>
  </si>
  <si>
    <t>P15</t>
  </si>
  <si>
    <t>Additional storage requirement on each Hyper-V host for successful replication</t>
  </si>
  <si>
    <r>
      <rPr>
        <b/>
        <sz val="16"/>
        <color theme="0"/>
        <rFont val="Calibri"/>
        <family val="2"/>
      </rPr>
      <t>Microsoft Azure Site Recovery Deployment Planner</t>
    </r>
    <r>
      <rPr>
        <sz val="11"/>
        <color theme="0"/>
        <rFont val="Calibri"/>
        <family val="2"/>
      </rPr>
      <t xml:space="preserve">
</t>
    </r>
    <r>
      <rPr>
        <sz val="14"/>
        <color theme="0"/>
        <rFont val="Calibri"/>
        <family val="2"/>
      </rPr>
      <t xml:space="preserve">Additional storage requirement for on-premises Hyper-V server </t>
    </r>
  </si>
  <si>
    <r>
      <rPr>
        <b/>
        <sz val="16"/>
        <color rgb="FFFFFFFF"/>
        <rFont val="Calibri"/>
        <family val="2"/>
      </rPr>
      <t>Microsoft Azure Site Recovery Deployment Planner</t>
    </r>
    <r>
      <rPr>
        <sz val="11"/>
        <color rgb="FFFFFFFF"/>
        <rFont val="Calibri"/>
        <family val="2"/>
      </rPr>
      <t xml:space="preserve">
</t>
    </r>
    <r>
      <rPr>
        <sz val="14"/>
        <color rgb="FFFFFFFF"/>
        <rFont val="Calibri"/>
        <family val="2"/>
      </rPr>
      <t>Initial Replication (IR) batching guidance for Hyper-V to Azure</t>
    </r>
  </si>
  <si>
    <t>Protect Hyper-V virtual machines in the given batches and in the given order as suggested in this page to ensure that the replication will not cause any undesirable downtime for your production applications</t>
  </si>
  <si>
    <t>Peak Data Churn (MBps) (with Growth Factor)</t>
  </si>
  <si>
    <t>Peak R/W IOPS (with Growth Factor)</t>
  </si>
  <si>
    <t>Learn more about the Azure Site Recovery pricing</t>
  </si>
  <si>
    <t>Cores</t>
  </si>
  <si>
    <t xml:space="preserve">
Azure VM Size</t>
  </si>
  <si>
    <r>
      <rPr>
        <b/>
        <sz val="11"/>
        <rFont val="Calibri"/>
        <family val="2"/>
      </rPr>
      <t xml:space="preserve">The below table lists cost breakup for each compatible VM of the profiled virtual machines. 
You can also use this table to get estimated Azure DR cost of non-profiled virtual machines by manually adding virtual machines.
To manually add virtual machines: </t>
    </r>
    <r>
      <rPr>
        <sz val="11"/>
        <rFont val="Calibri"/>
        <family val="2"/>
      </rPr>
      <t xml:space="preserve">
1. Click on 'Insert row' button below to insert a new row between </t>
    </r>
    <r>
      <rPr>
        <b/>
        <sz val="11"/>
        <color rgb="FF00B050"/>
        <rFont val="Calibri"/>
        <family val="2"/>
      </rPr>
      <t>Start</t>
    </r>
    <r>
      <rPr>
        <sz val="11"/>
        <rFont val="Calibri"/>
        <family val="2"/>
      </rPr>
      <t xml:space="preserve"> and </t>
    </r>
    <r>
      <rPr>
        <b/>
        <sz val="11"/>
        <color rgb="FF00B050"/>
        <rFont val="Calibri"/>
        <family val="2"/>
      </rPr>
      <t>End</t>
    </r>
    <r>
      <rPr>
        <sz val="11"/>
        <rFont val="Calibri"/>
        <family val="2"/>
      </rPr>
      <t xml:space="preserve"> rows
2. Fill the following columns based on approximate virtual machine size and number of virtual machines that match this configuration - Number of VMs, IaaS size (Your selection), Storage Type (Standard/Premium), 
      VM total storage size (GB), Number of DR-Drills in a year, Each DR-Drill duration (Days), OS Type, Data redundancy and Azure Hybrid Benefit for Windows Server
3. You can apply the same value to all the virtual machines in the table by clicking 'Apply to all' button for Number of DR-Drills in a year, Each DR-Drill duration (Days), Data redundancy and Azure Hybrid Benefit for Windows Server
4. Click 'Re-calculate cost' to update cost</t>
    </r>
  </si>
  <si>
    <t>Azure Hybrid Benefit for Windows Server</t>
  </si>
  <si>
    <t>Up to 10TB</t>
  </si>
  <si>
    <t>Up to 50TB</t>
  </si>
  <si>
    <t>Up to 150TB</t>
  </si>
  <si>
    <t>Up to 500TB</t>
  </si>
  <si>
    <t>Batch 1 (Number of VMs: 16)</t>
  </si>
  <si>
    <t>Network Utilization Details for Batch 1</t>
  </si>
  <si>
    <t>C:-ClusterStorage-Volume6</t>
  </si>
  <si>
    <t>C:</t>
  </si>
  <si>
    <t>msxsql1</t>
  </si>
  <si>
    <t>Add additional storage to protect this VM</t>
  </si>
  <si>
    <t>C:-ClusterStorage-Volume4</t>
  </si>
  <si>
    <t>C:-ClusterStorage-Volume3</t>
  </si>
  <si>
    <t>C:-ClusterStorage-Volume2</t>
  </si>
  <si>
    <t>C:-ClusterStorage-volume2</t>
  </si>
  <si>
    <t>C:-ClusterStorage-SharedStandardPlus_CSV2_1237_000A6</t>
  </si>
  <si>
    <t>C:-ClusterStorage-DedicatedStandardPlus_CSV1_1237_00090</t>
  </si>
  <si>
    <t>C:-ClusterStorage-SharedStandardPlus_CSV3_1237_010D</t>
  </si>
  <si>
    <t>C:-ClusterStorage-Volume5</t>
  </si>
  <si>
    <t>C:-ClusterStorage-Volume1</t>
  </si>
  <si>
    <t>C:-ClusterStorage-SharedHighPerf_CSV1_0360_0003</t>
  </si>
  <si>
    <t>C:-ClusterStorage-Volume7</t>
  </si>
  <si>
    <t>Bandwidth available for batch 1 (Mbps)</t>
  </si>
  <si>
    <t>Approximate bandwidth available for initial replication of batch 1 (Mbps)</t>
  </si>
  <si>
    <t>Approximate bandwidth consumed for delta replication upto batch 1 (Mbps)</t>
  </si>
  <si>
    <t>Estimated initial replication time for batch 1 (HH:MM)</t>
  </si>
  <si>
    <t>Batch 2 (Number of VMs: 11)</t>
  </si>
  <si>
    <t>Network Utilization Details for Batch 2</t>
  </si>
  <si>
    <t>Bandwidth available for batch 2 (Mbps)</t>
  </si>
  <si>
    <t>Approximate bandwidth available for initial replication of batch 2 (Mbps)</t>
  </si>
  <si>
    <t>Approximate bandwidth consumed for delta replication upto batch 2 (Mbps)</t>
  </si>
  <si>
    <t>Estimated initial replication time for batch 2 (HH:MM)</t>
  </si>
  <si>
    <t>Batch 3 (Number of VMs: 10)</t>
  </si>
  <si>
    <t>Network Utilization Details for Batch 3</t>
  </si>
  <si>
    <t>Bandwidth available for batch 3 (Mbps)</t>
  </si>
  <si>
    <t>Approximate bandwidth available for initial replication of batch 3 (Mbps)</t>
  </si>
  <si>
    <t>Approximate bandwidth consumed for delta replication upto batch 3 (Mbps)</t>
  </si>
  <si>
    <t>Estimated initial replication time for batch 3 (HH:MM)</t>
  </si>
  <si>
    <t>Batch 4 (Number of VMs: 7)</t>
  </si>
  <si>
    <t>Network Utilization Details for Batch 4</t>
  </si>
  <si>
    <t>Bandwidth available for batch 4 (Mbps)</t>
  </si>
  <si>
    <t>Approximate bandwidth available for initial replication of batch 4 (Mbps)</t>
  </si>
  <si>
    <t>Approximate bandwidth consumed for delta replication upto batch 4 (Mbps)</t>
  </si>
  <si>
    <t>Estimated initial replication time for batch 4 (HH:MM)</t>
  </si>
  <si>
    <t>Batch 5 (Number of VMs: 5)</t>
  </si>
  <si>
    <t>Network Utilization Details for Batch 5</t>
  </si>
  <si>
    <t>Bandwidth available for batch 5 (Mbps)</t>
  </si>
  <si>
    <t>Approximate bandwidth available for initial replication of batch 5 (Mbps)</t>
  </si>
  <si>
    <t>Approximate bandwidth consumed for delta replication upto batch 5 (Mbps)</t>
  </si>
  <si>
    <t>Estimated initial replication time for batch 5 (HH:MM)</t>
  </si>
  <si>
    <t>Batch 6 (Number of VMs: 5)</t>
  </si>
  <si>
    <t>Network Utilization Details for Batch 6</t>
  </si>
  <si>
    <t>Bandwidth available for batch 6 (Mbps)</t>
  </si>
  <si>
    <t>Approximate bandwidth available for initial replication of batch 6 (Mbps)</t>
  </si>
  <si>
    <t>Approximate bandwidth consumed for delta replication upto batch 6 (Mbps)</t>
  </si>
  <si>
    <t>Estimated initial replication time for batch 6 (HH:MM)</t>
  </si>
  <si>
    <t>Batch 7 (Number of VMs: 4)</t>
  </si>
  <si>
    <t>Network Utilization Details for Batch 7</t>
  </si>
  <si>
    <t>Bandwidth available for batch 7 (Mbps)</t>
  </si>
  <si>
    <t>Approximate bandwidth available for initial replication of batch 7 (Mbps)</t>
  </si>
  <si>
    <t>Approximate bandwidth consumed for delta replication upto batch 7 (Mbps)</t>
  </si>
  <si>
    <t>Estimated initial replication time for batch 7 (HH:MM)</t>
  </si>
  <si>
    <t>Batch 8 (Number of VMs: 4)</t>
  </si>
  <si>
    <t>Network Utilization Details for Batch 8</t>
  </si>
  <si>
    <t>Bandwidth available for batch 8 (Mbps)</t>
  </si>
  <si>
    <t>Approximate bandwidth available for initial replication of batch 8 (Mbps)</t>
  </si>
  <si>
    <t>Approximate bandwidth consumed for delta replication upto batch 8 (Mbps)</t>
  </si>
  <si>
    <t>Estimated initial replication time for batch 8 (HH:MM)</t>
  </si>
  <si>
    <t>Batch 9 (Number of VMs: 3)</t>
  </si>
  <si>
    <t>Network Utilization Details for Batch 9</t>
  </si>
  <si>
    <t>Bandwidth available for batch 9 (Mbps)</t>
  </si>
  <si>
    <t>Approximate bandwidth available for initial replication of batch 9 (Mbps)</t>
  </si>
  <si>
    <t>Approximate bandwidth consumed for delta replication upto batch 9 (Mbps)</t>
  </si>
  <si>
    <t>Estimated initial replication time for batch 9 (HH:MM)</t>
  </si>
  <si>
    <t>Batch 10 (Number of VMs: 3)</t>
  </si>
  <si>
    <t>Network Utilization Details for Batch 10</t>
  </si>
  <si>
    <t>Bandwidth available for batch 10 (Mbps)</t>
  </si>
  <si>
    <t>Approximate bandwidth available for initial replication of batch 10 (Mbps)</t>
  </si>
  <si>
    <t>Approximate bandwidth consumed for delta replication upto batch 10 (Mbps)</t>
  </si>
  <si>
    <t>Estimated initial replication time for batch 10 (HH:MM)</t>
  </si>
  <si>
    <t>Batch 11 (Number of VMs: 3)</t>
  </si>
  <si>
    <t>Network Utilization Details for Batch 11</t>
  </si>
  <si>
    <t>Bandwidth available for batch 11 (Mbps)</t>
  </si>
  <si>
    <t>Approximate bandwidth available for initial replication of batch 11 (Mbps)</t>
  </si>
  <si>
    <t>Approximate bandwidth consumed for delta replication upto batch 11 (Mbps)</t>
  </si>
  <si>
    <t>Estimated initial replication time for batch 11 (HH:MM)</t>
  </si>
  <si>
    <t>Batch 12 (Number of VMs: 3)</t>
  </si>
  <si>
    <t>Network Utilization Details for Batch 12</t>
  </si>
  <si>
    <t>Bandwidth available for batch 12 (Mbps)</t>
  </si>
  <si>
    <t>Approximate bandwidth available for initial replication of batch 12 (Mbps)</t>
  </si>
  <si>
    <t>Approximate bandwidth consumed for delta replication upto batch 12 (Mbps)</t>
  </si>
  <si>
    <t>Estimated initial replication time for batch 12 (HH:MM)</t>
  </si>
  <si>
    <t>Batch 13 (Number of VMs: 2)</t>
  </si>
  <si>
    <t>Network Utilization Details for Batch 13</t>
  </si>
  <si>
    <t>Bandwidth available for batch 13 (Mbps)</t>
  </si>
  <si>
    <t>Approximate bandwidth available for initial replication of batch 13 (Mbps)</t>
  </si>
  <si>
    <t>Approximate bandwidth consumed for delta replication upto batch 13 (Mbps)</t>
  </si>
  <si>
    <t>Estimated initial replication time for batch 13 (HH:MM)</t>
  </si>
  <si>
    <t>Batch 14 (Number of VMs: 2)</t>
  </si>
  <si>
    <t>Network Utilization Details for Batch 14</t>
  </si>
  <si>
    <t>Bandwidth available for batch 14 (Mbps)</t>
  </si>
  <si>
    <t>Approximate bandwidth available for initial replication of batch 14 (Mbps)</t>
  </si>
  <si>
    <t>Approximate bandwidth consumed for delta replication upto batch 14 (Mbps)</t>
  </si>
  <si>
    <t>Estimated initial replication time for batch 14 (HH:MM)</t>
  </si>
  <si>
    <t>Batch 15 (Number of VMs: 2)</t>
  </si>
  <si>
    <t>Network Utilization Details for Batch 15</t>
  </si>
  <si>
    <t>Bandwidth available for batch 15 (Mbps)</t>
  </si>
  <si>
    <t>Approximate bandwidth available for initial replication of batch 15 (Mbps)</t>
  </si>
  <si>
    <t>Approximate bandwidth consumed for delta replication upto batch 15 (Mbps)</t>
  </si>
  <si>
    <t>Estimated initial replication time for batch 15 (HH:MM)</t>
  </si>
  <si>
    <t>Batch 16 (Number of VMs: 1)</t>
  </si>
  <si>
    <t>Network Utilization Details for Batch 16</t>
  </si>
  <si>
    <t>Bandwidth available for batch 16 (Mbps)</t>
  </si>
  <si>
    <t>Approximate bandwidth available for initial replication of batch 16 (Mbps)</t>
  </si>
  <si>
    <t>Approximate bandwidth consumed for delta replication upto batch 16 (Mbps)</t>
  </si>
  <si>
    <t>Estimated initial replication time for batch 16 (HH:MM)</t>
  </si>
  <si>
    <t>Batch 17 (Number of VMs: 1)</t>
  </si>
  <si>
    <t>Network Utilization Details for Batch 17</t>
  </si>
  <si>
    <t>Bandwidth available for batch 17 (Mbps)</t>
  </si>
  <si>
    <t>Approximate bandwidth available for initial replication of batch 17 (Mbps)</t>
  </si>
  <si>
    <t>Approximate bandwidth consumed for delta replication upto batch 17 (Mbps)</t>
  </si>
  <si>
    <t>Estimated initial replication time for batch 17 (HH:MM)</t>
  </si>
  <si>
    <t>Batch 18 (Number of VMs: 1)</t>
  </si>
  <si>
    <t>Network Utilization Details for Batch 18</t>
  </si>
  <si>
    <t>Bandwidth available for batch 18 (Mbps)</t>
  </si>
  <si>
    <t>Approximate bandwidth available for initial replication of batch 18 (Mbps)</t>
  </si>
  <si>
    <t>Approximate bandwidth consumed for delta replication upto batch 18 (Mbps)</t>
  </si>
  <si>
    <t>Estimated initial replication time for batch 18 (HH:MM)</t>
  </si>
  <si>
    <t>Batch 19 (Number of VMs: 1)</t>
  </si>
  <si>
    <t>Network Utilization Details for Batch 19</t>
  </si>
  <si>
    <t>Bandwidth available for batch 19 (Mbps)</t>
  </si>
  <si>
    <t>Approximate bandwidth available for initial replication of batch 19 (Mbps)</t>
  </si>
  <si>
    <t>Approximate bandwidth consumed for delta replication upto batch 19 (Mbps)</t>
  </si>
  <si>
    <t>Estimated initial replication time for batch 19 (HH:MM)</t>
  </si>
  <si>
    <t>DR Bandwidth</t>
  </si>
  <si>
    <t>yqq</t>
  </si>
  <si>
    <t>yqq&lt;premium1&gt;</t>
  </si>
  <si>
    <t>BIOS</t>
  </si>
  <si>
    <t>uw5</t>
  </si>
  <si>
    <t>uw5&lt;standard1&gt;</t>
  </si>
  <si>
    <t>c:-clusterstorage-volume1-msxsql1-msxsql1_d.vhdx</t>
  </si>
  <si>
    <t>c:-clusterstorage-volume1-msxsql1-msxsql1_vm2012r2sp0f.vhdx</t>
  </si>
  <si>
    <t>Yes*</t>
  </si>
  <si>
    <t>P20*</t>
  </si>
  <si>
    <t>Source disk size maps to P10 disk but workload IOPS/churn goes beyond the P10 maximum IOPS/throughput limit. It is recommended to either increase the source disk size before VM replication or increase the target disk size after VM failover to 128 GB to 512 GB (so that the disk maps to the P20 disk size).</t>
  </si>
  <si>
    <t>P30*</t>
  </si>
  <si>
    <t>Not Supported (Disk size &gt; 4095 GB)</t>
  </si>
  <si>
    <t>Data not found</t>
  </si>
  <si>
    <t>Default</t>
  </si>
  <si>
    <t>HyperV</t>
  </si>
  <si>
    <t>5.1.2823.0</t>
  </si>
  <si>
    <t>b364ed8d-4279-4bf8-8fd1-56f8fa0ae05c</t>
  </si>
  <si>
    <t>MS-AZR-0003P</t>
  </si>
  <si>
    <t>westus2</t>
  </si>
  <si>
    <t>oeg</t>
  </si>
  <si>
    <t>oeg&lt;standard2&gt;</t>
  </si>
  <si>
    <t xml:space="preserve">Total number of VMs: 9
Total read/write IOPS: 13324
Total write IOPS: 5083
Total provisioned size across all disks: 27.24 TB
Total disks: 62
P10:24
P15:9
P20:6
P30:9
P40:3
P50:1
</t>
  </si>
  <si>
    <t xml:space="preserve">Total number of VMs: 75
Total read/write IOPS: 3309
Total write IOPS: 2790
Total provisioned size across all disks: 82.84 TB
Total disks: 481
S4:15
S6:76
S10:101
S15:32
S20:18
S30:32
S40:6
S50:1
</t>
  </si>
  <si>
    <t>C:-ClusterStorage-Volume4-labmagicsql1-labmagicsql1_d.vhdx</t>
  </si>
  <si>
    <t>C:-ClusterStorage-Volume4-labmagicsql1-labmagicsql1_E.vhdx</t>
  </si>
  <si>
    <t>C:-ClusterStorage-Volume4-labmagicsql1-labmagicsql1_F.vhdx</t>
  </si>
  <si>
    <t>C:-ClusterStorage-Volume4-labmagicsql1-labmagicsql1_h.vhdx</t>
  </si>
  <si>
    <t>C:-ClusterStorage-Volume4-labmagicsql1-labmagicsql1_I.vhdx</t>
  </si>
  <si>
    <t>C:-ClusterStorage-Volume4-labmagicsql1-labmagicsql1_o.vhdx</t>
  </si>
  <si>
    <t>C:-ClusterStorage-Volume4-labmagicsql1-labmagicsql1_t.vhdx</t>
  </si>
  <si>
    <t>c:-clusterstorage-volume4-labmagicsql1-labmagicsql1_vm2012r2sp0f.vhdx</t>
  </si>
  <si>
    <t>C:-ClusterStorage-Volume1-labimewebtt01-labimewebtt01_d.vhdx</t>
  </si>
  <si>
    <t>C:-ClusterStorage-Volume1-labimewebtt01-labimewebtt01_e.vhdx</t>
  </si>
  <si>
    <t>C:-ClusterStorage-Volume1-labimewebtt01-vm2012sp0f.vhdx</t>
  </si>
  <si>
    <t>C:-ClusterStorage-Volume1-labxitexsqlb-labxitexsqlb_d.vhdx</t>
  </si>
  <si>
    <t>C:-ClusterStorage-Volume1-labxitexsqlb-labxitexsqlb_e.vhdx</t>
  </si>
  <si>
    <t>C:-ClusterStorage-Volume1-labxitexsqlb-labxitexsqlb_f.vhdx</t>
  </si>
  <si>
    <t>C:-ClusterStorage-Volume1-labxitexsqlb-labxitexsqlb_g.vhdx</t>
  </si>
  <si>
    <t>C:-ClusterStorage-Volume1-labxitexsqlb-labxitexsqlb_h.vhdx</t>
  </si>
  <si>
    <t>C:-ClusterStorage-Volume1-labxitexsqlb-labxitexsqlb_i.vhdx</t>
  </si>
  <si>
    <t>C:-ClusterStorage-Volume1-labxitexsqlb-labxitexsqlb_j.vhdx</t>
  </si>
  <si>
    <t>C:-ClusterStorage-Volume1-labxitexsqlb-labxitexsqlb_l.vhdx</t>
  </si>
  <si>
    <t>C:-ClusterStorage-Volume1-labxitexsqlb-labxitexsqlb_o.vhdx</t>
  </si>
  <si>
    <t>C:-ClusterStorage-Volume1-labxitexsqlb-labxitexsqlb_q.vhdx</t>
  </si>
  <si>
    <t>C:-ClusterStorage-Volume1-labxitexsqlb-labxitexsqlb_t.vhdx</t>
  </si>
  <si>
    <t>C:-ClusterStorage-volume1-labxitexsqlb-vm2012r2sp0f.vhdx</t>
  </si>
  <si>
    <t>C:-ClusterStorage-Volume2-labpmcprodcrm04-labpmcprodcrm04_d.vhdx</t>
  </si>
  <si>
    <t>C:-ClusterStorage-Volume2-labpmcprodcrm04-vm2012r2sp0f.vhdx</t>
  </si>
  <si>
    <t>C:-ClusterStorage-volume2-labroqqamsgv03-labroqqamsgv03_01.vhd</t>
  </si>
  <si>
    <t>C:-ClusterStorage-volume2-labroqqamsgv03-labroqqamsgv03-c-vm2012r2sp0f.vhdx</t>
  </si>
  <si>
    <t>C:-ClusterStorage-volume3-labvmbgitcbweb2-labvmbgitcbweb2_d.vhd</t>
  </si>
  <si>
    <t>C:-ClusterStorage-volume3-labvmbgitcbweb2-vm-w2008r2fsp1.vhd</t>
  </si>
  <si>
    <t>C:-ClusterStorage-Volume3-labvmsymweb03-labvmsymweb03_d.vhdx</t>
  </si>
  <si>
    <t>C:-ClusterStorage-Volume3-labvmsymweb03-labvmsymweb03_e.vhdx</t>
  </si>
  <si>
    <t>C:-ClusterStorage-Volume3-labvmsymweb03-labvmsymweb03_vm2012r2sp0f_n.vhdx</t>
  </si>
  <si>
    <t>C:-ClusterStorage-Volume3-labvmsymweb08-labvmsymweb08_C.vhdx</t>
  </si>
  <si>
    <t>C:-ClusterStorage-Volume3-labvmsymweb08-labvmsymweb08_d.vhdx</t>
  </si>
  <si>
    <t>C:-ClusterStorage-Volume3-labvmsymweb08-labvmsymweb08_e.vhdx</t>
  </si>
  <si>
    <t>C:-ClusterStorage-Volume1-cplabit1bavm001-cplabit1bavm001_C.vhdx</t>
  </si>
  <si>
    <t>C:-ClusterStorage-Volume1-cplabit1bavm001-cplabit1bavm001_d.vhdx</t>
  </si>
  <si>
    <t>C:-ClusterStorage-Volume2-labcpdmuatsql1-labcpdmuatsql1_C.vhdx</t>
  </si>
  <si>
    <t>C:-ClusterStorage-Volume2-labcpdmuatsql1-labcpdmuatsql1_d.vhdx</t>
  </si>
  <si>
    <t>C:-ClusterStorage-Volume2-labcpdmuatsql1-labcpdmuatsql1_e.vhdx</t>
  </si>
  <si>
    <t>C:-ClusterStorage-Volume2-labcpdmuatsql1-labcpdmuatsql1_G.vhdx</t>
  </si>
  <si>
    <t>C:-ClusterStorage-Volume2-labcpdmuatsql1-labcpdmuatsql1_h.vhdx</t>
  </si>
  <si>
    <t>C:-ClusterStorage-Volume2-labcpdmuatsql1-labcpdmuatsql1_I.vhdx</t>
  </si>
  <si>
    <t>C:-ClusterStorage-Volume2-labcpdmuatsql1-labcpdmuatsql1_J.vhdx</t>
  </si>
  <si>
    <t>C:-ClusterStorage-Volume2-labcpdmuatsql1-labcpdmuatsql1_K.vhdx</t>
  </si>
  <si>
    <t>C:-ClusterStorage-Volume2-labcpdmuatsql1-labcpdmuatsql1_o.vhdx</t>
  </si>
  <si>
    <t>C:-ClusterStorage-Volume2-labcpdmuatsql1-labcpdmuatsql1_t.vhdx</t>
  </si>
  <si>
    <t>C:-ClusterStorage-volume3-labbgitpscln01-labbgitpscln01_c.vhdx</t>
  </si>
  <si>
    <t>C:-ClusterStorage-volume3-labbgitpscln01-labbgitpscln01_d.vhdx</t>
  </si>
  <si>
    <t>C:-ClusterStorage-volume3-labbgitpscln01-labbgitpscln01_e.vhdx</t>
  </si>
  <si>
    <t>C:-ClusterStorage-volume3-labbgitpscln01-labbgitpscln01_f.vhdx</t>
  </si>
  <si>
    <t>C:-ClusterStorage-volume3-labbgitpscln01-labbgitpscln01_h.vhdx</t>
  </si>
  <si>
    <t>C:-ClusterStorage-volume3-labbgitpscln01-labbgitpscln01_i.vhdx</t>
  </si>
  <si>
    <t>C:-ClusterStorage-volume3-labbgitpscln01-labbgitpscln01_o.vhdx</t>
  </si>
  <si>
    <t>C:-ClusterStorage-volume3-labbgitpscln01-labbgitpscln01_t.vhdx</t>
  </si>
  <si>
    <t>C:-ClusterStorage-Volume2-labconvergdev03-labconvergdev03_C.vhdx</t>
  </si>
  <si>
    <t>C:-ClusterStorage-Volume2-labconvergdev03-labconvergdev03_d.vhdx</t>
  </si>
  <si>
    <t>C:-ClusterStorage-Volume2-labconvergdev03-labconvergdev03_disk_P.vhdx</t>
  </si>
  <si>
    <t>C:-ClusterStorage-Volume2-labconvergdev03-labconvergdev03_disk_R.vhdx</t>
  </si>
  <si>
    <t>C:-ClusterStorage-Volume2-labconvergdev03-labconvergdev03_disk_S.vhdx</t>
  </si>
  <si>
    <t>C:-ClusterStorage-Volume2-labconvergdev03-labconvergdev03_disk_U.vhdx</t>
  </si>
  <si>
    <t>C:-ClusterStorage-Volume2-labconvergdev03-labconvergdev03_disk_V.vhdx</t>
  </si>
  <si>
    <t>C:-ClusterStorage-Volume2-labconvergdev03-labconvergdev03_e.vhdx</t>
  </si>
  <si>
    <t>C:-ClusterStorage-Volume2-labconvergdev03-labconvergdev03_h.vhdx</t>
  </si>
  <si>
    <t>C:-ClusterStorage-Volume2-labconvergdev03-labconvergdev03_o.vhdx</t>
  </si>
  <si>
    <t>C:-ClusterStorage-Volume2-labconvergdev03-labconvergdev03_t.vhdx</t>
  </si>
  <si>
    <t>C:-ClusterStorage-Volume2-lab-daskp-02-lab-daskp-02_C.vhdx</t>
  </si>
  <si>
    <t>C:-ClusterStorage-Volume2-lab-daskp-02-lab-daskp-02_d.vhdx</t>
  </si>
  <si>
    <t>C:-ClusterStorage-Volume2-lab-daskp-02-lab-daskp-02_disk_1.vhdx</t>
  </si>
  <si>
    <t>C:-ClusterStorage-Volume3-labconvergdev02-labconvergdev02_C.vhdx</t>
  </si>
  <si>
    <t>C:-ClusterStorage-Volume3-labconvergdev02-labconvergdev02_d.vhdx</t>
  </si>
  <si>
    <t>C:-ClusterStorage-Volume3-labconvergdev02-labconvergdev02_disk_P.vhdx</t>
  </si>
  <si>
    <t>C:-ClusterStorage-Volume3-labconvergdev02-labconvergdev02_disk_R.vhdx</t>
  </si>
  <si>
    <t>C:-ClusterStorage-Volume3-labconvergdev02-labconvergdev02_disk_S.vhdx</t>
  </si>
  <si>
    <t>C:-ClusterStorage-Volume3-labconvergdev02-labconvergdev02_disk_U.vhdx</t>
  </si>
  <si>
    <t>C:-ClusterStorage-Volume3-labconvergdev02-labconvergdev02_disk_V.vhdx</t>
  </si>
  <si>
    <t>C:-ClusterStorage-Volume3-labconvergdev02-labconvergdev02_e.vhdx</t>
  </si>
  <si>
    <t>C:-ClusterStorage-Volume3-labconvergdev02-labconvergdev02_h.vhdx</t>
  </si>
  <si>
    <t>C:-ClusterStorage-Volume3-labconvergdev02-labconvergdev02_o.vhdx</t>
  </si>
  <si>
    <t>C:-ClusterStorage-Volume3-labconvergdev02-labconvergdev02_t.vhdx</t>
  </si>
  <si>
    <t>C:-ClusterStorage-Volume3-lab-svcsfw-01-lab-svcsfw-01_c.vhdx</t>
  </si>
  <si>
    <t>C:-ClusterStorage-Volume3-lab-svcsfw-01-lab-svcsfw-01_d.vhdx</t>
  </si>
  <si>
    <t>C:-ClusterStorage-Volume3-lab-svcsfw-01-lab-svcsfw-01_e.vhdx</t>
  </si>
  <si>
    <t>C:-ClusterStorage-Volume4-lab-nps-SGRP-01-lab-daskp-04_C.vhdx</t>
  </si>
  <si>
    <t>C:-ClusterStorage-Volume4-lab-nps-SGRP-01-lab-daskp-04_d.vhdx</t>
  </si>
  <si>
    <t>C:-ClusterStorage-Volume4-lab-nps-SGRP-01-lab-daskp-04_disk_1.vhdx</t>
  </si>
  <si>
    <t>C:-ClusterStorage-Volume2-labpiappsm03-labpiappsm03_C.vhdx</t>
  </si>
  <si>
    <t>C:-ClusterStorage-Volume2-labpiappsm03-labpiappsm03_d.vhdx</t>
  </si>
  <si>
    <t>C:-ClusterStorage-Volume2-labpiappsm03-labpiappsm03_e.vhdx</t>
  </si>
  <si>
    <t>C:-ClusterStorage-Volume2-labthmsql01-labthmsql01_C.vhdx</t>
  </si>
  <si>
    <t>C:-ClusterStorage-Volume2-labthmsql01-labthmsql01_d.vhdx</t>
  </si>
  <si>
    <t>C:-ClusterStorage-Volume2-labthmsql01-labthmsql01_e.vhdx</t>
  </si>
  <si>
    <t>C:-ClusterStorage-Volume2-labthmsql01-labthmsql01_f.vhdx</t>
  </si>
  <si>
    <t>C:-ClusterStorage-Volume2-labthmsql01-labthmsql01_h.vhdx</t>
  </si>
  <si>
    <t>C:-ClusterStorage-Volume2-labthmsql01-labthmsql01_o.vhdx</t>
  </si>
  <si>
    <t>C:-ClusterStorage-Volume2-labthmsql01-labthmsql01_t.vhdx</t>
  </si>
  <si>
    <t>C:-ClusterStorage-Volume3-labpiwebxsm02-labpiwebxsm02_c.vhdx</t>
  </si>
  <si>
    <t>C:-ClusterStorage-Volume3-labpiwebxsm02-labpiwebxsm02_d.vhdx</t>
  </si>
  <si>
    <t>C:-ClusterStorage-Volume3-labpiwebxsm02-labpiwebxsm02_e.vhdx</t>
  </si>
  <si>
    <t>C:-ClusterStorage-volume2-labscntvsqxp01a-labscntvsqxp01a_c.vhd</t>
  </si>
  <si>
    <t>c:-clusterstorage-volume2-labscntvsqxp01a-labscntvsqxp01a_d.vhdx</t>
  </si>
  <si>
    <t>c:-clusterstorage-volume2-labscntvsqxp01a-labscntvsqxp01a_e.vhdx</t>
  </si>
  <si>
    <t>C:-ClusterStorage-volume4-labicesql0b-labicesql0b_c.vhdx</t>
  </si>
  <si>
    <t>c:-clusterstorage-volume4-labicesql0b-labicesql0b_d.vhdx</t>
  </si>
  <si>
    <t>C:-ClusterStorage-Volume1-labimewebtt02-labimewebtt02_d.vhdx</t>
  </si>
  <si>
    <t>C:-ClusterStorage-Volume1-labimewebtt02-labimewebtt02_e.vhdx</t>
  </si>
  <si>
    <t>C:-ClusterStorage-Volume1-labimewebtt02-vm2012sp0f.vhdx</t>
  </si>
  <si>
    <t>C:-ClusterStorage-Volume1-labpiintsm03-labpiintsm03_d.vhdx</t>
  </si>
  <si>
    <t>C:-ClusterStorage-Volume1-labpiintsm03-labpiintsm03_e.vhdx</t>
  </si>
  <si>
    <t>C:-ClusterStorage-Volume1-labpiintsm03-labpiintsm03_VM2012SP0F.vhdx</t>
  </si>
  <si>
    <t>C:-ClusterStorage-Volume4-labimeamist01-labimeamist01_C.vhdx</t>
  </si>
  <si>
    <t>C:-ClusterStorage-Volume4-labimeamist01-labimeamist01_d.vhdx</t>
  </si>
  <si>
    <t>C:-ClusterStorage-Volume1-lab-daskp-03-lab-daskp-03_C.vhdx</t>
  </si>
  <si>
    <t>C:-ClusterStorage-Volume1-lab-daskp-03-lab-daskp-03_d.vhdx</t>
  </si>
  <si>
    <t>C:-ClusterStorage-Volume1-lab-daskp-03-lab-daskp-03_disk_1.vhdx</t>
  </si>
  <si>
    <t>c:-clusterstorage-volume1-labesvmrfsq3-labesvmrfsq3_01.vhd</t>
  </si>
  <si>
    <t>C:-ClusterStorage-volume1-labesvmrfsq3-vm2012sp0f.vhdx</t>
  </si>
  <si>
    <t>C:-ClusterStorage-Volume2-labcidevsql02-labcidevsql02_C.vhdx</t>
  </si>
  <si>
    <t>C:-ClusterStorage-Volume2-labcidevsql02-labcidevsql02_disk_D.vhdx</t>
  </si>
  <si>
    <t>C:-ClusterStorage-Volume2-labcidevsql02-labcidevsql02_disk_E.vhdx</t>
  </si>
  <si>
    <t>C:-ClusterStorage-Volume2-labcidevsql02-labcidevsql02_disk_H.vhdx</t>
  </si>
  <si>
    <t>C:-ClusterStorage-Volume2-labcidevsql02-labcidevsql02_disk_O.vhdx</t>
  </si>
  <si>
    <t>C:-ClusterStorage-Volume2-labcidevsql02-labcidevsql02_disk_T.vhdx</t>
  </si>
  <si>
    <t>c:-clusterstorage-volume2-labesvmrfsq4-labesvmrfsq4_01.vhd</t>
  </si>
  <si>
    <t>c:-clusterstorage-volume2-labesvmrfsq4-labesvmrfsq4_02.vhd</t>
  </si>
  <si>
    <t>C:-ClusterStorage-volume2-labesvmrfsq4-vm2012sp0f.vhdx</t>
  </si>
  <si>
    <t>C:-ClusterStorage-Volume3-labimetrillvm01-labimetrillvm01_C.vhdx</t>
  </si>
  <si>
    <t>C:-ClusterStorage-Volume3-labimetrillvm01-labimetrillvm01_d.vhdx</t>
  </si>
  <si>
    <t>C:-ClusterStorage-Volume3-labpaprdsql01-labpaprdsql01_C.vhdx</t>
  </si>
  <si>
    <t>C:-ClusterStorage-Volume3-labpaprdsql01-labpaprdsql01_d.vhdx</t>
  </si>
  <si>
    <t>C:-ClusterStorage-Volume3-labpaprdsql01-labpaprdsql01_e.vhdx</t>
  </si>
  <si>
    <t>C:-ClusterStorage-Volume3-labpaprdsql01-labpaprdsql01_h.vhdx</t>
  </si>
  <si>
    <t>C:-ClusterStorage-Volume3-labpaprdsql01-labpaprdsql01_o.vhdx</t>
  </si>
  <si>
    <t>C:-ClusterStorage-Volume3-labpaprdsql01-labpaprdsql01_t.vhdx</t>
  </si>
  <si>
    <t>C:-ClusterStorage-Volume4-lab-daskp-01-lab-daskp-01_C.vhdx</t>
  </si>
  <si>
    <t>C:-ClusterStorage-Volume4-lab-daskp-01-lab-daskp-01_d.vhdx</t>
  </si>
  <si>
    <t>C:-ClusterStorage-Volume4-lab-daskp-01-lab-daskp-01_disk_1.vhdx</t>
  </si>
  <si>
    <t>C:-ClusterStorage-Volume4-labgfss2p01-labgfss2p01_C.vhdx</t>
  </si>
  <si>
    <t>C:-ClusterStorage-Volume4-labgfss2p01-labgfss2p01_d.vhdx</t>
  </si>
  <si>
    <t>C:-ClusterStorage-Volume4-labgfss2p01-labgfss2p01_disk_G.vhdx</t>
  </si>
  <si>
    <t>C:-ClusterStorage-Volume4-labgfss2p01-labgfss2p01_e.vhdx</t>
  </si>
  <si>
    <t>C:-ClusterStorage-Volume4-labgfss2p01-labgfss2p01_h.vhdx</t>
  </si>
  <si>
    <t>C:-ClusterStorage-Volume4-labgfss2p01-labgfss2p01_o.vhdx</t>
  </si>
  <si>
    <t>C:-ClusterStorage-Volume4-labgfss2p01-labgfss2p01_t.vhdx</t>
  </si>
  <si>
    <t>C:-ClusterStorage-Volume4-lab-ndes-05-lab-ndes-05_i_0_0.vhd</t>
  </si>
  <si>
    <t>C:-ClusterStorage-Volume4-lab-ndes-05-lab-ndes-05_s_0_0.vhd</t>
  </si>
  <si>
    <t>C:-ClusterStorage-Volume4-labsabmartds01-labsabmartds01_C.vhd</t>
  </si>
  <si>
    <t>C:-ClusterStorage-Volume4-labsabmartds01-labsabmartds01_d.vhdx</t>
  </si>
  <si>
    <t>C:-ClusterStorage-Volume4-labsabmartds01-labsabmartds01_e.vhdx</t>
  </si>
  <si>
    <t>C:-ClusterStorage-Volume4-labsmtweb02n-labsmtweb02n_d.vhdx</t>
  </si>
  <si>
    <t>C:-ClusterStorage-Volume4-labsmtweb02n-labsmtweb02n_e.vhdx</t>
  </si>
  <si>
    <t>c:-clusterstorage-volume4-labsmtweb02n-vm2012r2sp0f.vhdx</t>
  </si>
  <si>
    <t>C:-ClusterStorage-Volume4-lab-wds-20-lab-wds-20_C.vhdx</t>
  </si>
  <si>
    <t>C:-ClusterStorage-Volume4-lab-wds-20-lab-wds-20_d.vhdx</t>
  </si>
  <si>
    <t>C:-ClusterStorage-Volume4-lab-wds-20-lab-wds-20_disk_D.vhdx</t>
  </si>
  <si>
    <t>C:-ClusterStorage-Volume4-lab-wds-20-lab-wds-20_w.vhdx</t>
  </si>
  <si>
    <t>C:-ClusterStorage-Volume5-labconvergdev01-labconvergdev01_C.vhdx</t>
  </si>
  <si>
    <t>C:-ClusterStorage-Volume5-labconvergdev01-labconvergdev01_d.vhdx</t>
  </si>
  <si>
    <t>C:-ClusterStorage-Volume5-labconvergdev01-labconvergdev01_disk_P.vhdx</t>
  </si>
  <si>
    <t>C:-ClusterStorage-Volume5-labconvergdev01-labconvergdev01_disk_R.vhdx</t>
  </si>
  <si>
    <t>C:-ClusterStorage-Volume5-labconvergdev01-labconvergdev01_disk_S.vhdx</t>
  </si>
  <si>
    <t>C:-ClusterStorage-Volume5-labconvergdev01-labconvergdev01_disk_U.vhdx</t>
  </si>
  <si>
    <t>C:-ClusterStorage-Volume5-labconvergdev01-labconvergdev01_disk_V.vhdx</t>
  </si>
  <si>
    <t>C:-ClusterStorage-Volume5-labconvergdev01-labconvergdev01_disk_W.vhdx</t>
  </si>
  <si>
    <t>C:-ClusterStorage-Volume5-labconvergdev01-labconvergdev01_disk_X.vhdx</t>
  </si>
  <si>
    <t>C:-ClusterStorage-Volume5-labconvergdev01-labconvergdev01_disk_Y.vhdx</t>
  </si>
  <si>
    <t>C:-ClusterStorage-Volume5-labconvergdev01-labconvergdev01_e.vhdx</t>
  </si>
  <si>
    <t>C:-ClusterStorage-Volume5-labconvergdev01-labconvergdev01_h.vhdx</t>
  </si>
  <si>
    <t>C:-ClusterStorage-Volume5-labconvergdev01-labconvergdev01_o.vhdx</t>
  </si>
  <si>
    <t>C:-ClusterStorage-Volume5-labconvergdev01-labconvergdev01_t.vhdx</t>
  </si>
  <si>
    <t>C:-ClusterStorage-Volume1-labcscwb02-labcscwb02_c.vhdx</t>
  </si>
  <si>
    <t>C:-ClusterStorage-Volume1-labcscwb02-labcscwb02_d.vhdx</t>
  </si>
  <si>
    <t>C:-ClusterStorage-Volume1-labcscwb02-labcscwb02_e.vhdx</t>
  </si>
  <si>
    <t>C:-ClusterStorage-Volume1-labedbzvwbxp01-labedbzvwbxp01_c.vhdx</t>
  </si>
  <si>
    <t>C:-ClusterStorage-Volume1-labimeamist02-labimeamist02_C.vhdx</t>
  </si>
  <si>
    <t>C:-ClusterStorage-Volume1-labimeamist02-labimeamist02_d.vhdx</t>
  </si>
  <si>
    <t>C:-ClusterStorage-Volume1-labmsspldmldb01-labmsspldmldb01_C.vhdx</t>
  </si>
  <si>
    <t>C:-ClusterStorage-Volume1-labmsspldmldb01-labmsspldmldb01_d.vhdx</t>
  </si>
  <si>
    <t>C:-ClusterStorage-Volume1-labpmcprodcrm02-labpmcprodcrm02_d.vhdx</t>
  </si>
  <si>
    <t>C:-ClusterStorage-Volume1-labpmcprodcrm02-vm2012r2sp0f.vhdx</t>
  </si>
  <si>
    <t>C:-ClusterStorage-Volume4-labitqlsscan01-qVSA-2.0_16-2-disk1.vhd</t>
  </si>
  <si>
    <t>C:-ClusterStorage-Volume4-labthmsql02-labthmsql02_C.vhdx</t>
  </si>
  <si>
    <t>C:-ClusterStorage-Volume4-labthmsql02-labthmsql02_d.vhdx</t>
  </si>
  <si>
    <t>C:-ClusterStorage-Volume4-labthmsql02-labthmsql02_e.vhdx</t>
  </si>
  <si>
    <t>C:-ClusterStorage-Volume4-labthmsql02-labthmsql02_f.vhdx</t>
  </si>
  <si>
    <t>C:-ClusterStorage-Volume4-labthmsql02-labthmsql02_h.vhdx</t>
  </si>
  <si>
    <t>C:-ClusterStorage-Volume4-labthmsql02-labthmsql02_o.vhdx</t>
  </si>
  <si>
    <t>C:-ClusterStorage-Volume4-labthmsql02-labthmsql02_t.vhdx</t>
  </si>
  <si>
    <t>C:-ClusterStorage-Volume1-labmsspldmldb02-labmsspldmldb02_C.vhdx</t>
  </si>
  <si>
    <t>C:-ClusterStorage-Volume1-labmsspldmldb02-labmsspldmldb02_d.vhdx</t>
  </si>
  <si>
    <t>C:-ClusterStorage-Volume1-labpmcprodcrm03-labpmcprodcrm03_d.vhdx</t>
  </si>
  <si>
    <t>C:-ClusterStorage-Volume1-labpmcprodcrm03-vm2012r2sp0f.vhdx</t>
  </si>
  <si>
    <t>C:-ClusterStorage-Volume2-labcidevsql03-labcidevsql03_C.vhdx</t>
  </si>
  <si>
    <t>C:-ClusterStorage-Volume2-labcidevsql03-labcidevsql03_disk_1_D.vhdx</t>
  </si>
  <si>
    <t>C:-ClusterStorage-Volume2-labcidevsql03-labcidevsql03_disk_1_E.vhdx</t>
  </si>
  <si>
    <t>C:-ClusterStorage-Volume2-labcidevsql03-labcidevsql03_disk_1_H.vhdx</t>
  </si>
  <si>
    <t>C:-ClusterStorage-Volume2-labcidevsql03-labcidevsql03_disk_1_O.vhdx</t>
  </si>
  <si>
    <t>C:-ClusterStorage-Volume2-labcidevsql03-labcidevsql03_disk_1_T.vhdx</t>
  </si>
  <si>
    <t>C:-ClusterStorage-Volume4-lab-wds-19-lab-wds-19_C.vhdx</t>
  </si>
  <si>
    <t>C:-ClusterStorage-Volume4-lab-wds-19-lab-wds-19_d.vhdx</t>
  </si>
  <si>
    <t>C:-ClusterStorage-Volume4-lab-wds-19-lab-wds-19_disk_D.vhdx</t>
  </si>
  <si>
    <t>C:-ClusterStorage-Volume4-lab-wds-19-lab-wds-19_w.vhdx</t>
  </si>
  <si>
    <t>C:-ClusterStorage-volume2-labicesql0a-labicesql0a_c.vhdx</t>
  </si>
  <si>
    <t>c:-clusterstorage-volume2-labicesql0a-labicesql0a_d.vhdx</t>
  </si>
  <si>
    <t>C:-ClusterStorage-Volume1-labconvergdev06-labconvergdev06_C.vhdx</t>
  </si>
  <si>
    <t>C:-ClusterStorage-Volume1-labconvergdev06-labconvergdev06_d.vhdx</t>
  </si>
  <si>
    <t>C:-ClusterStorage-Volume1-labconvergdev06-labconvergdev06_disk_j.vhdx</t>
  </si>
  <si>
    <t>C:-ClusterStorage-Volume1-labconvergdev06-labconvergdev06_disk_K.vhdx</t>
  </si>
  <si>
    <t>C:-ClusterStorage-Volume1-labconvergdev06-labconvergdev06_disk_L.vhdx</t>
  </si>
  <si>
    <t>C:-ClusterStorage-Volume1-labconvergdev06-labconvergdev06_disk_M.vhdx</t>
  </si>
  <si>
    <t>C:-ClusterStorage-Volume1-labconvergdev06-labconvergdev06_e.vhdx</t>
  </si>
  <si>
    <t>C:-ClusterStorage-Volume1-labconvergdev06-labconvergdev06_h.vhdx</t>
  </si>
  <si>
    <t>C:-ClusterStorage-Volume1-labconvergdev06-labconvergdev06_I.vhdx</t>
  </si>
  <si>
    <t>C:-ClusterStorage-Volume1-labconvergdev06-labconvergdev06_o.vhdx</t>
  </si>
  <si>
    <t>C:-ClusterStorage-Volume1-labconvergdev06-labconvergdev06_t.vhdx</t>
  </si>
  <si>
    <t>C:-ClusterStorage-Volume3-labedmpcvsqxp01-labedmpcvsqxp01_d.vhdx</t>
  </si>
  <si>
    <t>C:-ClusterStorage-Volume3-labedmpcvsqxp01-labedmpcvsqxp01_e.vhdx</t>
  </si>
  <si>
    <t>C:-ClusterStorage-Volume3-labedmpcvsqxp01-labedmpcvsqxp01_h.vhdx</t>
  </si>
  <si>
    <t>C:-ClusterStorage-Volume3-labedmpcvsqxp01-labedmpcvsqxp01_o.vhdx</t>
  </si>
  <si>
    <t>C:-ClusterStorage-Volume3-labedmpcvsqxp01-labedmpcvsqxp01_t.vhdx</t>
  </si>
  <si>
    <t>C:-ClusterStorage-volume3-labedmpcvsqxp01-vm2012r2sp0f.vhdx</t>
  </si>
  <si>
    <t>C:-ClusterStorage-Volume2-lab-sfsql-04-lab-sfsql-04_C.vhdx</t>
  </si>
  <si>
    <t>C:-ClusterStorage-Volume2-lab-sfsql-04-lab-sfsql-04_d.vhdx</t>
  </si>
  <si>
    <t>C:-ClusterStorage-Volume4-lab-sfsql-07-lab-sfsql-07_C.vhdx</t>
  </si>
  <si>
    <t>C:-ClusterStorage-Volume4-lab-sfsql-07-lab-sfsql-07_d.vhdx</t>
  </si>
  <si>
    <t>C:-ClusterStorage-volume2-lab-sspm-vm01-lab-sspm-vm01_d.vhd</t>
  </si>
  <si>
    <t>c:-clusterstorage-volume2-lab-sspm-vm01-lab-sspm-vm01_e.vhd</t>
  </si>
  <si>
    <t>C:-ClusterStorage-volume2-lab-sspm-vm01-lab-sspm-vm01_vm2012r2sp0f-n.vhdx</t>
  </si>
  <si>
    <t>C:-ClusterStorage-Volume1-lab-sfsql-01-lab-sfsql-01_C.vhdx</t>
  </si>
  <si>
    <t>C:-ClusterStorage-Volume1-lab-sfsql-01-lab-sfsql-01_d.vhdx</t>
  </si>
  <si>
    <t>C:-ClusterStorage-volume4-lab-sfsql-08-lab-sfsql-08_c.vhdx</t>
  </si>
  <si>
    <t>C:-ClusterStorage-volume4-lab-sfsql-08-lab-sfsql-08_d.vhdx</t>
  </si>
  <si>
    <t>C:-ClusterStorage-Volume2-lab-sfsql-03-lab-sfsql-03_C.vhdx</t>
  </si>
  <si>
    <t>C:-ClusterStorage-Volume2-lab-sfsql-03-lab-sfsql-03_d.vhdx</t>
  </si>
  <si>
    <t>C:-ClusterStorage-Volume5-lab-sfsql-05-lab-sfsql-05_C.vhdx</t>
  </si>
  <si>
    <t>C:-ClusterStorage-Volume5-lab-sfsql-05-lab-sfsql-05_d.vhdx</t>
  </si>
  <si>
    <t>C:-ClusterStorage-Volume4-labscntvsqxp01b-labscntvsqxp01b_c.vhd</t>
  </si>
  <si>
    <t>C:-ClusterStorage-Volume4-labscntvsqxp01b-labscntvsqxp01b_d.vhdx</t>
  </si>
  <si>
    <t>C:-ClusterStorage-Volume4-labscntvsqxp01b-labscntvsqxp01b_e.vhdx</t>
  </si>
  <si>
    <t>C:-ClusterStorage-Volume5-lab-sfsql-06-lab-sfsql-06_C.vhdx</t>
  </si>
  <si>
    <t>C:-ClusterStorage-Volume5-lab-sfsql-06-lab-sfsql-06_d.vhdx</t>
  </si>
  <si>
    <t>C:-ClusterStorage-volume1-labmoodysql0b-labpmcppeindb02_c$- new.vhdx</t>
  </si>
  <si>
    <t>C:-ClusterStorage-volume1-labmoodysql0b-labpmcppeindb02_d.vhdx</t>
  </si>
  <si>
    <t>C:-ClusterStorage-Volume1-lab-sfsql-02-lab-sfsql-02_C.vhdx</t>
  </si>
  <si>
    <t>C:-ClusterStorage-Volume1-lab-sfsql-02-lab-sfsql-02_d.vhdx</t>
  </si>
  <si>
    <t>CONTOSO-EB001_x000D_
CONTOSO-EB002_x000D_
CONTOSO-EB003_x000D_
CONTOSO-EB004_x000D_
CONTOSO-EB005_x000D_
CONTOSO-EB006_x000D_
CONTOSO-EB007_x000D_
CONTOSO-EB008</t>
  </si>
  <si>
    <t>CONTOSO-EB006</t>
  </si>
  <si>
    <t>CONTOSO-EC001</t>
  </si>
  <si>
    <t>CONTOSO-EC001_x000D_
CONTOSO-EC002_x000D_
CONTOSO-EC003_x000D_
CONTOSO-EC004_x000D_
CONTOSO-EC005_x000D_
CONTOSO-EC006_x000D_
CONTOSO-EC007_x000D_
CONTOSO-EC008</t>
  </si>
  <si>
    <t>CONTOSO-EC004</t>
  </si>
  <si>
    <t>CONTOSO-EC007</t>
  </si>
  <si>
    <t>CONTOSO-ED001</t>
  </si>
  <si>
    <t>CONTOSO-ED001_x000D_
CONTOSO-ED002_x000D_
CONTOSO-ED003_x000D_
CONTOSO-ED004_x000D_
CONTOSO-ED005_x000D_
CONTOSO-ED006_x000D_
CONTOSO-ED007_x000D_
CONTOSO-ED008</t>
  </si>
  <si>
    <t>CONTOSO-ED003</t>
  </si>
  <si>
    <t>CONTOSO-ED004</t>
  </si>
  <si>
    <t>CONTOSO-EE001</t>
  </si>
  <si>
    <t>CONTOSO-EE001_x000D_
CONTOSO-EE002_x000D_
CONTOSO-EE003_x000D_
CONTOSO-EE004_x000D_
CONTOSO-EE005_x000D_
CONTOSO-EE006_x000D_
CONTOSO-EE007_x000D_
CONTOSO-EE008</t>
  </si>
  <si>
    <t>CONTOSO-EE005</t>
  </si>
  <si>
    <t>CONTOSO-EE006</t>
  </si>
  <si>
    <t>CONTOSO-FA001_x000D_
CONTOSO-FA002_x000D_
CONTOSO-FA003_x000D_
CONTOSO-FA004_x000D_
CONTOSO-FA005_x000D_
CONTOSO-FA006_x000D_
CONTOSO-FA007_x000D_
CONTOSO-FA008</t>
  </si>
  <si>
    <t>CONTOSO-FA002</t>
  </si>
  <si>
    <t>labmagicsql1 (CONTOSO-EE001)</t>
  </si>
  <si>
    <t>labimewebtt01 (CONTOSO-EE002)</t>
  </si>
  <si>
    <t>lab-o365a-02 (CONTOSO-EE002)</t>
  </si>
  <si>
    <t>lab-corp-ra-01 (CONTOSO-EE002)</t>
  </si>
  <si>
    <t>labpmctprodweb2 (CONTOSO-EE002)</t>
  </si>
  <si>
    <t>labvmppeapp (CONTOSO-EE002)</t>
  </si>
  <si>
    <t>labxitexsqlb (CONTOSO-EB006)</t>
  </si>
  <si>
    <t>msxsql1 (CONTOSO-EB006)</t>
  </si>
  <si>
    <t>labpmcprodcrm04 (CONTOSO-EB006)</t>
  </si>
  <si>
    <t>labroqqamsgv03 (CONTOSO-EB006)</t>
  </si>
  <si>
    <t>labvmbgitcbweb2 (CONTOSO-EB006)</t>
  </si>
  <si>
    <t>labvmsymweb03 (CONTOSO-EB006)</t>
  </si>
  <si>
    <t>labvmsymweb08 (CONTOSO-EB006)</t>
  </si>
  <si>
    <t>labvbgtalisw01 (CONTOSO-EB006)</t>
  </si>
  <si>
    <t>cplabit1bavm001 (CONTOSO-EE003)</t>
  </si>
  <si>
    <t>labcpdmuatsql1 (CONTOSO-EE003)</t>
  </si>
  <si>
    <t>labbgitpscln01 (CONTOSO-EE003)</t>
  </si>
  <si>
    <t>labconvergdev03 (CONTOSO-EB007)</t>
  </si>
  <si>
    <t>lab-daskp-02 (CONTOSO-EB007)</t>
  </si>
  <si>
    <t>labiceweb02 (CONTOSO-EB007)</t>
  </si>
  <si>
    <t>lab-svcapp-03 (CONTOSO-EB007)</t>
  </si>
  <si>
    <t>labwatchtower0b (CONTOSO-EB007)</t>
  </si>
  <si>
    <t>labconvergdev02 (CONTOSO-EB007)</t>
  </si>
  <si>
    <t>lab-svcsfw-01 (CONTOSO-EB007)</t>
  </si>
  <si>
    <t>lab-nps-sgrp-01 (CONTOSO-EB007)</t>
  </si>
  <si>
    <t>labgpgtrvlsrv01 (CONTOSO-EB008)</t>
  </si>
  <si>
    <t>labnprts01 (CONTOSO-EB008)</t>
  </si>
  <si>
    <t>labpiappsm03 (CONTOSO-EB008)</t>
  </si>
  <si>
    <t>lab-svcsfw-02 (CONTOSO-EB008)</t>
  </si>
  <si>
    <t>labthmsql01 (CONTOSO-EB008)</t>
  </si>
  <si>
    <t>labicewebpp01 (CONTOSO-EB008)</t>
  </si>
  <si>
    <t>labpiwebxsm02 (CONTOSO-EB008)</t>
  </si>
  <si>
    <t>labicewebpp02 (CONTOSO-EB008)</t>
  </si>
  <si>
    <t>labscntvsqxp01a (CONTOSO-EC001)</t>
  </si>
  <si>
    <t>labicesql0b (CONTOSO-EC001)</t>
  </si>
  <si>
    <t>labcbppeweb01 (CONTOSO-EE004)</t>
  </si>
  <si>
    <t>labimewebtt02 (CONTOSO-EE004)</t>
  </si>
  <si>
    <t>labpiintsm03 (CONTOSO-EE004)</t>
  </si>
  <si>
    <t>labeitprodweb2 (CONTOSO-EE004)</t>
  </si>
  <si>
    <t>labcdflweb04 (CONTOSO-EE004)</t>
  </si>
  <si>
    <t>labimeamist01 (CONTOSO-EE004)</t>
  </si>
  <si>
    <t>lab-daskp-03 (CONTOSO-EE005)</t>
  </si>
  <si>
    <t>labesvmrfsq3 (CONTOSO-EE005)</t>
  </si>
  <si>
    <t>labcidevsql02 (CONTOSO-EE005)</t>
  </si>
  <si>
    <t>labesvmrfsq4 (CONTOSO-EE005)</t>
  </si>
  <si>
    <t>labimetrillvm01 (CONTOSO-EE006)</t>
  </si>
  <si>
    <t>labpaprdsql01 (CONTOSO-EE006)</t>
  </si>
  <si>
    <t>lab-daskp-01 (CONTOSO-EE006)</t>
  </si>
  <si>
    <t>labgfss2p01 (CONTOSO-EE006)</t>
  </si>
  <si>
    <t>lab-ndes-05 (CONTOSO-EE006)</t>
  </si>
  <si>
    <t>labsabmartds01 (CONTOSO-EE006)</t>
  </si>
  <si>
    <t>labsmtweb02n (CONTOSO-EE006)</t>
  </si>
  <si>
    <t>lab-wds-20 (CONTOSO-EE006)</t>
  </si>
  <si>
    <t>labconvergdev01 (CONTOSO-EC005)</t>
  </si>
  <si>
    <t>labcscwb02 (CONTOSO-EE007)</t>
  </si>
  <si>
    <t>labedbzvwbxp01 (CONTOSO-EE007)</t>
  </si>
  <si>
    <t>labimeamist02 (CONTOSO-EE007)</t>
  </si>
  <si>
    <t>labmsspldmldb01 (CONTOSO-EE007)</t>
  </si>
  <si>
    <t>labpmcprodcrm02 (CONTOSO-EE007)</t>
  </si>
  <si>
    <t>lab-svcapp-01 (CONTOSO-EE007)</t>
  </si>
  <si>
    <t>labitqlsscan01 (CONTOSO-EE007)</t>
  </si>
  <si>
    <t>labthmsql02 (CONTOSO-EE007)</t>
  </si>
  <si>
    <t>labmsspldmldb02 (CONTOSO-EE008)</t>
  </si>
  <si>
    <t>labpmcprodcrm03 (CONTOSO-EE008)</t>
  </si>
  <si>
    <t>lab-svcapp-02 (CONTOSO-EE008)</t>
  </si>
  <si>
    <t>labcidevsql03 (CONTOSO-EE008)</t>
  </si>
  <si>
    <t>labmagicsql2 (CONTOSO-EE008)</t>
  </si>
  <si>
    <t>lab-wds-19 (CONTOSO-EE008)</t>
  </si>
  <si>
    <t>labicesql0a (CONTOSO-EC007)</t>
  </si>
  <si>
    <t>labconvergdev06 (CONTOSO-FA001)</t>
  </si>
  <si>
    <t>labedmpcvsqxp01 (CONTOSO-FA001)</t>
  </si>
  <si>
    <t>labrschidx03 (CONTOSO-FA001)</t>
  </si>
  <si>
    <t>lab-sfsql-04 (CONTOSO-ED001)</t>
  </si>
  <si>
    <t>lab-sfsql-07 (CONTOSO-ED001)</t>
  </si>
  <si>
    <t>lab-sspm-vm01 (CONTOSO-FA002)</t>
  </si>
  <si>
    <t>lab-sfsql-01 (CONTOSO-ED003)</t>
  </si>
  <si>
    <t>lab-sfsql-08 (CONTOSO-ED003)</t>
  </si>
  <si>
    <t>lab-sfsql-03 (CONTOSO-ED004)</t>
  </si>
  <si>
    <t>lab-sfsql-05 (CONTOSO-ED004)</t>
  </si>
  <si>
    <t>labscntvsqxp01b (CONTOSO-EC004)</t>
  </si>
  <si>
    <t>labmoodysql0a (CONTOSO-ED008)</t>
  </si>
  <si>
    <t>lab-sfsql-06 (CONTOSO-ED008)</t>
  </si>
  <si>
    <t>labmoodysql0b (CONTOSO-ED006)</t>
  </si>
  <si>
    <t>lab-sfsql-02 (CONTOSO-ED006)</t>
  </si>
  <si>
    <t>C:-ClusterStorage-Volume1-LAB-O365A-02-lab-sfowa-03_d.vhdx</t>
  </si>
  <si>
    <t>C:-ClusterStorage-Volume1-LAB-O365A-02-lab-sfowa-03_e.vhdx</t>
  </si>
  <si>
    <t>C:-ClusterStorage-Volume1-LAB-O365A-02-vm2012r2sp0f.vhdx</t>
  </si>
  <si>
    <t>C:-ClusterStorage-Volume4-LAB-CORP-RA-01-LAB-CORP-RA-01_VM2012R2SP0F.vhdx</t>
  </si>
  <si>
    <t>C:-ClusterStorage-Volume4-LAB-CORP-RA-01-lab-rdj-01_d.vhdx</t>
  </si>
  <si>
    <t>C:-ClusterStorage-Volume4-LABPMCTPRODWEB2-labpmctprodweb2_c.vhdx</t>
  </si>
  <si>
    <t>C:-ClusterStorage-Volume4-LABPMCTPRODWEB2-labpmctprodweb2_d.vhdx</t>
  </si>
  <si>
    <t>C:-ClusterStorage-Volume4-LABPMCTPRODWEB2-labpmctprodweb2_e.vhdx</t>
  </si>
  <si>
    <t>C:-ClusterStorage-Volume4-LABPMCTPRODWEB2-labpmctprodweb2_h.vhdx</t>
  </si>
  <si>
    <t>C:-ClusterStorage-Volume4-LABPMCTPRODWEB2-labpmctprodweb2_o.vhdx</t>
  </si>
  <si>
    <t>C:-ClusterStorage-Volume4-LABPMCTPRODWEB2-labpmctprodweb2_t.vhdx</t>
  </si>
  <si>
    <t>C:-ClusterStorage-Volume4-LABVMPPEAPP-labvmppeapp_d.vhd</t>
  </si>
  <si>
    <t>C:-ClusterStorage-Volume4-LABVMPPEAPP-LABVMPPEAPP_disk_C.vhdx</t>
  </si>
  <si>
    <t>C:-ClusterStorage-Volume4-LABVMPPEAPP-labvmppeapp_f.vhd</t>
  </si>
  <si>
    <t>C:-ClusterStorage-Volume2-labpmcprodcrm04-LABPMCPRODCRM04_E.vhdx</t>
  </si>
  <si>
    <t>C:-ClusterStorage-Volume2-LABROQQAMSGV03-LABROQQAMSGV03_E$.vhdx</t>
  </si>
  <si>
    <t>C:-ClusterStorage-Volume2-LABROQQAMSGV03-LABROQQAMSGV03_R.vhdx</t>
  </si>
  <si>
    <t>C:-ClusterStorage-Volume4-LABVBGTALISW01-1-LABVBGTALISW01.vhd</t>
  </si>
  <si>
    <t>C:-ClusterStorage-Volume4-LABVBGTALISW01-1-labvbgtalisw01_1.vhd</t>
  </si>
  <si>
    <t>C:-ClusterStorage-Volume4-LABVBGTALISW01-1-labvbgtalisw01_2.vhd</t>
  </si>
  <si>
    <t>C:-ClusterStorage-Volume4-LABVBGTALISW01-1-vm2012r2sp0f.vhdx</t>
  </si>
  <si>
    <t>C:-ClusterStorage-Volume2-LABICEWeb02-labiceweb02_c.vhdx</t>
  </si>
  <si>
    <t>C:-ClusterStorage-Volume2-LABICEWeb02-labiceweb02_d.vhdx</t>
  </si>
  <si>
    <t>C:-ClusterStorage-Volume2-LABICEWeb02-labiceweb02_e.vhdx</t>
  </si>
  <si>
    <t>C:-ClusterStorage-Volume2-LAB-SVCAPP-03-lab-svcapp-03_d.vhdx</t>
  </si>
  <si>
    <t>C:-ClusterStorage-Volume2-LAB-SVCAPP-03-lab-svcapp-03_e.vhdx</t>
  </si>
  <si>
    <t>C:-ClusterStorage-Volume2-LAB-SVCAPP-03-lab-svcapp-03-2012r2sp0f_new.vhdx</t>
  </si>
  <si>
    <t>C:-ClusterStorage-Volume2-LABWATCHTOWER0B-labwatchtower0b.vhd</t>
  </si>
  <si>
    <t>C:-ClusterStorage-Volume2-LABWATCHTOWER0B-labwatchtower0b_01.vhd</t>
  </si>
  <si>
    <t>C:-ClusterStorage-Volume2-LABWATCHTOWER0B-labwatchtower0b_02.vhd</t>
  </si>
  <si>
    <t>C:-ClusterStorage-Volume2-LABGPGTRVLSRV01-labgpgtrvlsrv01_c.vhdx</t>
  </si>
  <si>
    <t>C:-ClusterStorage-Volume2-LABGPGTRVLSRV01-labgpgtrvlsrv01_d.vhdx</t>
  </si>
  <si>
    <t>C:-ClusterStorage-Volume2-LABGPGTRVLSRV01-labgpgtrvlsrv01_e.vhdx</t>
  </si>
  <si>
    <t>C:-ClusterStorage-Volume2-LABGPGTRVLSRV01-labgpgtrvlsrv01_h.vhdx</t>
  </si>
  <si>
    <t>C:-ClusterStorage-Volume2-LABGPGTRVLSRV01-labgpgtrvlsrv01_o.vhdx</t>
  </si>
  <si>
    <t>C:-ClusterStorage-Volume2-LABGPGTRVLSRV01-labgpgtrvlsrv01_t.vhdx</t>
  </si>
  <si>
    <t>C:-ClusterStorage-Volume2-LABNPRTS01-LABNPRTS01_D.VHD</t>
  </si>
  <si>
    <t>C:-ClusterStorage-Volume2-LABNPRTS01-VM-W2008R2F.VHD</t>
  </si>
  <si>
    <t>C:-ClusterStorage-Volume2-LAB-SVCSFW-02-lab-svcsfw-02_d.vhdx</t>
  </si>
  <si>
    <t>C:-ClusterStorage-Volume2-LAB-SVCSFW-02-lab-svcsfw-02_e.vhdx</t>
  </si>
  <si>
    <t>C:-ClusterStorage-Volume2-LAB-SVCSFW-02-vm2012r2sp0f_n.vhdx</t>
  </si>
  <si>
    <t>C:-ClusterStorage-Volume3-LABICEWebPP01-labicewebpp01_c.vhdx</t>
  </si>
  <si>
    <t>C:-ClusterStorage-Volume3-LABICEWebPP01-labicewebpp01_d.vhdx</t>
  </si>
  <si>
    <t>C:-ClusterStorage-Volume3-LABICEWebPP01-labicewebpp01_e.vhdx</t>
  </si>
  <si>
    <t>C:-ClusterStorage-Volume4-LABICEWebPP02-labicewebpp02_c.vhdx</t>
  </si>
  <si>
    <t>C:-ClusterStorage-Volume4-LABICEWebPP02-labicewebpp02_d.vhdx</t>
  </si>
  <si>
    <t>C:-ClusterStorage-Volume4-LABICEWebPP02-labicewebpp02_e.vhdx</t>
  </si>
  <si>
    <t>C:-ClusterStorage-Volume1-LABCBPPEWEB01-labcbppeweb01_d.vhd</t>
  </si>
  <si>
    <t>C:-ClusterStorage-Volume1-LABCBPPEWEB01-LABCBPPEWEB01_Win2k12R2SP0_50GB_vhdx.vhdx</t>
  </si>
  <si>
    <t>C:-ClusterStorage-Volume3-LABEITPRODWEB2-labeitprodweb2_02.vhd</t>
  </si>
  <si>
    <t>C:-ClusterStorage-Volume3-LABEITPRODWEB2-labeitprodweb2_03.vhd</t>
  </si>
  <si>
    <t>C:-ClusterStorage-Volume3-LABEITPRODWEB2-labeitprodweb2_04.vhd</t>
  </si>
  <si>
    <t>C:-ClusterStorage-Volume3-LABEITPRODWEB2-labeitprodweb2_05.vhd</t>
  </si>
  <si>
    <t>C:-ClusterStorage-Volume3-LABEITPRODWEB2-labeitprodweb2_d.vhd</t>
  </si>
  <si>
    <t>C:-ClusterStorage-Volume3-LABEITPRODWEB2-labeitprodweb2_disk_g.vhd</t>
  </si>
  <si>
    <t>C:-ClusterStorage-Volume3-LABEITPRODWEB2-labeitprodweb2_disk_i.vhd</t>
  </si>
  <si>
    <t>C:-ClusterStorage-Volume3-LABEITPRODWEB2-labeitprodweb2_disk_y.vhd</t>
  </si>
  <si>
    <t>C:-ClusterStorage-Volume3-LABEITPRODWEB2-labeitprodweb2_vm2012r2sp0f.vhdx</t>
  </si>
  <si>
    <t>C:-ClusterStorage-Volume4-LABCDFLWEB04-labcdflweb04_c.vhdx</t>
  </si>
  <si>
    <t>C:-ClusterStorage-Volume4-LABCDFLWEB04-labcdflweb04_d.vhdx</t>
  </si>
  <si>
    <t>C:-ClusterStorage-Volume1-labedbzvwbxp01-LABEDBZVWBXP01_D.vhdx</t>
  </si>
  <si>
    <t>C:-ClusterStorage-Volume1-labedbzvwbxp01-LABEDBZVWBXP01_E.vhdx</t>
  </si>
  <si>
    <t>C:-ClusterStorage-Volume1-labpmcprodcrm02-LABPMCPRODCRM02_E.vhdx</t>
  </si>
  <si>
    <t>C:-ClusterStorage-Volume1-LAB-SVCAPP-01-lab-svcapp-01_d.vhdx</t>
  </si>
  <si>
    <t>C:-ClusterStorage-Volume1-LAB-SVCAPP-01-lab-svcapp-01_e.vhdx</t>
  </si>
  <si>
    <t>C:-ClusterStorage-Volume1-LAB-SVCAPP-01-lab-svcapp-012012r2sp0f_n.vhdx</t>
  </si>
  <si>
    <t>C:-ClusterStorage-Volume1-labpmcprodcrm03-LABPMCPRODCRM03_E.vhdx</t>
  </si>
  <si>
    <t>C:-ClusterStorage-Volume1-LAB-SVCAPP-02-lab-svcapp-02_2012r2sp0f_n.vhdx</t>
  </si>
  <si>
    <t>C:-ClusterStorage-Volume1-LAB-SVCAPP-02-lab-svcapp-02_d.vhdx</t>
  </si>
  <si>
    <t>C:-ClusterStorage-Volume1-LAB-SVCAPP-02-lab-svcapp-02_e.vhdx</t>
  </si>
  <si>
    <t>C:-ClusterStorage-Volume3-LABMAGICSQL2-labmagicsql2_d.vhdx</t>
  </si>
  <si>
    <t>C:-ClusterStorage-Volume3-LABMAGICSQL2-LABMAGICSQL2_disk_c.vhdx</t>
  </si>
  <si>
    <t>C:-ClusterStorage-Volume3-LABMAGICSQL2-labmagicsql2_e.vhdx</t>
  </si>
  <si>
    <t>C:-ClusterStorage-Volume3-LABMAGICSQL2-labmagicsql2_f.vhdx</t>
  </si>
  <si>
    <t>C:-ClusterStorage-Volume3-LABMAGICSQL2-labmagicsql2_h.vhdx</t>
  </si>
  <si>
    <t>C:-ClusterStorage-Volume3-LABMAGICSQL2-labmagicsql2_i.vhdx</t>
  </si>
  <si>
    <t>C:-ClusterStorage-Volume3-LABMAGICSQL2-labmagicsql2_o.vhdx</t>
  </si>
  <si>
    <t>C:-ClusterStorage-Volume3-LABMAGICSQL2-labmagicsql2_t.vhdx</t>
  </si>
  <si>
    <t>C:-ClusterStorage-Volume1-labconvergdev06-LABCONVERGDEV06_G.vhdx</t>
  </si>
  <si>
    <t>C:-ClusterStorage-Volume1-labconvergdev06-LABCONVERGDEV06_P.vhdx</t>
  </si>
  <si>
    <t>C:-ClusterStorage-Volume7-LABRSCHIDX03-labrschidx03_d.vhdx</t>
  </si>
  <si>
    <t>C:-ClusterStorage-Volume7-LABRSCHIDX03-labrschidx03_e.vhdx</t>
  </si>
  <si>
    <t>C:-ClusterStorage-Volume7-LABRSCHIDX03-LABRSCHIDX03_L.vhdx</t>
  </si>
  <si>
    <t>C:-ClusterStorage-Volume7-LABRSCHIDX03-labrschidx03_vm2012r2sp0f.vhdx</t>
  </si>
  <si>
    <t>C:-ClusterStorage-Volume4-LABmoodysql0a-LABmoodysql0a_d.vhdx</t>
  </si>
  <si>
    <t>C:-ClusterStorage-Volume4-LABmoodysql0a-LABmoodysql0a_VM2012R2SP0F_C.vhdx</t>
  </si>
  <si>
    <t>labmagicsql1 (CONTOSO-EE001), labvmppeapp (CONTOSO-EE002), labcpdmuatsql1 (CONTOSO-EE003), labbgitpscln01 (CONTOSO-EE003), labthmsql01 (CONTOSO-EB008), labimetrillvm01 (CONTOSO-EE006), labmagicsql2 (CONTOSO-EE008), labicesql0a (CONTOSO-EC007), labrschidx03 (CONTOSO-FA001)</t>
  </si>
  <si>
    <t>labimewebtt01 (CONTOSO-EE002), lab-o365a-02 (CONTOSO-EE002), lab-corp-ra-01 (CONTOSO-EE002), labpmctprodweb2 (CONTOSO-EE002), labxitexsqlb (CONTOSO-EB006), msxsql1 (CONTOSO-EB006), labpmcprodcrm04 (CONTOSO-EB006), labroqqamsgv03 (CONTOSO-EB006), labvmbgitcbweb2 (CONTOSO-EB006), labvmsymweb03 (CONTOSO-EB006), labvmsymweb08 (CONTOSO-EB006), labvbgtalisw01 (CONTOSO-EB006), cplabit1bavm001 (CONTOSO-EE003), labconvergdev03 (CONTOSO-EB007), lab-daskp-02 (CONTOSO-EB007), labiceweb02 (CONTOSO-EB007), lab-svcapp-03 (CONTOSO-EB007), labwatchtower0b (CONTOSO-EB007), labconvergdev02 (CONTOSO-EB007), lab-svcsfw-01 (CONTOSO-EB007), lab-nps-sgrp-01 (CONTOSO-EB007), labgpgtrvlsrv01 (CONTOSO-EB008), labnprts01 (CONTOSO-EB008), labpiappsm03 (CONTOSO-EB008), lab-svcsfw-02 (CONTOSO-EB008), labicewebpp01 (CONTOSO-EB008), labpiwebxsm02 (CONTOSO-EB008), labicewebpp02 (CONTOSO-EB008), labscntvsqxp01a (CONTOSO-EC001), labicesql0b (CONTOSO-EC001), labcbppeweb01 (CONTOSO-EE004), labimewebtt02 (CONTOSO-EE004), labpiintsm03 (CONTOSO-EE004), labeitprodweb2 (CONTOSO-EE004), labcdflweb04 (CONTOSO-EE004), labimeamist01 (CONTOSO-EE004), lab-daskp-03 (CONTOSO-EE005), labesvmrfsq3 (CONTOSO-EE005), labcidevsql02 (CONTOSO-EE005), labesvmrfsq4 (CONTOSO-EE005), labpaprdsql01 (CONTOSO-EE006), lab-daskp-01 (CONTOSO-EE006), labgfss2p01 (CONTOSO-EE006), lab-ndes-05 (CONTOSO-EE006), labsabmartds01 (CONTOSO-EE006), labsmtweb02n (CONTOSO-EE006), lab-wds-20 (CONTOSO-EE006), labconvergdev01 (CONTOSO-EC005), labcscwb02 (CONTOSO-EE007), labedbzvwbxp01 (CONTOSO-EE007), labimeamist02 (CONTOSO-EE007), labmsspldmldb01 (CONTOSO-EE007), labpmcprodcrm02 (CONTOSO-EE007), lab-svcapp-01 (CONTOSO-EE007), labitqlsscan01 (CONTOSO-EE007), labthmsql02 (CONTOSO-EE007), labmsspldmldb02 (CONTOSO-EE008), labpmcprodcrm03 (CONTOSO-EE008), lab-svcapp-02 (CONTOSO-EE008), labcidevsql03 (CONTOSO-EE008), lab-wds-19 (CONTOSO-EE008), labconvergdev06 (CONTOSO-FA001), labedmpcvsqxp01 (CONTOSO-FA001), lab-sfsql-04 (CONTOSO-ED001), lab-sfsql-07 (CONTOSO-ED001), lab-sspm-vm01 (CONTOSO-FA002), lab-sfsql-01 (CONTOSO-ED003), lab-sfsql-08 (CONTOSO-ED003), lab-sfsql-03 (CONTOSO-ED004), lab-sfsql-05 (CONTOSO-ED004), labscntvsqxp01b (CONTOSO-EC004), labmoodysql0a (CONTOSO-ED008), lab-sfsql-06 (CONTOSO-ED008), labmoodysql0b (CONTOSO-ED006), lab-sfsql-02 (CONTOSO-ED006)</t>
  </si>
  <si>
    <t>CONTOSO-EB007</t>
  </si>
  <si>
    <t>CONTOSO-EB008</t>
  </si>
  <si>
    <t>CONTOSO-EC005</t>
  </si>
  <si>
    <t>CONTOSO-ED006</t>
  </si>
  <si>
    <t>CONTOSO-EE004</t>
  </si>
  <si>
    <t>CONTOSO-EE007</t>
  </si>
  <si>
    <t>CONTOSO-EE008</t>
  </si>
  <si>
    <t>CONTOSO-FA001</t>
  </si>
  <si>
    <t>CONTOSO-ED008</t>
  </si>
  <si>
    <t>CONTOSO-EE002</t>
  </si>
  <si>
    <t>CONTOSO-EE003</t>
  </si>
  <si>
    <t>labvmbgitcbweb2</t>
  </si>
  <si>
    <t>lab-nps-sgrp-01</t>
  </si>
  <si>
    <t>lab-svcsfw-01</t>
  </si>
  <si>
    <t>labgpgtrvlsrv01</t>
  </si>
  <si>
    <t>labscntvsqxp01a</t>
  </si>
  <si>
    <t>labconvergdev01</t>
  </si>
  <si>
    <t>lab-sfsql-07</t>
  </si>
  <si>
    <t>lab-sfsql-03</t>
  </si>
  <si>
    <t>lab-sfsql-02</t>
  </si>
  <si>
    <t>labeitprodweb2</t>
  </si>
  <si>
    <t>labitqlsscan01</t>
  </si>
  <si>
    <t>lab-svcapp-02</t>
  </si>
  <si>
    <t>labcidevsql03</t>
  </si>
  <si>
    <t>labrschidx03</t>
  </si>
  <si>
    <t>lab-sspm-vm01</t>
  </si>
  <si>
    <t>labvbgtalisw01</t>
  </si>
  <si>
    <t>labxitexsqlb</t>
  </si>
  <si>
    <t>lab-svcsfw-02</t>
  </si>
  <si>
    <t>labicewebpp01</t>
  </si>
  <si>
    <t>labicesql0a</t>
  </si>
  <si>
    <t>lab-sfsql-06</t>
  </si>
  <si>
    <t>lab-corp-ra-01</t>
  </si>
  <si>
    <t>labcpdmuatsql1</t>
  </si>
  <si>
    <t>labpaprdsql01</t>
  </si>
  <si>
    <t>labimeamist02</t>
  </si>
  <si>
    <t>labedmpcvsqxp01</t>
  </si>
  <si>
    <t>labvmsymweb03</t>
  </si>
  <si>
    <t>labnprts01</t>
  </si>
  <si>
    <t>labicewebpp02</t>
  </si>
  <si>
    <t>labicesql0b</t>
  </si>
  <si>
    <t>lab-sfsql-05</t>
  </si>
  <si>
    <t>labcidevsql02</t>
  </si>
  <si>
    <t>lab-daskp-01</t>
  </si>
  <si>
    <t>labimetrillvm01</t>
  </si>
  <si>
    <t>labmsspldmldb02</t>
  </si>
  <si>
    <t>labconvergdev06</t>
  </si>
  <si>
    <t>labvmsymweb08</t>
  </si>
  <si>
    <t>labwatchtower0b</t>
  </si>
  <si>
    <t>labscntvsqxp01b</t>
  </si>
  <si>
    <t>lab-sfsql-04</t>
  </si>
  <si>
    <t>labcdflweb04</t>
  </si>
  <si>
    <t>labmsspldmldb01</t>
  </si>
  <si>
    <t>labmagicsql2</t>
  </si>
  <si>
    <t>labconvergdev03</t>
  </si>
  <si>
    <t>labconvergdev02</t>
  </si>
  <si>
    <t>lab-sfsql-08</t>
  </si>
  <si>
    <t>labimeamist01</t>
  </si>
  <si>
    <t>lab-daskp-03</t>
  </si>
  <si>
    <t>lab-daskp-02</t>
  </si>
  <si>
    <t>labpiwebxsm02</t>
  </si>
  <si>
    <t>lab-sfsql-01</t>
  </si>
  <si>
    <t>cplabit1bavm001</t>
  </si>
  <si>
    <t>labgfss2p01</t>
  </si>
  <si>
    <t>labpiappsm03</t>
  </si>
  <si>
    <t>labmoodysql0a</t>
  </si>
  <si>
    <t>labvmppeapp</t>
  </si>
  <si>
    <t>lab-svcapp-01</t>
  </si>
  <si>
    <t>lab-svcapp-03</t>
  </si>
  <si>
    <t>labmoodysql0b</t>
  </si>
  <si>
    <t>labsabmartds01</t>
  </si>
  <si>
    <t>labcscwb02</t>
  </si>
  <si>
    <t>labpmcprodcrm04</t>
  </si>
  <si>
    <t>lab-o365a-02</t>
  </si>
  <si>
    <t>labpmctprodweb2</t>
  </si>
  <si>
    <t>labiceweb02</t>
  </si>
  <si>
    <t>labcbppeweb01</t>
  </si>
  <si>
    <t>lab-ndes-05</t>
  </si>
  <si>
    <t>labroqqamsgv03</t>
  </si>
  <si>
    <t>labpmcprodcrm02</t>
  </si>
  <si>
    <t>lab-wds-19</t>
  </si>
  <si>
    <t>labthmsql01</t>
  </si>
  <si>
    <t>labimewebtt02</t>
  </si>
  <si>
    <t>lab-wds-20</t>
  </si>
  <si>
    <t>labpiintsm03</t>
  </si>
  <si>
    <t>labthmsql02</t>
  </si>
  <si>
    <t>labimewebtt01</t>
  </si>
  <si>
    <t>labsmtweb02n</t>
  </si>
  <si>
    <t>labmagicsql1</t>
  </si>
  <si>
    <t>labpmcprodcrm03</t>
  </si>
  <si>
    <t>labedbzvwbxp01</t>
  </si>
  <si>
    <t>labesvmrfsq3</t>
  </si>
  <si>
    <t>labesvmrfsq4</t>
  </si>
  <si>
    <t>labbgitpscln01</t>
  </si>
  <si>
    <t>labcmpagent03 (CONTOSO-EE002)</t>
  </si>
  <si>
    <t>C:-ClusterStorage-Volume1-labcmpagent03-labcmpagent03_C.vhdx</t>
  </si>
  <si>
    <t>C:-ClusterStorage-Volume1-labcmpagent03-labcmpagent03_d.vhdx</t>
  </si>
  <si>
    <t>labvellumsql10 (CONTOSO-EC007)</t>
  </si>
  <si>
    <t>C:-ClusterStorage-Volume4-labvellumsql10-labvellumsql10_d.vhdx</t>
  </si>
  <si>
    <t>C:-ClusterStorage-Volume4-labvellumsql10-labvellumsql10_disk_1_M.vhdx</t>
  </si>
  <si>
    <t>C:-ClusterStorage-Volume4-labvellumsql10-labvellumsql10_disk_j.vhdx</t>
  </si>
  <si>
    <t>C:-ClusterStorage-Volume4-labvellumsql10-labvellumsql10_disk_K.vhdx</t>
  </si>
  <si>
    <t>C:-ClusterStorage-Volume4-labvellumsql10-labvellumsql10_disk_L.vhdx</t>
  </si>
  <si>
    <t>C:-ClusterStorage-Volume4-labvellumsql10-labvellumsql10_e.vhdx</t>
  </si>
  <si>
    <t>C:-ClusterStorage-Volume4-labvellumsql10-labvellumsql10_h.vhdx</t>
  </si>
  <si>
    <t>C:-ClusterStorage-Volume4-labvellumsql10-labvellumsql10_i.vhdx</t>
  </si>
  <si>
    <t>C:-ClusterStorage-Volume4-labvellumsql10-labvellumsql10_o.vhdx</t>
  </si>
  <si>
    <t>C:-ClusterStorage-Volume4-labvellumsql10-labvellumsql10_t.vhdx</t>
  </si>
  <si>
    <t>C:-ClusterStorage-Volume4-labvellumsql10-labvellumsql10_v.vhdx</t>
  </si>
  <si>
    <t>C:-ClusterStorage-Volume4-labvellumsql10-vm-w2012fsp0.vhd</t>
  </si>
  <si>
    <t>labedbzvwbxp07</t>
  </si>
  <si>
    <t>labedbzvwbxp10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</si>
</sst>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44" formatCode="_(&quot;$&quot;* #,##0.00_);_(&quot;$&quot;* \(#,##0.00\);_(&quot;$&quot;* &quot;-&quot;??_);_(@_)"/>
    <numFmt numFmtId="164" formatCode="0.0"/>
    <numFmt numFmtId="165" formatCode="[h]:mm"/>
    <numFmt numFmtId="166" formatCode="dd\-mmm\-yyyy"/>
    <numFmt numFmtId="167" formatCode="&quot;$&quot;#,##0.00"/>
    <numFmt numFmtId="168" formatCode="&quot;$&quot;#,##0"/>
    <numFmt numFmtId="169" formatCode="&quot;$&quot;#,##0.0"/>
    <numFmt numFmtId="170" formatCode="&quot;$&quot;##,##0.0"/>
    <numFmt numFmtId="171" formatCode="#,##0.000"/>
    <numFmt numFmtId="172" formatCode="0.000"/>
  </numFmts>
  <fonts count="136">
    <font>
      <sz val="11"/>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Calibri"/>
      <family val="2"/>
    </font>
    <font>
      <b/>
      <sz val="11"/>
      <color theme="1"/>
      <name val="Calibri"/>
      <family val="2"/>
      <scheme val="minor"/>
    </font>
    <font>
      <b/>
      <sz val="11"/>
      <name val="Calibri"/>
      <family val="2"/>
    </font>
    <font>
      <sz val="12"/>
      <name val="Calibri"/>
      <family val="2"/>
    </font>
    <font>
      <b/>
      <sz val="11"/>
      <color theme="0"/>
      <name val="Calibri"/>
      <family val="2"/>
    </font>
    <font>
      <b/>
      <sz val="11"/>
      <color theme="3"/>
      <name val="Calibri"/>
      <family val="2"/>
      <scheme val="minor"/>
    </font>
    <font>
      <sz val="10"/>
      <name val="Calibri"/>
      <family val="2"/>
    </font>
    <font>
      <sz val="14"/>
      <color theme="0"/>
      <name val="Calibri"/>
      <family val="2"/>
    </font>
    <font>
      <sz val="11"/>
      <color theme="0"/>
      <name val="Calibri"/>
      <family val="2"/>
    </font>
    <font>
      <sz val="11"/>
      <color theme="1"/>
      <name val="Calibri"/>
      <family val="2"/>
    </font>
    <font>
      <u/>
      <sz val="11"/>
      <color theme="10"/>
      <name val="Calibri"/>
      <family val="2"/>
    </font>
    <font>
      <sz val="11"/>
      <color rgb="FF000000"/>
      <name val="Calibri"/>
      <family val="2"/>
      <scheme val="minor"/>
    </font>
    <font>
      <sz val="11"/>
      <color theme="1" tint="4.9989318521683403E-2"/>
      <name val="Calibri"/>
      <family val="2"/>
    </font>
    <font>
      <sz val="11"/>
      <color rgb="FFFF0000"/>
      <name val="Calibri"/>
      <family val="2"/>
    </font>
    <font>
      <b/>
      <sz val="12"/>
      <name val="Calibri"/>
      <family val="2"/>
    </font>
    <font>
      <b/>
      <u/>
      <sz val="11"/>
      <name val="Calibri"/>
      <family val="2"/>
    </font>
    <font>
      <sz val="11"/>
      <color rgb="FF339933"/>
      <name val="Calibri"/>
      <family val="2"/>
    </font>
    <font>
      <sz val="11"/>
      <name val="Wingdings 2"/>
      <family val="1"/>
      <charset val="2"/>
    </font>
    <font>
      <sz val="11"/>
      <name val="Calibri"/>
      <family val="1"/>
      <charset val="2"/>
    </font>
    <font>
      <sz val="10"/>
      <color theme="0"/>
      <name val="Calibri"/>
      <family val="2"/>
    </font>
    <font>
      <sz val="11"/>
      <name val="Calibri"/>
      <family val="2"/>
      <scheme val="minor"/>
    </font>
    <font>
      <b/>
      <sz val="11"/>
      <color theme="1" tint="4.9989318521683403E-2"/>
      <name val="Calibri"/>
      <family val="2"/>
    </font>
    <font>
      <sz val="10"/>
      <color rgb="FF000000"/>
      <name val="Calibri"/>
      <family val="2"/>
    </font>
    <font>
      <sz val="11"/>
      <name val="Calibri"/>
      <family val="2"/>
    </font>
    <font>
      <sz val="11"/>
      <color theme="1"/>
      <name val="Calibri"/>
      <family val="2"/>
      <scheme val="minor"/>
    </font>
    <font>
      <sz val="12"/>
      <color theme="1"/>
      <name val="Calibri"/>
      <family val="2"/>
    </font>
    <font>
      <sz val="12"/>
      <color theme="1"/>
      <name val="Calibri"/>
      <family val="2"/>
      <scheme val="minor"/>
    </font>
    <font>
      <b/>
      <sz val="11"/>
      <color theme="1"/>
      <name val="Calibri"/>
      <family val="2"/>
      <scheme val="minor"/>
    </font>
    <font>
      <sz val="11"/>
      <color theme="2" tint="-0.499984740745262"/>
      <name val="Calibri"/>
      <family val="2"/>
      <scheme val="minor"/>
    </font>
    <font>
      <sz val="9"/>
      <color theme="1"/>
      <name val="Calibri"/>
      <family val="2"/>
      <scheme val="minor"/>
    </font>
    <font>
      <b/>
      <sz val="14"/>
      <color theme="1"/>
      <name val="Calibri"/>
      <family val="2"/>
      <scheme val="minor"/>
    </font>
    <font>
      <sz val="11"/>
      <color theme="2"/>
      <name val="Calibri"/>
      <family val="2"/>
      <scheme val="minor"/>
    </font>
    <font>
      <b/>
      <sz val="11"/>
      <name val="Calibri"/>
      <family val="2"/>
    </font>
    <font>
      <sz val="11"/>
      <color theme="2" tint="-0.499984740745262"/>
      <name val="Calibri"/>
      <family val="2"/>
    </font>
    <font>
      <b/>
      <sz val="12"/>
      <color theme="0"/>
      <name val="Calibri"/>
      <family val="2"/>
    </font>
    <font>
      <sz val="10"/>
      <color theme="1"/>
      <name val="Calibri"/>
      <family val="2"/>
      <scheme val="minor"/>
    </font>
    <font>
      <sz val="11"/>
      <color rgb="FF00B050"/>
      <name val="Calibri"/>
      <family val="2"/>
      <scheme val="minor"/>
    </font>
    <font>
      <sz val="11"/>
      <name val="Calibri"/>
      <family val="2"/>
      <scheme val="minor"/>
    </font>
    <font>
      <sz val="11"/>
      <color theme="0"/>
      <name val="Calibri"/>
      <family val="2"/>
    </font>
    <font>
      <sz val="11"/>
      <color theme="0"/>
      <name val="Calibri"/>
      <family val="2"/>
      <scheme val="minor"/>
    </font>
    <font>
      <b/>
      <u/>
      <sz val="11"/>
      <color theme="1"/>
      <name val="Calibri"/>
      <family val="2"/>
      <scheme val="minor"/>
    </font>
    <font>
      <sz val="11"/>
      <color theme="1" tint="0.499984740745262"/>
      <name val="Calibri"/>
      <family val="2"/>
      <scheme val="minor"/>
    </font>
    <font>
      <b/>
      <sz val="12"/>
      <name val="Calibri"/>
      <family val="2"/>
      <scheme val="minor"/>
    </font>
    <font>
      <sz val="11"/>
      <name val="Segoe UI Light"/>
      <family val="2"/>
    </font>
    <font>
      <b/>
      <sz val="11"/>
      <color rgb="FF000000"/>
      <name val="Calibri"/>
      <family val="2"/>
      <scheme val="minor"/>
    </font>
    <font>
      <b/>
      <sz val="11"/>
      <color rgb="FF00B050"/>
      <name val="Calibri"/>
      <family val="2"/>
    </font>
    <font>
      <sz val="11"/>
      <name val="Calibri"/>
      <family val="2"/>
    </font>
    <font>
      <b/>
      <sz val="16"/>
      <color theme="0"/>
      <name val="Calibri"/>
      <family val="2"/>
    </font>
    <font>
      <b/>
      <sz val="11"/>
      <color rgb="FFFFFFFF"/>
      <name val="Calibri"/>
      <family val="2"/>
    </font>
    <font>
      <b/>
      <sz val="11"/>
      <color rgb="FF000000"/>
      <name val="Calibri"/>
      <family val="2"/>
    </font>
    <font>
      <sz val="11"/>
      <color rgb="FF000000"/>
      <name val="Calibri"/>
      <family val="2"/>
    </font>
    <font>
      <sz val="11"/>
      <name val="Calibri"/>
      <family val="2"/>
    </font>
    <font>
      <b/>
      <sz val="36"/>
      <color rgb="FF00B0F0"/>
      <name val="Calibri"/>
      <family val="2"/>
    </font>
    <font>
      <sz val="11"/>
      <color rgb="FFFFFFFF"/>
      <name val="Calibri"/>
      <family val="2"/>
    </font>
    <font>
      <b/>
      <sz val="16"/>
      <color rgb="FFFFFFFF"/>
      <name val="Calibri"/>
      <family val="2"/>
    </font>
    <font>
      <sz val="14"/>
      <color rgb="FFFFFFFF"/>
      <name val="Calibri"/>
      <family val="2"/>
    </font>
    <font>
      <u/>
      <sz val="11"/>
      <color rgb="FF0563C1"/>
      <name val="Calibri"/>
      <family val="2"/>
    </font>
    <font>
      <b/>
      <sz val="11"/>
      <name val="Calibri"/>
      <family val="2"/>
      <scheme val="minor"/>
    </font>
    <font>
      <sz val="11"/>
      <name val="Calibri"/>
      <family val="2"/>
    </font>
    <font>
      <b/>
      <sz val="12"/>
      <name val="Calibri"/>
      <family val="2"/>
    </font>
    <font>
      <u/>
      <sz val="11"/>
      <color rgb="FF0563C1"/>
      <name val="Calibri"/>
      <family val="2"/>
    </font>
    <font>
      <sz val="12"/>
      <name val="Calibri"/>
      <family val="2"/>
    </font>
    <font>
      <b/>
      <sz val="11"/>
      <color rgb="FF000000"/>
      <name val="Calibri"/>
      <family val="2"/>
    </font>
    <font>
      <b/>
      <sz val="14"/>
      <color theme="0"/>
      <name val="Calibri"/>
      <family val="2"/>
    </font>
    <font>
      <sz val="11"/>
      <name val="Calibri"/>
      <family val="2"/>
    </font>
    <font>
      <b/>
      <sz val="13"/>
      <color rgb="FFFFFFFF"/>
      <name val="Calibri"/>
      <family val="2"/>
    </font>
    <font>
      <b/>
      <sz val="11"/>
      <color theme="3"/>
      <name val="Calibri"/>
      <family val="2"/>
      <scheme val="minor"/>
    </font>
    <font>
      <b/>
      <sz val="11"/>
      <name val="Calibri"/>
      <family val="2"/>
    </font>
    <font>
      <b/>
      <sz val="11"/>
      <color theme="1"/>
      <name val="Calibri"/>
      <family val="2"/>
      <scheme val="minor"/>
    </font>
    <font>
      <b/>
      <sz val="12"/>
      <color rgb="FF000000"/>
      <name val="Calibri"/>
      <family val="2"/>
    </font>
    <font>
      <sz val="11"/>
      <name val="Calibri"/>
      <family val="2"/>
    </font>
    <font>
      <sz val="14"/>
      <color theme="0"/>
      <name val="Calibri"/>
      <family val="2"/>
    </font>
    <font>
      <sz val="11"/>
      <color theme="0"/>
      <name val="Calibri"/>
      <family val="2"/>
    </font>
    <font>
      <u/>
      <sz val="11"/>
      <color theme="10"/>
      <name val="Calibri"/>
      <family val="2"/>
    </font>
    <font>
      <sz val="12"/>
      <color theme="0"/>
      <name val="Calibri"/>
      <family val="2"/>
    </font>
    <font>
      <b/>
      <sz val="11"/>
      <color theme="1" tint="0.249977111117893"/>
      <name val="Calibri"/>
      <family val="2"/>
    </font>
    <font>
      <b/>
      <sz val="48"/>
      <color theme="0" tint="-0.499984740745262"/>
      <name val="Calibri"/>
      <family val="2"/>
    </font>
    <font>
      <b/>
      <sz val="36"/>
      <color theme="0" tint="-0.499984740745262"/>
      <name val="Calibri"/>
      <family val="2"/>
    </font>
    <font>
      <b/>
      <sz val="36"/>
      <color rgb="FF339933"/>
      <name val="Calibri"/>
      <family val="2"/>
    </font>
    <font>
      <b/>
      <sz val="36"/>
      <color rgb="FFFF0000"/>
      <name val="Calibri"/>
      <family val="2"/>
    </font>
    <font>
      <b/>
      <sz val="36"/>
      <color rgb="FF00B0F0"/>
      <name val="Calibri"/>
      <family val="2"/>
    </font>
    <font>
      <sz val="10"/>
      <color theme="0" tint="-0.499984740745262"/>
      <name val="Calibri"/>
      <family val="2"/>
    </font>
    <font>
      <sz val="11"/>
      <color theme="1" tint="0.249977111117893"/>
      <name val="Calibri"/>
      <family val="2"/>
    </font>
    <font>
      <sz val="11"/>
      <color theme="1"/>
      <name val="Calibri"/>
      <family val="2"/>
    </font>
    <font>
      <b/>
      <sz val="48"/>
      <color theme="1" tint="0.249977111117893"/>
      <name val="Calibri"/>
      <family val="2"/>
    </font>
    <font>
      <sz val="10"/>
      <color theme="1" tint="0.249977111117893"/>
      <name val="Calibri"/>
      <family val="2"/>
    </font>
    <font>
      <sz val="10"/>
      <name val="Calibri"/>
      <family val="2"/>
    </font>
    <font>
      <b/>
      <sz val="11"/>
      <name val="Calibri"/>
      <family val="2"/>
    </font>
    <font>
      <sz val="12"/>
      <name val="Calibri"/>
      <family val="2"/>
    </font>
    <font>
      <b/>
      <sz val="48"/>
      <color rgb="FF00B0F0"/>
      <name val="Calibri"/>
      <family val="2"/>
    </font>
    <font>
      <b/>
      <sz val="28"/>
      <color rgb="FF00B0F0"/>
      <name val="Calibri"/>
      <family val="2"/>
    </font>
    <font>
      <b/>
      <sz val="8.5"/>
      <color theme="0"/>
      <name val="Calibri"/>
      <family val="2"/>
    </font>
    <font>
      <sz val="9"/>
      <name val="Calibri"/>
      <family val="2"/>
    </font>
    <font>
      <b/>
      <sz val="11"/>
      <color theme="1"/>
      <name val="Calibri"/>
      <family val="2"/>
    </font>
    <font>
      <sz val="12"/>
      <color theme="1"/>
      <name val="Calibri"/>
      <family val="2"/>
    </font>
    <font>
      <sz val="11"/>
      <name val="Calibri"/>
      <family val="2"/>
    </font>
    <font>
      <b/>
      <sz val="18"/>
      <color theme="0"/>
      <name val="Calibri"/>
      <family val="2"/>
    </font>
    <font>
      <b/>
      <sz val="11"/>
      <color theme="1" tint="0.249977111117893"/>
      <name val="Calibri"/>
      <family val="2"/>
    </font>
    <font>
      <b/>
      <sz val="36"/>
      <color rgb="FF00B0F0"/>
      <name val="Calibri"/>
      <family val="2"/>
    </font>
    <font>
      <b/>
      <sz val="11"/>
      <name val="Calibri"/>
      <family val="2"/>
    </font>
    <font>
      <b/>
      <sz val="20"/>
      <color rgb="FF00B0F0"/>
      <name val="Calibri"/>
      <family val="2"/>
      <scheme val="minor"/>
    </font>
    <font>
      <b/>
      <sz val="14"/>
      <name val="Calibri"/>
      <family val="2"/>
    </font>
    <font>
      <b/>
      <sz val="11"/>
      <color theme="0"/>
      <name val="Calibri"/>
      <family val="2"/>
    </font>
    <font>
      <sz val="11"/>
      <color theme="0"/>
      <name val="Calibri"/>
      <family val="2"/>
    </font>
    <font>
      <sz val="11"/>
      <name val="Calibri"/>
      <family val="2"/>
    </font>
    <font>
      <b/>
      <sz val="10"/>
      <name val="Calibri"/>
      <family val="2"/>
    </font>
    <font>
      <b/>
      <sz val="11"/>
      <name val="Calibri"/>
      <family val="2"/>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000000"/>
      <name val="Calibri"/>
      <family val="2"/>
      <scheme val="minor"/>
    </font>
    <font>
      <b/>
      <sz val="14"/>
      <color theme="0"/>
      <name val="Calibri"/>
      <family val="2"/>
    </font>
    <font>
      <sz val="11"/>
      <color theme="1"/>
      <name val="Calibri"/>
      <family val="2"/>
    </font>
    <font>
      <u/>
      <sz val="11"/>
      <color theme="0"/>
      <name val="Calibri"/>
      <family val="2"/>
    </font>
    <font>
      <sz val="18"/>
      <color theme="0"/>
      <name val="Calibri"/>
      <family val="2"/>
    </font>
    <font>
      <u/>
      <sz val="11"/>
      <color rgb="FF0070C0"/>
      <name val="Calibri"/>
      <family val="2"/>
      <scheme val="minor"/>
    </font>
    <font>
      <b/>
      <sz val="11"/>
      <color rgb="FF262626"/>
      <name val="Calibri"/>
      <family val="2"/>
    </font>
    <font>
      <b/>
      <sz val="12"/>
      <color rgb="FF262626"/>
      <name val="Calibri"/>
      <family val="2"/>
    </font>
    <font>
      <sz val="11"/>
      <color rgb="FF262626"/>
      <name val="Calibri"/>
      <family val="2"/>
      <scheme val="minor"/>
    </font>
    <font>
      <sz val="11"/>
      <color rgb="FF757171"/>
      <name val="Calibri"/>
      <family val="2"/>
      <scheme val="minor"/>
    </font>
    <font>
      <b/>
      <sz val="10"/>
      <color rgb="FF000000"/>
      <name val="Calibri"/>
      <family val="2"/>
    </font>
    <font>
      <sz val="11"/>
      <color rgb="FF008000"/>
      <name val="Calibri"/>
      <family val="2"/>
    </font>
    <font>
      <b/>
      <sz val="11"/>
      <color rgb="FFFF0000"/>
      <name val="Calibri"/>
      <family val="2"/>
    </font>
    <font>
      <b/>
      <sz val="11"/>
      <color rgb="FF0000FF"/>
      <name val="Calibri"/>
      <family val="2"/>
      <scheme val="minor"/>
    </font>
  </fonts>
  <fills count="41">
    <fill>
      <patternFill patternType="none"/>
    </fill>
    <fill>
      <patternFill patternType="gray125"/>
    </fill>
    <fill>
      <patternFill patternType="solid">
        <fgColor theme="0"/>
        <bgColor indexed="64"/>
      </patternFill>
    </fill>
    <fill>
      <patternFill patternType="solid">
        <fgColor theme="8" tint="-0.249977111117893"/>
        <bgColor indexed="64"/>
      </patternFill>
    </fill>
    <fill>
      <patternFill patternType="solid">
        <fgColor theme="8" tint="-0.249977111117893"/>
        <bgColor theme="4"/>
      </patternFill>
    </fill>
    <fill>
      <patternFill patternType="solid">
        <fgColor theme="0" tint="-0.14999847407452621"/>
        <bgColor indexed="64"/>
      </patternFill>
    </fill>
    <fill>
      <patternFill patternType="solid">
        <fgColor rgb="FF00B0F0"/>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79998168889431442"/>
        <bgColor indexed="64"/>
      </patternFill>
    </fill>
    <fill>
      <patternFill patternType="solid">
        <fgColor rgb="FF00B0F0"/>
        <bgColor theme="4"/>
      </patternFill>
    </fill>
    <fill>
      <patternFill patternType="solid">
        <fgColor theme="4" tint="0.59999389629810485"/>
        <bgColor indexed="64"/>
      </patternFill>
    </fill>
    <fill>
      <patternFill patternType="solid">
        <fgColor rgb="FF0070C0"/>
        <bgColor indexed="64"/>
      </patternFill>
    </fill>
    <fill>
      <patternFill patternType="solid">
        <fgColor theme="8" tint="0.79998168889431442"/>
        <bgColor indexed="64"/>
      </patternFill>
    </fill>
    <fill>
      <patternFill patternType="solid">
        <fgColor rgb="FF66CCFF"/>
        <bgColor indexed="64"/>
      </patternFill>
    </fill>
    <fill>
      <patternFill patternType="solid">
        <fgColor rgb="FF2B007F"/>
        <bgColor indexed="64"/>
      </patternFill>
    </fill>
    <fill>
      <patternFill patternType="solid">
        <fgColor rgb="FFA6A6A6"/>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499984740745262"/>
        <bgColor indexed="64"/>
      </patternFill>
    </fill>
    <fill>
      <patternFill patternType="solid">
        <fgColor rgb="FF336699"/>
        <bgColor indexed="64"/>
      </patternFill>
    </fill>
    <fill>
      <patternFill patternType="solid">
        <fgColor rgb="FF002060"/>
        <bgColor rgb="FF000000"/>
      </patternFill>
    </fill>
    <fill>
      <patternFill patternType="solid">
        <fgColor rgb="FFD9D9D9"/>
        <bgColor rgb="FF000000"/>
      </patternFill>
    </fill>
    <fill>
      <patternFill patternType="solid">
        <fgColor rgb="FFA9D08E"/>
        <bgColor rgb="FF000000"/>
      </patternFill>
    </fill>
    <fill>
      <patternFill patternType="solid">
        <fgColor rgb="FFC6E0B4"/>
        <bgColor rgb="FF000000"/>
      </patternFill>
    </fill>
    <fill>
      <patternFill patternType="solid">
        <fgColor rgb="FFE2EFD9"/>
        <bgColor rgb="FF000000"/>
      </patternFill>
    </fill>
    <fill>
      <patternFill patternType="solid">
        <fgColor rgb="FFFFFFFF"/>
        <bgColor rgb="FF000000"/>
      </patternFill>
    </fill>
    <fill>
      <patternFill patternType="solid">
        <fgColor rgb="FF336699"/>
        <bgColor rgb="FF000000"/>
      </patternFill>
    </fill>
    <fill>
      <patternFill patternType="solid">
        <fgColor rgb="FFC8D9EA"/>
        <bgColor rgb="FF000000"/>
      </patternFill>
    </fill>
    <fill>
      <patternFill patternType="solid">
        <fgColor rgb="FFE7E6E6"/>
        <bgColor indexed="64"/>
      </patternFill>
    </fill>
    <fill>
      <patternFill patternType="solid">
        <fgColor rgb="FFDDEBF7"/>
        <bgColor indexed="64"/>
      </patternFill>
    </fill>
    <fill>
      <patternFill patternType="solid">
        <fgColor rgb="FFDDEBF7"/>
        <bgColor rgb="FF000000"/>
      </patternFill>
    </fill>
    <fill>
      <patternFill patternType="solid">
        <fgColor rgb="FFE2EFD9"/>
        <bgColor indexed="64"/>
      </patternFill>
    </fill>
    <fill>
      <patternFill patternType="solid">
        <fgColor rgb="FFFFE699"/>
        <bgColor indexed="64"/>
      </patternFill>
    </fill>
    <fill>
      <patternFill patternType="solid">
        <fgColor rgb="FFAEAAAA"/>
        <bgColor indexed="64"/>
      </patternFill>
    </fill>
  </fills>
  <borders count="50">
    <border>
      <left/>
      <right/>
      <top/>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thin">
        <color theme="1" tint="0.499984740745262"/>
      </left>
      <right/>
      <top/>
      <bottom/>
      <diagonal/>
    </border>
    <border>
      <left style="thin">
        <color auto="1"/>
      </left>
      <right style="thin">
        <color auto="1"/>
      </right>
      <top/>
      <bottom style="thin">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bottom/>
      <diagonal/>
    </border>
    <border>
      <left style="thin">
        <color theme="0" tint="-0.499984740745262"/>
      </left>
      <right style="thin">
        <color theme="0" tint="-0.499984740745262"/>
      </right>
      <top/>
      <bottom/>
      <diagonal/>
    </border>
    <border>
      <left style="medium">
        <color indexed="64"/>
      </left>
      <right/>
      <top/>
      <bottom/>
      <diagonal/>
    </border>
    <border>
      <left style="thin">
        <color indexed="64"/>
      </left>
      <right/>
      <top style="thin">
        <color indexed="64"/>
      </top>
      <bottom style="medium">
        <color indexed="64"/>
      </bottom>
      <diagonal/>
    </border>
    <border>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medium">
        <color indexed="64"/>
      </left>
      <right/>
      <top style="medium">
        <color indexed="64"/>
      </top>
      <bottom/>
      <diagonal/>
    </border>
    <border>
      <left style="thin">
        <color auto="1"/>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auto="1"/>
      </right>
      <top style="thin">
        <color auto="1"/>
      </top>
      <bottom style="medium">
        <color indexed="64"/>
      </bottom>
      <diagonal/>
    </border>
    <border>
      <left style="medium">
        <color indexed="64"/>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theme="0"/>
      </bottom>
      <diagonal/>
    </border>
    <border>
      <left style="thin">
        <color theme="0"/>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theme="0"/>
      </right>
      <top style="thin">
        <color auto="1"/>
      </top>
      <bottom style="thin">
        <color auto="1"/>
      </bottom>
      <diagonal/>
    </border>
  </borders>
  <cellStyleXfs count="6">
    <xf numFmtId="0" fontId="0" fillId="0" borderId="0"/>
    <xf numFmtId="0" fontId="17" fillId="0" borderId="2" applyNumberFormat="0" applyFill="0" applyAlignment="0" applyProtection="0"/>
    <xf numFmtId="0" fontId="22" fillId="0" borderId="0" applyNumberFormat="0" applyFill="0" applyBorder="0" applyAlignment="0" applyProtection="0"/>
    <xf numFmtId="0" fontId="12" fillId="0" borderId="0"/>
    <xf numFmtId="0" fontId="11" fillId="0" borderId="0"/>
    <xf numFmtId="44" fontId="11" fillId="0" borderId="0" applyFont="0" applyFill="0" applyBorder="0" applyAlignment="0" applyProtection="0"/>
  </cellStyleXfs>
  <cellXfs count="795">
    <xf numFmtId="0" fontId="0" fillId="0" borderId="0" xfId="0"/>
    <xf numFmtId="0" fontId="12" fillId="0" borderId="0" xfId="0" applyFont="1"/>
    <xf numFmtId="0" fontId="0" fillId="0" borderId="0" xfId="0"/>
    <xf numFmtId="0" fontId="0" fillId="0" borderId="0" xfId="0" applyAlignment="1">
      <alignment vertical="center"/>
    </xf>
    <xf numFmtId="0" fontId="0" fillId="0" borderId="0" xfId="0"/>
    <xf numFmtId="0" fontId="12" fillId="0" borderId="0" xfId="3"/>
    <xf numFmtId="0" fontId="12" fillId="0" borderId="0" xfId="3" applyAlignment="1">
      <alignment horizontal="center"/>
    </xf>
    <xf numFmtId="2" fontId="12" fillId="0" borderId="0" xfId="3" applyNumberFormat="1" applyAlignment="1">
      <alignment horizontal="center"/>
    </xf>
    <xf numFmtId="0" fontId="12" fillId="0" borderId="0" xfId="3" applyFont="1" applyFill="1" applyAlignment="1">
      <alignment horizontal="center"/>
    </xf>
    <xf numFmtId="0" fontId="22" fillId="0" borderId="0" xfId="2" applyFill="1"/>
    <xf numFmtId="0" fontId="24" fillId="0" borderId="1" xfId="0" applyFont="1" applyFill="1" applyBorder="1" applyAlignment="1">
      <alignment horizontal="center" vertical="center"/>
    </xf>
    <xf numFmtId="0" fontId="12" fillId="0" borderId="0" xfId="3" applyAlignment="1">
      <alignment horizontal="center" wrapText="1"/>
    </xf>
    <xf numFmtId="2" fontId="12" fillId="0" borderId="0" xfId="3" applyNumberFormat="1"/>
    <xf numFmtId="0" fontId="12" fillId="0" borderId="0" xfId="2" applyFont="1" applyAlignment="1">
      <alignment wrapText="1"/>
    </xf>
    <xf numFmtId="0" fontId="0" fillId="0" borderId="0" xfId="0" applyAlignment="1">
      <alignment wrapText="1"/>
    </xf>
    <xf numFmtId="0" fontId="12" fillId="0" borderId="0" xfId="3" applyAlignment="1">
      <alignment horizontal="left"/>
    </xf>
    <xf numFmtId="0" fontId="0" fillId="0" borderId="0" xfId="0" applyAlignment="1">
      <alignment horizontal="left"/>
    </xf>
    <xf numFmtId="0" fontId="24" fillId="0" borderId="0" xfId="0" applyFont="1" applyFill="1" applyBorder="1" applyAlignment="1">
      <alignment horizontal="center" vertical="center"/>
    </xf>
    <xf numFmtId="0" fontId="24" fillId="0" borderId="0" xfId="0" applyFont="1" applyFill="1" applyBorder="1" applyAlignment="1">
      <alignment horizontal="left" vertical="center" wrapText="1"/>
    </xf>
    <xf numFmtId="0" fontId="24" fillId="0" borderId="1" xfId="0" applyFont="1" applyFill="1" applyBorder="1" applyAlignment="1">
      <alignment horizontal="center" vertical="center" wrapText="1"/>
    </xf>
    <xf numFmtId="0" fontId="12" fillId="0" borderId="0" xfId="3" applyAlignment="1">
      <alignment wrapText="1" indent="1"/>
    </xf>
    <xf numFmtId="0" fontId="0" fillId="7" borderId="0" xfId="0" applyFill="1" applyBorder="1"/>
    <xf numFmtId="0" fontId="0" fillId="7" borderId="0" xfId="0" applyFill="1"/>
    <xf numFmtId="0" fontId="32" fillId="7" borderId="0" xfId="0" applyFont="1" applyFill="1" applyBorder="1"/>
    <xf numFmtId="0" fontId="32" fillId="0" borderId="0" xfId="0" applyFont="1"/>
    <xf numFmtId="0" fontId="12" fillId="0" borderId="0" xfId="3" applyAlignment="1">
      <alignment horizontal="left" wrapText="1"/>
    </xf>
    <xf numFmtId="0" fontId="0" fillId="0" borderId="0" xfId="0" applyAlignment="1">
      <alignment horizontal="center" vertical="center"/>
    </xf>
    <xf numFmtId="0" fontId="24" fillId="0" borderId="0" xfId="0" applyFont="1" applyFill="1" applyBorder="1" applyAlignment="1">
      <alignment horizontal="center" vertical="center" wrapText="1"/>
    </xf>
    <xf numFmtId="0" fontId="22" fillId="7" borderId="0" xfId="2" applyFill="1" applyBorder="1" applyAlignment="1">
      <alignment horizontal="left" vertical="top" wrapText="1"/>
    </xf>
    <xf numFmtId="0" fontId="22" fillId="7" borderId="0" xfId="2" applyFill="1" applyBorder="1" applyAlignment="1">
      <alignment horizontal="left" vertical="top" wrapText="1"/>
    </xf>
    <xf numFmtId="0" fontId="22" fillId="7" borderId="0" xfId="2" applyFill="1" applyBorder="1" applyAlignment="1">
      <alignment horizontal="center" vertical="top" wrapText="1"/>
    </xf>
    <xf numFmtId="0" fontId="12" fillId="0" borderId="0" xfId="3" applyFill="1" applyBorder="1" applyAlignment="1">
      <alignment horizontal="center" wrapText="1"/>
    </xf>
    <xf numFmtId="0" fontId="14" fillId="5" borderId="1" xfId="3" applyFont="1" applyFill="1" applyBorder="1" applyAlignment="1">
      <alignment horizontal="left" vertical="top" indent="1"/>
    </xf>
    <xf numFmtId="0" fontId="14" fillId="5" borderId="1" xfId="3" applyFont="1" applyFill="1" applyBorder="1" applyAlignment="1">
      <alignment horizontal="left" vertical="top" wrapText="1" indent="1"/>
    </xf>
    <xf numFmtId="0" fontId="12" fillId="5" borderId="1" xfId="3" applyFill="1" applyBorder="1" applyAlignment="1">
      <alignment horizontal="left" vertical="top" wrapText="1" indent="1"/>
    </xf>
    <xf numFmtId="0" fontId="0" fillId="5" borderId="1" xfId="0" applyFill="1" applyBorder="1" applyAlignment="1">
      <alignment horizontal="left" vertical="top" indent="1"/>
    </xf>
    <xf numFmtId="0" fontId="0" fillId="0" borderId="0" xfId="0" applyAlignment="1">
      <alignment horizontal="left" vertical="top" indent="1"/>
    </xf>
    <xf numFmtId="0" fontId="12" fillId="5" borderId="1" xfId="3" applyFont="1" applyFill="1" applyBorder="1" applyAlignment="1">
      <alignment horizontal="left" vertical="top" indent="1"/>
    </xf>
    <xf numFmtId="0" fontId="12" fillId="5" borderId="1" xfId="3" applyFill="1" applyBorder="1" applyAlignment="1">
      <alignment horizontal="left" vertical="top" indent="1"/>
    </xf>
    <xf numFmtId="0" fontId="11" fillId="0" borderId="0" xfId="4"/>
    <xf numFmtId="0" fontId="11" fillId="0" borderId="0" xfId="4" applyNumberFormat="1"/>
    <xf numFmtId="0" fontId="11" fillId="0" borderId="1" xfId="4" applyBorder="1"/>
    <xf numFmtId="168" fontId="11" fillId="0" borderId="0" xfId="4" applyNumberFormat="1" applyBorder="1" applyAlignment="1">
      <alignment horizontal="center"/>
    </xf>
    <xf numFmtId="0" fontId="13" fillId="0" borderId="0" xfId="4" applyFont="1"/>
    <xf numFmtId="0" fontId="13" fillId="0" borderId="0" xfId="4" applyNumberFormat="1" applyFont="1"/>
    <xf numFmtId="0" fontId="11" fillId="19" borderId="1" xfId="4" applyFill="1" applyBorder="1"/>
    <xf numFmtId="0" fontId="12" fillId="18" borderId="1" xfId="3" applyFill="1" applyBorder="1"/>
    <xf numFmtId="0" fontId="11" fillId="0" borderId="0" xfId="4" applyBorder="1"/>
    <xf numFmtId="3" fontId="11" fillId="0" borderId="0" xfId="4" applyNumberFormat="1"/>
    <xf numFmtId="0" fontId="11" fillId="18" borderId="1" xfId="4" applyFill="1" applyBorder="1"/>
    <xf numFmtId="0" fontId="13" fillId="0" borderId="0" xfId="4" applyFont="1" applyBorder="1" applyAlignment="1">
      <alignment horizontal="center"/>
    </xf>
    <xf numFmtId="0" fontId="13" fillId="0" borderId="0" xfId="4" applyFont="1" applyBorder="1" applyAlignment="1"/>
    <xf numFmtId="0" fontId="13" fillId="0" borderId="0" xfId="4" applyFont="1" applyAlignment="1"/>
    <xf numFmtId="0" fontId="13" fillId="19" borderId="1" xfId="4" applyFont="1" applyFill="1" applyBorder="1"/>
    <xf numFmtId="0" fontId="12" fillId="5" borderId="1" xfId="3" applyFont="1" applyFill="1" applyBorder="1" applyAlignment="1">
      <alignment horizontal="left" vertical="top" wrapText="1" indent="1"/>
    </xf>
    <xf numFmtId="0" fontId="11" fillId="18" borderId="1" xfId="4" applyNumberFormat="1" applyFill="1" applyBorder="1"/>
    <xf numFmtId="0" fontId="11" fillId="0" borderId="1" xfId="4" applyNumberFormat="1" applyBorder="1"/>
    <xf numFmtId="0" fontId="12" fillId="0" borderId="1" xfId="3" applyFont="1" applyBorder="1"/>
    <xf numFmtId="0" fontId="0" fillId="0" borderId="1" xfId="0" applyBorder="1" applyAlignment="1">
      <alignment wrapText="1"/>
    </xf>
    <xf numFmtId="0" fontId="11" fillId="0" borderId="1" xfId="4" applyFill="1" applyBorder="1"/>
    <xf numFmtId="0" fontId="10" fillId="18" borderId="1" xfId="4" applyFont="1" applyFill="1" applyBorder="1"/>
    <xf numFmtId="0" fontId="10" fillId="0" borderId="0" xfId="4" applyFont="1"/>
    <xf numFmtId="0" fontId="10" fillId="18" borderId="1" xfId="4" applyNumberFormat="1" applyFont="1" applyFill="1" applyBorder="1"/>
    <xf numFmtId="0" fontId="10" fillId="18" borderId="0" xfId="4" applyFont="1" applyFill="1" applyBorder="1"/>
    <xf numFmtId="0" fontId="10" fillId="19" borderId="1" xfId="4" applyFont="1" applyFill="1" applyBorder="1" applyAlignment="1">
      <alignment horizontal="center"/>
    </xf>
    <xf numFmtId="0" fontId="10" fillId="0" borderId="1" xfId="4" applyNumberFormat="1" applyFont="1" applyBorder="1"/>
    <xf numFmtId="0" fontId="10" fillId="0" borderId="1" xfId="4" applyFont="1" applyBorder="1"/>
    <xf numFmtId="168" fontId="10" fillId="0" borderId="1" xfId="4" applyNumberFormat="1" applyFont="1" applyBorder="1" applyAlignment="1">
      <alignment horizontal="center"/>
    </xf>
    <xf numFmtId="171" fontId="10" fillId="0" borderId="1" xfId="4" applyNumberFormat="1" applyFont="1" applyBorder="1"/>
    <xf numFmtId="0" fontId="10" fillId="0" borderId="1" xfId="4" applyFont="1" applyFill="1" applyBorder="1"/>
    <xf numFmtId="0" fontId="35" fillId="0" borderId="0" xfId="3" applyFont="1" applyProtection="1">
      <protection locked="0"/>
    </xf>
    <xf numFmtId="0" fontId="36" fillId="0" borderId="0" xfId="4" applyFont="1" applyProtection="1">
      <protection locked="0"/>
    </xf>
    <xf numFmtId="0" fontId="36" fillId="0" borderId="0" xfId="4" applyNumberFormat="1" applyFont="1" applyProtection="1">
      <protection locked="0"/>
    </xf>
    <xf numFmtId="0" fontId="36" fillId="0" borderId="0" xfId="4" applyFont="1" applyAlignment="1" applyProtection="1">
      <alignment horizontal="center"/>
      <protection locked="0"/>
    </xf>
    <xf numFmtId="167" fontId="36" fillId="0" borderId="0" xfId="4" applyNumberFormat="1" applyFont="1" applyAlignment="1" applyProtection="1">
      <alignment horizontal="center"/>
      <protection locked="0"/>
    </xf>
    <xf numFmtId="0" fontId="37" fillId="0" borderId="0" xfId="3" applyFont="1" applyProtection="1">
      <protection locked="0"/>
    </xf>
    <xf numFmtId="0" fontId="38" fillId="0" borderId="0" xfId="4" applyFont="1" applyProtection="1">
      <protection locked="0"/>
    </xf>
    <xf numFmtId="0" fontId="38" fillId="0" borderId="0" xfId="4" applyNumberFormat="1" applyFont="1" applyProtection="1">
      <protection locked="0"/>
    </xf>
    <xf numFmtId="0" fontId="38" fillId="0" borderId="0" xfId="4" applyFont="1" applyAlignment="1" applyProtection="1">
      <alignment horizontal="center"/>
      <protection locked="0"/>
    </xf>
    <xf numFmtId="167" fontId="38" fillId="0" borderId="0" xfId="4" applyNumberFormat="1" applyFont="1" applyAlignment="1" applyProtection="1">
      <alignment horizontal="center"/>
      <protection locked="0"/>
    </xf>
    <xf numFmtId="0" fontId="35" fillId="0" borderId="0" xfId="0" applyFont="1"/>
    <xf numFmtId="0" fontId="35" fillId="0" borderId="0" xfId="3" applyFont="1" applyProtection="1"/>
    <xf numFmtId="0" fontId="39" fillId="23" borderId="1" xfId="4" applyFont="1" applyFill="1" applyBorder="1" applyAlignment="1" applyProtection="1">
      <alignment horizontal="left" indent="1"/>
    </xf>
    <xf numFmtId="168" fontId="39" fillId="23" borderId="1" xfId="4" applyNumberFormat="1" applyFont="1" applyFill="1" applyBorder="1" applyAlignment="1" applyProtection="1">
      <alignment horizontal="left" indent="1"/>
    </xf>
    <xf numFmtId="0" fontId="36" fillId="0" borderId="0" xfId="4" applyFont="1" applyProtection="1"/>
    <xf numFmtId="0" fontId="39" fillId="2" borderId="1" xfId="4" applyFont="1" applyFill="1" applyBorder="1" applyAlignment="1" applyProtection="1">
      <alignment horizontal="left" indent="1"/>
    </xf>
    <xf numFmtId="168" fontId="41" fillId="2" borderId="4" xfId="4" applyNumberFormat="1" applyFont="1" applyFill="1" applyBorder="1" applyAlignment="1" applyProtection="1">
      <alignment horizontal="left" wrapText="1" indent="1"/>
    </xf>
    <xf numFmtId="3" fontId="39" fillId="23" borderId="1" xfId="4" applyNumberFormat="1" applyFont="1" applyFill="1" applyBorder="1" applyAlignment="1" applyProtection="1">
      <alignment horizontal="left" indent="1"/>
    </xf>
    <xf numFmtId="0" fontId="36" fillId="0" borderId="0" xfId="4" applyFont="1" applyBorder="1" applyAlignment="1" applyProtection="1">
      <alignment horizontal="center"/>
      <protection locked="0"/>
    </xf>
    <xf numFmtId="0" fontId="42" fillId="0" borderId="0" xfId="4" applyFont="1" applyFill="1" applyBorder="1" applyAlignment="1" applyProtection="1">
      <alignment horizontal="center"/>
      <protection locked="0"/>
    </xf>
    <xf numFmtId="0" fontId="42" fillId="16" borderId="28" xfId="4" applyFont="1" applyFill="1" applyBorder="1" applyAlignment="1" applyProtection="1">
      <alignment horizontal="left" indent="1"/>
      <protection locked="0"/>
    </xf>
    <xf numFmtId="0" fontId="42" fillId="16" borderId="26" xfId="4" applyFont="1" applyFill="1" applyBorder="1" applyAlignment="1" applyProtection="1">
      <alignment horizontal="left" indent="1"/>
      <protection locked="0"/>
    </xf>
    <xf numFmtId="168" fontId="42" fillId="16" borderId="27" xfId="4" applyNumberFormat="1" applyFont="1" applyFill="1" applyBorder="1" applyAlignment="1" applyProtection="1">
      <alignment horizontal="left" indent="1"/>
      <protection locked="0"/>
    </xf>
    <xf numFmtId="0" fontId="42" fillId="16" borderId="27" xfId="4" applyFont="1" applyFill="1" applyBorder="1" applyAlignment="1" applyProtection="1">
      <alignment horizontal="left" indent="1"/>
      <protection locked="0"/>
    </xf>
    <xf numFmtId="0" fontId="39" fillId="22" borderId="1" xfId="4" applyFont="1" applyFill="1" applyBorder="1" applyAlignment="1" applyProtection="1">
      <alignment horizontal="center"/>
      <protection locked="0"/>
    </xf>
    <xf numFmtId="0" fontId="39" fillId="11" borderId="1" xfId="4" applyFont="1" applyFill="1" applyBorder="1" applyAlignment="1" applyProtection="1">
      <alignment horizontal="center" wrapText="1"/>
      <protection locked="0"/>
    </xf>
    <xf numFmtId="168" fontId="40" fillId="21" borderId="1" xfId="4" applyNumberFormat="1" applyFont="1" applyFill="1" applyBorder="1" applyAlignment="1" applyProtection="1">
      <alignment horizontal="center"/>
    </xf>
    <xf numFmtId="168" fontId="35" fillId="0" borderId="0" xfId="3" applyNumberFormat="1" applyFont="1" applyProtection="1">
      <protection locked="0"/>
    </xf>
    <xf numFmtId="0" fontId="39" fillId="22" borderId="1" xfId="4" applyNumberFormat="1" applyFont="1" applyFill="1" applyBorder="1" applyAlignment="1" applyProtection="1">
      <alignment horizontal="center" wrapText="1"/>
      <protection locked="0"/>
    </xf>
    <xf numFmtId="0" fontId="35" fillId="0" borderId="1" xfId="3" applyFont="1" applyBorder="1" applyProtection="1">
      <protection locked="0"/>
    </xf>
    <xf numFmtId="0" fontId="35" fillId="0" borderId="1" xfId="3" applyFont="1" applyBorder="1" applyAlignment="1" applyProtection="1">
      <alignment horizontal="center"/>
      <protection locked="0"/>
    </xf>
    <xf numFmtId="0" fontId="36" fillId="0" borderId="1" xfId="4" applyFont="1" applyBorder="1" applyAlignment="1" applyProtection="1">
      <alignment horizontal="center"/>
      <protection locked="0"/>
    </xf>
    <xf numFmtId="0" fontId="40" fillId="21" borderId="1" xfId="4" applyFont="1" applyFill="1" applyBorder="1" applyAlignment="1" applyProtection="1">
      <alignment horizontal="center"/>
    </xf>
    <xf numFmtId="169" fontId="40" fillId="21" borderId="1" xfId="4" applyNumberFormat="1" applyFont="1" applyFill="1" applyBorder="1" applyAlignment="1" applyProtection="1">
      <alignment horizontal="center"/>
    </xf>
    <xf numFmtId="0" fontId="35" fillId="0" borderId="1" xfId="0" applyFont="1" applyBorder="1"/>
    <xf numFmtId="0" fontId="36" fillId="0" borderId="0" xfId="4" applyFont="1" applyBorder="1" applyProtection="1">
      <protection locked="0"/>
    </xf>
    <xf numFmtId="167" fontId="43" fillId="0" borderId="0" xfId="4" applyNumberFormat="1" applyFont="1" applyAlignment="1" applyProtection="1">
      <alignment horizontal="center"/>
      <protection locked="0"/>
    </xf>
    <xf numFmtId="0" fontId="36" fillId="0" borderId="0" xfId="4" applyFont="1" applyBorder="1" applyAlignment="1" applyProtection="1">
      <protection locked="0"/>
    </xf>
    <xf numFmtId="0" fontId="36" fillId="0" borderId="0" xfId="4" applyNumberFormat="1" applyFont="1" applyBorder="1" applyAlignment="1" applyProtection="1">
      <alignment horizontal="center"/>
      <protection locked="0"/>
    </xf>
    <xf numFmtId="0" fontId="45" fillId="21" borderId="1" xfId="3" applyFont="1" applyFill="1" applyBorder="1" applyAlignment="1" applyProtection="1">
      <alignment horizontal="center"/>
    </xf>
    <xf numFmtId="0" fontId="39" fillId="22" borderId="1" xfId="4" applyFont="1" applyFill="1" applyBorder="1" applyAlignment="1" applyProtection="1">
      <alignment horizontal="center" wrapText="1"/>
      <protection locked="0"/>
    </xf>
    <xf numFmtId="167" fontId="39" fillId="11" borderId="1" xfId="4" applyNumberFormat="1" applyFont="1" applyFill="1" applyBorder="1" applyAlignment="1" applyProtection="1">
      <alignment horizontal="center" wrapText="1"/>
      <protection locked="0"/>
    </xf>
    <xf numFmtId="0" fontId="39" fillId="17" borderId="1" xfId="4" applyFont="1" applyFill="1" applyBorder="1" applyAlignment="1" applyProtection="1">
      <alignment horizontal="center" wrapText="1"/>
      <protection locked="0"/>
    </xf>
    <xf numFmtId="0" fontId="39" fillId="11" borderId="1" xfId="4" applyFont="1" applyFill="1" applyBorder="1" applyAlignment="1" applyProtection="1">
      <alignment horizontal="center" wrapText="1"/>
    </xf>
    <xf numFmtId="0" fontId="35" fillId="0" borderId="0" xfId="3" applyFont="1" applyBorder="1" applyAlignment="1" applyProtection="1">
      <alignment horizontal="center"/>
      <protection locked="0"/>
    </xf>
    <xf numFmtId="0" fontId="39" fillId="11" borderId="4" xfId="4" applyFont="1" applyFill="1" applyBorder="1" applyAlignment="1" applyProtection="1">
      <alignment horizontal="center" wrapText="1"/>
      <protection locked="0"/>
    </xf>
    <xf numFmtId="0" fontId="39" fillId="11" borderId="1" xfId="4" applyNumberFormat="1" applyFont="1" applyFill="1" applyBorder="1" applyAlignment="1" applyProtection="1">
      <alignment horizontal="center" wrapText="1"/>
    </xf>
    <xf numFmtId="0" fontId="35" fillId="0" borderId="0" xfId="3" applyFont="1" applyAlignment="1" applyProtection="1">
      <alignment horizontal="center"/>
      <protection locked="0"/>
    </xf>
    <xf numFmtId="0" fontId="50" fillId="0" borderId="1" xfId="3" applyFont="1" applyBorder="1" applyProtection="1"/>
    <xf numFmtId="0" fontId="50" fillId="0" borderId="0" xfId="3" applyFont="1" applyProtection="1"/>
    <xf numFmtId="0" fontId="51" fillId="0" borderId="0" xfId="4" applyFont="1" applyProtection="1"/>
    <xf numFmtId="0" fontId="39" fillId="0" borderId="0" xfId="4" applyNumberFormat="1" applyFont="1" applyFill="1" applyBorder="1" applyAlignment="1" applyProtection="1">
      <alignment horizontal="left"/>
      <protection locked="0"/>
    </xf>
    <xf numFmtId="0" fontId="39" fillId="0" borderId="0" xfId="4" applyNumberFormat="1" applyFont="1" applyFill="1" applyBorder="1" applyAlignment="1" applyProtection="1">
      <alignment horizontal="right"/>
      <protection locked="0"/>
    </xf>
    <xf numFmtId="0" fontId="39" fillId="0" borderId="0" xfId="4" applyNumberFormat="1" applyFont="1" applyFill="1" applyBorder="1" applyAlignment="1" applyProtection="1">
      <alignment horizontal="right"/>
    </xf>
    <xf numFmtId="0" fontId="39" fillId="0" borderId="1" xfId="4" applyNumberFormat="1" applyFont="1" applyFill="1" applyBorder="1" applyAlignment="1" applyProtection="1">
      <alignment horizontal="right"/>
    </xf>
    <xf numFmtId="168" fontId="52" fillId="5" borderId="1" xfId="4" applyNumberFormat="1" applyFont="1" applyFill="1" applyBorder="1" applyAlignment="1" applyProtection="1">
      <alignment horizontal="center"/>
    </xf>
    <xf numFmtId="0" fontId="35" fillId="0" borderId="0" xfId="3" applyFont="1" applyBorder="1" applyProtection="1"/>
    <xf numFmtId="164" fontId="52" fillId="5" borderId="1" xfId="4" applyNumberFormat="1" applyFont="1" applyFill="1" applyBorder="1" applyAlignment="1" applyProtection="1">
      <alignment horizontal="center"/>
    </xf>
    <xf numFmtId="0" fontId="39" fillId="22" borderId="1" xfId="4" applyFont="1" applyFill="1" applyBorder="1" applyAlignment="1" applyProtection="1">
      <alignment horizontal="center" wrapText="1"/>
    </xf>
    <xf numFmtId="0" fontId="35" fillId="0" borderId="0" xfId="3" applyFont="1" applyBorder="1" applyProtection="1">
      <protection locked="0"/>
    </xf>
    <xf numFmtId="0" fontId="36" fillId="0" borderId="1" xfId="4" applyFont="1" applyBorder="1" applyProtection="1"/>
    <xf numFmtId="168" fontId="53" fillId="21" borderId="1" xfId="4" applyNumberFormat="1" applyFont="1" applyFill="1" applyBorder="1" applyAlignment="1" applyProtection="1">
      <alignment horizontal="center"/>
    </xf>
    <xf numFmtId="0" fontId="39" fillId="0" borderId="1" xfId="4" applyFont="1" applyBorder="1" applyProtection="1"/>
    <xf numFmtId="0" fontId="39" fillId="5" borderId="1" xfId="4" applyFont="1" applyFill="1" applyBorder="1" applyProtection="1"/>
    <xf numFmtId="168" fontId="39" fillId="5" borderId="1" xfId="4" applyNumberFormat="1" applyFont="1" applyFill="1" applyBorder="1" applyAlignment="1" applyProtection="1">
      <alignment horizontal="center"/>
    </xf>
    <xf numFmtId="0" fontId="39" fillId="0" borderId="1" xfId="4" applyFont="1" applyFill="1" applyBorder="1" applyProtection="1"/>
    <xf numFmtId="0" fontId="39" fillId="0" borderId="0" xfId="4" applyFont="1" applyBorder="1" applyProtection="1">
      <protection locked="0"/>
    </xf>
    <xf numFmtId="167" fontId="36" fillId="0" borderId="0" xfId="4" applyNumberFormat="1" applyFont="1" applyBorder="1" applyAlignment="1" applyProtection="1">
      <alignment horizontal="center"/>
    </xf>
    <xf numFmtId="1" fontId="36" fillId="0" borderId="0" xfId="4" applyNumberFormat="1" applyFont="1" applyFill="1" applyBorder="1" applyAlignment="1" applyProtection="1">
      <alignment horizontal="center"/>
      <protection locked="0"/>
    </xf>
    <xf numFmtId="0" fontId="35" fillId="0" borderId="0" xfId="0" applyFont="1" applyProtection="1">
      <protection locked="0"/>
    </xf>
    <xf numFmtId="0" fontId="36" fillId="7" borderId="0" xfId="4" applyFont="1" applyFill="1" applyProtection="1">
      <protection locked="0"/>
    </xf>
    <xf numFmtId="0" fontId="0" fillId="0" borderId="46" xfId="0" applyBorder="1" applyAlignment="1">
      <alignment vertical="center"/>
    </xf>
    <xf numFmtId="0" fontId="56" fillId="22" borderId="1" xfId="4" applyNumberFormat="1" applyFont="1" applyFill="1" applyBorder="1" applyAlignment="1" applyProtection="1">
      <alignment horizontal="center" wrapText="1"/>
      <protection locked="0"/>
    </xf>
    <xf numFmtId="169" fontId="32" fillId="21" borderId="1" xfId="4" applyNumberFormat="1" applyFont="1" applyFill="1" applyBorder="1" applyAlignment="1" applyProtection="1">
      <alignment horizontal="center"/>
    </xf>
    <xf numFmtId="168" fontId="32" fillId="0" borderId="0" xfId="4" applyNumberFormat="1" applyFont="1" applyBorder="1" applyAlignment="1" applyProtection="1">
      <alignment horizontal="center"/>
    </xf>
    <xf numFmtId="170" fontId="32" fillId="21" borderId="1" xfId="4" applyNumberFormat="1" applyFont="1" applyFill="1" applyBorder="1" applyAlignment="1" applyProtection="1">
      <alignment horizontal="center"/>
    </xf>
    <xf numFmtId="0" fontId="12" fillId="0" borderId="0" xfId="3" applyFont="1" applyBorder="1" applyProtection="1"/>
    <xf numFmtId="2" fontId="32" fillId="21" borderId="1" xfId="4" applyNumberFormat="1" applyFont="1" applyFill="1" applyBorder="1" applyAlignment="1" applyProtection="1">
      <alignment horizontal="center"/>
    </xf>
    <xf numFmtId="168" fontId="32" fillId="21" borderId="1" xfId="4" applyNumberFormat="1" applyFont="1" applyFill="1" applyBorder="1" applyAlignment="1" applyProtection="1">
      <alignment horizontal="center"/>
    </xf>
    <xf numFmtId="0" fontId="13" fillId="11" borderId="1" xfId="4" applyFont="1" applyFill="1" applyBorder="1" applyAlignment="1" applyProtection="1">
      <alignment horizontal="center" wrapText="1"/>
      <protection locked="0"/>
    </xf>
    <xf numFmtId="167" fontId="13" fillId="11" borderId="1" xfId="4" applyNumberFormat="1" applyFont="1" applyFill="1" applyBorder="1" applyAlignment="1" applyProtection="1">
      <alignment horizontal="center" wrapText="1"/>
      <protection locked="0"/>
    </xf>
    <xf numFmtId="0" fontId="9" fillId="18" borderId="1" xfId="4" applyFont="1" applyFill="1" applyBorder="1"/>
    <xf numFmtId="0" fontId="10" fillId="19" borderId="1" xfId="4" applyFont="1" applyFill="1" applyBorder="1"/>
    <xf numFmtId="0" fontId="9" fillId="19" borderId="1" xfId="4" applyFont="1" applyFill="1" applyBorder="1"/>
    <xf numFmtId="0" fontId="9" fillId="18" borderId="1" xfId="4" applyNumberFormat="1" applyFont="1" applyFill="1" applyBorder="1"/>
    <xf numFmtId="0" fontId="63" fillId="2" borderId="0" xfId="0" applyFont="1" applyFill="1" applyBorder="1" applyProtection="1">
      <protection hidden="1"/>
    </xf>
    <xf numFmtId="0" fontId="63" fillId="2" borderId="14" xfId="0" applyFont="1" applyFill="1" applyBorder="1" applyAlignment="1" applyProtection="1">
      <protection hidden="1"/>
    </xf>
    <xf numFmtId="0" fontId="63" fillId="2" borderId="0" xfId="0" applyFont="1" applyFill="1" applyBorder="1" applyAlignment="1" applyProtection="1">
      <protection hidden="1"/>
    </xf>
    <xf numFmtId="0" fontId="63" fillId="2" borderId="15" xfId="0" applyFont="1" applyFill="1" applyBorder="1" applyAlignment="1" applyProtection="1">
      <protection hidden="1"/>
    </xf>
    <xf numFmtId="0" fontId="64" fillId="2" borderId="0" xfId="0" applyFont="1" applyFill="1" applyBorder="1" applyAlignment="1" applyProtection="1">
      <alignment vertical="center"/>
      <protection hidden="1"/>
    </xf>
    <xf numFmtId="0" fontId="63" fillId="2" borderId="0" xfId="0" applyFont="1" applyFill="1"/>
    <xf numFmtId="0" fontId="62" fillId="0" borderId="1" xfId="3" applyNumberFormat="1" applyFont="1" applyFill="1" applyBorder="1" applyAlignment="1">
      <alignment horizontal="center" vertical="center" wrapText="1"/>
    </xf>
    <xf numFmtId="0" fontId="12" fillId="0" borderId="0" xfId="0" applyFont="1" applyFill="1" applyBorder="1"/>
    <xf numFmtId="0" fontId="26" fillId="0" borderId="0" xfId="0" applyFont="1" applyFill="1" applyBorder="1" applyAlignment="1">
      <alignment vertical="top"/>
    </xf>
    <xf numFmtId="0" fontId="68" fillId="0" borderId="0" xfId="2" applyFont="1" applyFill="1" applyBorder="1" applyAlignment="1">
      <alignment horizontal="left" vertical="top" indent="1"/>
    </xf>
    <xf numFmtId="0" fontId="15" fillId="0" borderId="0" xfId="0" applyFont="1" applyFill="1" applyBorder="1" applyAlignment="1">
      <alignment horizontal="left" vertical="top"/>
    </xf>
    <xf numFmtId="0" fontId="60" fillId="33" borderId="19" xfId="0" applyFont="1" applyFill="1" applyBorder="1" applyAlignment="1"/>
    <xf numFmtId="0" fontId="61" fillId="34" borderId="1" xfId="0" applyFont="1" applyFill="1" applyBorder="1" applyAlignment="1">
      <alignment horizontal="center"/>
    </xf>
    <xf numFmtId="0" fontId="14" fillId="34" borderId="1" xfId="0" applyFont="1" applyFill="1" applyBorder="1" applyAlignment="1">
      <alignment horizontal="center"/>
    </xf>
    <xf numFmtId="0" fontId="14" fillId="34" borderId="1" xfId="0" applyFont="1" applyFill="1" applyBorder="1" applyAlignment="1">
      <alignment horizontal="center" wrapText="1"/>
    </xf>
    <xf numFmtId="0" fontId="61" fillId="32" borderId="1" xfId="0" applyFont="1" applyFill="1" applyBorder="1" applyAlignment="1">
      <alignment horizontal="left" wrapText="1" indent="1"/>
    </xf>
    <xf numFmtId="0" fontId="70" fillId="0" borderId="0" xfId="0" applyFont="1" applyFill="1" applyBorder="1"/>
    <xf numFmtId="0" fontId="71" fillId="0" borderId="0" xfId="0" applyFont="1" applyFill="1" applyBorder="1" applyAlignment="1">
      <alignment vertical="top"/>
    </xf>
    <xf numFmtId="0" fontId="72" fillId="0" borderId="0" xfId="2" applyFont="1" applyFill="1" applyBorder="1" applyAlignment="1">
      <alignment horizontal="left" vertical="top" indent="1"/>
    </xf>
    <xf numFmtId="0" fontId="73" fillId="0" borderId="0" xfId="0" applyFont="1" applyFill="1" applyBorder="1" applyAlignment="1">
      <alignment horizontal="left" vertical="top"/>
    </xf>
    <xf numFmtId="0" fontId="74" fillId="31" borderId="1" xfId="4" applyFont="1" applyFill="1" applyBorder="1" applyAlignment="1" applyProtection="1">
      <alignment horizontal="left" wrapText="1" indent="1"/>
    </xf>
    <xf numFmtId="0" fontId="76" fillId="0" borderId="0" xfId="0" applyFont="1" applyBorder="1" applyAlignment="1" applyProtection="1">
      <protection hidden="1"/>
    </xf>
    <xf numFmtId="0" fontId="76" fillId="0" borderId="0" xfId="0" applyFont="1"/>
    <xf numFmtId="0" fontId="76" fillId="0" borderId="0" xfId="0" applyFont="1" applyProtection="1">
      <protection hidden="1"/>
    </xf>
    <xf numFmtId="0" fontId="78" fillId="0" borderId="5" xfId="1" applyFont="1" applyBorder="1" applyAlignment="1" applyProtection="1">
      <alignment horizontal="left" vertical="center"/>
      <protection hidden="1"/>
    </xf>
    <xf numFmtId="0" fontId="78" fillId="0" borderId="5" xfId="1" applyFont="1" applyBorder="1" applyAlignment="1" applyProtection="1">
      <alignment horizontal="right" vertical="center"/>
      <protection hidden="1"/>
    </xf>
    <xf numFmtId="0" fontId="79" fillId="0" borderId="0" xfId="0" applyFont="1" applyProtection="1">
      <protection hidden="1"/>
    </xf>
    <xf numFmtId="0" fontId="76" fillId="0" borderId="0" xfId="0" applyFont="1" applyBorder="1" applyAlignment="1" applyProtection="1">
      <alignment wrapText="1"/>
      <protection hidden="1"/>
    </xf>
    <xf numFmtId="0" fontId="78" fillId="0" borderId="23" xfId="1" applyFont="1" applyFill="1" applyBorder="1" applyAlignment="1" applyProtection="1">
      <alignment horizontal="left" vertical="center"/>
      <protection hidden="1"/>
    </xf>
    <xf numFmtId="0" fontId="12" fillId="0" borderId="0" xfId="3" applyFont="1" applyProtection="1">
      <protection locked="0"/>
    </xf>
    <xf numFmtId="0" fontId="0" fillId="0" borderId="1" xfId="0" applyBorder="1"/>
    <xf numFmtId="0" fontId="0" fillId="19" borderId="1" xfId="0" applyFill="1" applyBorder="1"/>
    <xf numFmtId="0" fontId="62" fillId="0" borderId="27" xfId="4" applyFont="1" applyFill="1" applyBorder="1" applyAlignment="1" applyProtection="1">
      <alignment horizontal="left" wrapText="1" indent="1"/>
    </xf>
    <xf numFmtId="0" fontId="62" fillId="0" borderId="1" xfId="4" applyFont="1" applyFill="1" applyBorder="1" applyAlignment="1" applyProtection="1">
      <alignment horizontal="left" wrapText="1" indent="1"/>
    </xf>
    <xf numFmtId="0" fontId="62" fillId="0" borderId="1" xfId="4" applyFont="1" applyFill="1" applyBorder="1" applyAlignment="1" applyProtection="1">
      <alignment horizontal="right" wrapText="1" indent="1"/>
    </xf>
    <xf numFmtId="0" fontId="16" fillId="26" borderId="0" xfId="3" applyNumberFormat="1" applyFont="1" applyFill="1" applyBorder="1" applyAlignment="1">
      <alignment horizontal="center" vertical="center" wrapText="1"/>
    </xf>
    <xf numFmtId="0" fontId="16" fillId="26" borderId="0" xfId="0" applyFont="1" applyFill="1" applyBorder="1" applyAlignment="1">
      <alignment horizontal="center" vertical="center"/>
    </xf>
    <xf numFmtId="0" fontId="16" fillId="26" borderId="0" xfId="0" applyFont="1" applyFill="1" applyBorder="1" applyAlignment="1">
      <alignment wrapText="1"/>
    </xf>
    <xf numFmtId="2" fontId="16" fillId="26" borderId="0" xfId="0" applyNumberFormat="1" applyFont="1" applyFill="1" applyBorder="1" applyAlignment="1">
      <alignment horizontal="left" wrapText="1" indent="1"/>
    </xf>
    <xf numFmtId="2" fontId="16" fillId="26" borderId="0" xfId="0" applyNumberFormat="1" applyFont="1" applyFill="1" applyBorder="1" applyAlignment="1">
      <alignment horizontal="left" indent="1"/>
    </xf>
    <xf numFmtId="2" fontId="16" fillId="33" borderId="0" xfId="0" applyNumberFormat="1" applyFont="1" applyFill="1" applyBorder="1" applyAlignment="1">
      <alignment horizontal="right" indent="1"/>
    </xf>
    <xf numFmtId="168" fontId="56" fillId="2" borderId="27" xfId="4" applyNumberFormat="1" applyFont="1" applyFill="1" applyBorder="1" applyAlignment="1" applyProtection="1">
      <alignment horizontal="left" vertical="center" wrapText="1" indent="1"/>
    </xf>
    <xf numFmtId="168" fontId="56" fillId="2" borderId="27" xfId="4" applyNumberFormat="1" applyFont="1" applyFill="1" applyBorder="1" applyAlignment="1" applyProtection="1">
      <alignment horizontal="left" wrapText="1" indent="1"/>
    </xf>
    <xf numFmtId="0" fontId="82" fillId="7" borderId="0" xfId="0" applyFont="1" applyFill="1" applyProtection="1">
      <protection hidden="1"/>
    </xf>
    <xf numFmtId="0" fontId="82" fillId="0" borderId="0" xfId="0" applyFont="1" applyProtection="1">
      <protection hidden="1"/>
    </xf>
    <xf numFmtId="0" fontId="82" fillId="7" borderId="0" xfId="0" applyFont="1" applyFill="1" applyAlignment="1" applyProtection="1">
      <protection hidden="1"/>
    </xf>
    <xf numFmtId="0" fontId="82" fillId="0" borderId="0" xfId="0" applyFont="1" applyAlignment="1" applyProtection="1">
      <protection hidden="1"/>
    </xf>
    <xf numFmtId="0" fontId="86" fillId="6" borderId="0" xfId="0" applyFont="1" applyFill="1" applyBorder="1" applyAlignment="1" applyProtection="1">
      <alignment vertical="center"/>
      <protection hidden="1"/>
    </xf>
    <xf numFmtId="0" fontId="82" fillId="2" borderId="0" xfId="0" applyFont="1" applyFill="1" applyBorder="1" applyProtection="1">
      <protection hidden="1"/>
    </xf>
    <xf numFmtId="0" fontId="82" fillId="2" borderId="0" xfId="0" applyFont="1" applyFill="1" applyProtection="1">
      <protection hidden="1"/>
    </xf>
    <xf numFmtId="0" fontId="82" fillId="2" borderId="0" xfId="0" applyFont="1" applyFill="1" applyAlignment="1" applyProtection="1">
      <protection hidden="1"/>
    </xf>
    <xf numFmtId="0" fontId="87" fillId="2" borderId="0" xfId="0" applyFont="1" applyFill="1" applyBorder="1" applyAlignment="1" applyProtection="1">
      <alignment vertical="center"/>
      <protection hidden="1"/>
    </xf>
    <xf numFmtId="0" fontId="88" fillId="2" borderId="0" xfId="0" applyFont="1" applyFill="1" applyBorder="1" applyAlignment="1" applyProtection="1">
      <alignment vertical="center"/>
      <protection hidden="1"/>
    </xf>
    <xf numFmtId="0" fontId="82" fillId="2" borderId="14" xfId="0" applyFont="1" applyFill="1" applyBorder="1" applyAlignment="1" applyProtection="1">
      <protection hidden="1"/>
    </xf>
    <xf numFmtId="0" fontId="82" fillId="2" borderId="0" xfId="0" applyFont="1" applyFill="1" applyBorder="1" applyAlignment="1" applyProtection="1">
      <protection hidden="1"/>
    </xf>
    <xf numFmtId="0" fontId="88" fillId="2" borderId="0" xfId="0" applyFont="1" applyFill="1" applyBorder="1" applyAlignment="1" applyProtection="1">
      <alignment horizontal="center" vertical="center" wrapText="1"/>
      <protection hidden="1"/>
    </xf>
    <xf numFmtId="0" fontId="82" fillId="2" borderId="0" xfId="0" applyFont="1" applyFill="1" applyBorder="1" applyAlignment="1" applyProtection="1">
      <alignment horizontal="center" vertical="center" wrapText="1"/>
      <protection hidden="1"/>
    </xf>
    <xf numFmtId="0" fontId="82" fillId="2" borderId="15" xfId="0" applyFont="1" applyFill="1" applyBorder="1" applyAlignment="1" applyProtection="1">
      <protection hidden="1"/>
    </xf>
    <xf numFmtId="0" fontId="93" fillId="2" borderId="0" xfId="0" applyFont="1" applyFill="1" applyBorder="1" applyAlignment="1" applyProtection="1">
      <alignment horizontal="center" vertical="center" wrapText="1"/>
      <protection hidden="1"/>
    </xf>
    <xf numFmtId="0" fontId="94" fillId="2" borderId="0" xfId="0" applyFont="1" applyFill="1" applyBorder="1" applyProtection="1">
      <protection hidden="1"/>
    </xf>
    <xf numFmtId="0" fontId="96" fillId="2" borderId="0" xfId="0" applyFont="1" applyFill="1" applyBorder="1" applyAlignment="1" applyProtection="1">
      <alignment horizontal="center" vertical="center" wrapText="1"/>
      <protection hidden="1"/>
    </xf>
    <xf numFmtId="0" fontId="97" fillId="2" borderId="0" xfId="0" applyFont="1" applyFill="1" applyBorder="1" applyAlignment="1" applyProtection="1">
      <alignment horizontal="center" vertical="center" wrapText="1"/>
      <protection hidden="1"/>
    </xf>
    <xf numFmtId="0" fontId="94" fillId="2" borderId="0" xfId="0" applyFont="1" applyFill="1" applyBorder="1" applyAlignment="1" applyProtection="1">
      <alignment horizontal="center" vertical="center" wrapText="1"/>
      <protection hidden="1"/>
    </xf>
    <xf numFmtId="0" fontId="82" fillId="2" borderId="16" xfId="0" applyFont="1" applyFill="1" applyBorder="1" applyAlignment="1" applyProtection="1">
      <protection hidden="1"/>
    </xf>
    <xf numFmtId="0" fontId="82" fillId="2" borderId="17" xfId="0" applyFont="1" applyFill="1" applyBorder="1" applyAlignment="1" applyProtection="1">
      <protection hidden="1"/>
    </xf>
    <xf numFmtId="0" fontId="82" fillId="2" borderId="18" xfId="0" applyFont="1" applyFill="1" applyBorder="1" applyAlignment="1" applyProtection="1">
      <protection hidden="1"/>
    </xf>
    <xf numFmtId="0" fontId="82" fillId="2" borderId="11" xfId="0" applyFont="1" applyFill="1" applyBorder="1" applyProtection="1">
      <protection hidden="1"/>
    </xf>
    <xf numFmtId="0" fontId="82" fillId="2" borderId="12" xfId="0" applyFont="1" applyFill="1" applyBorder="1" applyProtection="1">
      <protection hidden="1"/>
    </xf>
    <xf numFmtId="0" fontId="98" fillId="2" borderId="12" xfId="0" applyFont="1" applyFill="1" applyBorder="1" applyAlignment="1" applyProtection="1">
      <alignment wrapText="1"/>
      <protection hidden="1"/>
    </xf>
    <xf numFmtId="0" fontId="82" fillId="2" borderId="13" xfId="0" applyFont="1" applyFill="1" applyBorder="1" applyProtection="1">
      <protection hidden="1"/>
    </xf>
    <xf numFmtId="0" fontId="82" fillId="2" borderId="11" xfId="0" applyFont="1" applyFill="1" applyBorder="1" applyAlignment="1" applyProtection="1">
      <protection hidden="1"/>
    </xf>
    <xf numFmtId="0" fontId="82" fillId="2" borderId="12" xfId="0" applyFont="1" applyFill="1" applyBorder="1" applyAlignment="1" applyProtection="1">
      <protection hidden="1"/>
    </xf>
    <xf numFmtId="0" fontId="82" fillId="2" borderId="13" xfId="0" applyFont="1" applyFill="1" applyBorder="1" applyAlignment="1" applyProtection="1">
      <protection hidden="1"/>
    </xf>
    <xf numFmtId="0" fontId="82" fillId="2" borderId="14" xfId="0" applyFont="1" applyFill="1" applyBorder="1" applyProtection="1">
      <protection hidden="1"/>
    </xf>
    <xf numFmtId="0" fontId="82" fillId="2" borderId="15" xfId="0" applyFont="1" applyFill="1" applyBorder="1" applyProtection="1">
      <protection hidden="1"/>
    </xf>
    <xf numFmtId="0" fontId="82" fillId="2" borderId="14" xfId="0" applyFont="1" applyFill="1" applyBorder="1" applyAlignment="1" applyProtection="1">
      <alignment vertical="center" wrapText="1"/>
      <protection hidden="1"/>
    </xf>
    <xf numFmtId="0" fontId="82" fillId="2" borderId="0" xfId="0" applyFont="1" applyFill="1" applyBorder="1" applyAlignment="1" applyProtection="1">
      <alignment vertical="center" wrapText="1"/>
      <protection hidden="1"/>
    </xf>
    <xf numFmtId="0" fontId="101" fillId="2" borderId="14" xfId="0" applyFont="1" applyFill="1" applyBorder="1" applyAlignment="1" applyProtection="1">
      <alignment wrapText="1"/>
      <protection hidden="1"/>
    </xf>
    <xf numFmtId="0" fontId="82" fillId="0" borderId="0" xfId="0" applyFont="1"/>
    <xf numFmtId="0" fontId="99" fillId="2" borderId="14" xfId="0" applyFont="1" applyFill="1" applyBorder="1" applyAlignment="1">
      <alignment vertical="center" wrapText="1"/>
    </xf>
    <xf numFmtId="0" fontId="99" fillId="2" borderId="0" xfId="0" applyFont="1" applyFill="1" applyBorder="1" applyAlignment="1">
      <alignment vertical="center" wrapText="1"/>
    </xf>
    <xf numFmtId="0" fontId="99" fillId="2" borderId="15" xfId="0" applyFont="1" applyFill="1" applyBorder="1" applyAlignment="1">
      <alignment vertical="center" wrapText="1"/>
    </xf>
    <xf numFmtId="0" fontId="82" fillId="2" borderId="14" xfId="0" applyFont="1" applyFill="1" applyBorder="1" applyAlignment="1"/>
    <xf numFmtId="0" fontId="82" fillId="2" borderId="0" xfId="0" applyFont="1" applyFill="1" applyBorder="1" applyAlignment="1"/>
    <xf numFmtId="0" fontId="82" fillId="2" borderId="15" xfId="0" applyFont="1" applyFill="1" applyBorder="1" applyAlignment="1"/>
    <xf numFmtId="0" fontId="82" fillId="14" borderId="11" xfId="0" applyFont="1" applyFill="1" applyBorder="1" applyAlignment="1" applyProtection="1">
      <alignment vertical="center"/>
      <protection hidden="1"/>
    </xf>
    <xf numFmtId="0" fontId="99" fillId="14" borderId="0" xfId="0" applyFont="1" applyFill="1" applyBorder="1" applyAlignment="1" applyProtection="1">
      <alignment vertical="center"/>
      <protection hidden="1"/>
    </xf>
    <xf numFmtId="0" fontId="99" fillId="14" borderId="12" xfId="0" applyFont="1" applyFill="1" applyBorder="1" applyAlignment="1" applyProtection="1">
      <alignment vertical="center"/>
      <protection hidden="1"/>
    </xf>
    <xf numFmtId="0" fontId="99" fillId="14" borderId="13" xfId="0" applyFont="1" applyFill="1" applyBorder="1" applyAlignment="1" applyProtection="1">
      <alignment vertical="center"/>
      <protection hidden="1"/>
    </xf>
    <xf numFmtId="0" fontId="82" fillId="2" borderId="0" xfId="0" applyFont="1" applyFill="1" applyBorder="1" applyAlignment="1" applyProtection="1">
      <alignment vertical="center"/>
      <protection hidden="1"/>
    </xf>
    <xf numFmtId="0" fontId="82" fillId="0" borderId="0" xfId="0" applyFont="1" applyFill="1" applyAlignment="1" applyProtection="1">
      <protection hidden="1"/>
    </xf>
    <xf numFmtId="0" fontId="82" fillId="14" borderId="14" xfId="0" applyFont="1" applyFill="1" applyBorder="1" applyAlignment="1" applyProtection="1">
      <alignment vertical="center"/>
      <protection hidden="1"/>
    </xf>
    <xf numFmtId="0" fontId="99" fillId="14" borderId="15" xfId="0" applyFont="1" applyFill="1" applyBorder="1" applyAlignment="1" applyProtection="1">
      <alignment vertical="center"/>
      <protection hidden="1"/>
    </xf>
    <xf numFmtId="0" fontId="82" fillId="2" borderId="0" xfId="0" applyFont="1" applyFill="1" applyBorder="1" applyAlignment="1" applyProtection="1">
      <alignment horizontal="left"/>
      <protection hidden="1"/>
    </xf>
    <xf numFmtId="0" fontId="104" fillId="2" borderId="14" xfId="0" applyFont="1" applyFill="1" applyBorder="1" applyAlignment="1" applyProtection="1">
      <alignment vertical="top" wrapText="1"/>
      <protection hidden="1"/>
    </xf>
    <xf numFmtId="0" fontId="104" fillId="2" borderId="0" xfId="0" applyFont="1" applyFill="1" applyBorder="1" applyAlignment="1" applyProtection="1">
      <alignment vertical="top" wrapText="1"/>
      <protection hidden="1"/>
    </xf>
    <xf numFmtId="0" fontId="104" fillId="2" borderId="15" xfId="0" applyFont="1" applyFill="1" applyBorder="1" applyAlignment="1" applyProtection="1">
      <alignment vertical="top" wrapText="1"/>
      <protection hidden="1"/>
    </xf>
    <xf numFmtId="0" fontId="82" fillId="14" borderId="12" xfId="0" applyFont="1" applyFill="1" applyBorder="1" applyAlignment="1" applyProtection="1">
      <alignment horizontal="left" vertical="center"/>
      <protection hidden="1"/>
    </xf>
    <xf numFmtId="0" fontId="82" fillId="14" borderId="13" xfId="0" applyFont="1" applyFill="1" applyBorder="1" applyAlignment="1" applyProtection="1">
      <alignment horizontal="left" vertical="center"/>
      <protection hidden="1"/>
    </xf>
    <xf numFmtId="0" fontId="82" fillId="14" borderId="0" xfId="0" applyFont="1" applyFill="1" applyBorder="1" applyAlignment="1" applyProtection="1">
      <alignment horizontal="left" vertical="center"/>
      <protection hidden="1"/>
    </xf>
    <xf numFmtId="0" fontId="82" fillId="14" borderId="15" xfId="0" applyFont="1" applyFill="1" applyBorder="1" applyAlignment="1" applyProtection="1">
      <alignment horizontal="left" vertical="center"/>
      <protection hidden="1"/>
    </xf>
    <xf numFmtId="0" fontId="92" fillId="2" borderId="0" xfId="0" applyFont="1" applyFill="1" applyBorder="1" applyAlignment="1" applyProtection="1">
      <alignment vertical="center"/>
      <protection hidden="1"/>
    </xf>
    <xf numFmtId="0" fontId="82" fillId="0" borderId="0" xfId="0" applyFont="1" applyFill="1" applyProtection="1">
      <protection hidden="1"/>
    </xf>
    <xf numFmtId="0" fontId="92" fillId="5" borderId="0" xfId="0" applyFont="1" applyFill="1" applyBorder="1" applyAlignment="1" applyProtection="1">
      <alignment vertical="center"/>
      <protection hidden="1"/>
    </xf>
    <xf numFmtId="0" fontId="82" fillId="5" borderId="0" xfId="0" applyFont="1" applyFill="1" applyBorder="1" applyProtection="1">
      <protection hidden="1"/>
    </xf>
    <xf numFmtId="0" fontId="82" fillId="5" borderId="0" xfId="0" applyFont="1" applyFill="1" applyBorder="1" applyAlignment="1" applyProtection="1">
      <protection hidden="1"/>
    </xf>
    <xf numFmtId="0" fontId="82" fillId="5" borderId="15" xfId="0" applyFont="1" applyFill="1" applyBorder="1" applyAlignment="1" applyProtection="1">
      <protection hidden="1"/>
    </xf>
    <xf numFmtId="0" fontId="92" fillId="5" borderId="17" xfId="0" applyFont="1" applyFill="1" applyBorder="1" applyAlignment="1" applyProtection="1">
      <alignment vertical="center"/>
      <protection hidden="1"/>
    </xf>
    <xf numFmtId="0" fontId="82" fillId="5" borderId="17" xfId="0" applyFont="1" applyFill="1" applyBorder="1" applyProtection="1">
      <protection hidden="1"/>
    </xf>
    <xf numFmtId="0" fontId="82" fillId="5" borderId="17" xfId="0" applyFont="1" applyFill="1" applyBorder="1" applyAlignment="1" applyProtection="1">
      <protection hidden="1"/>
    </xf>
    <xf numFmtId="0" fontId="82" fillId="5" borderId="18" xfId="0" applyFont="1" applyFill="1" applyBorder="1" applyAlignment="1" applyProtection="1">
      <protection hidden="1"/>
    </xf>
    <xf numFmtId="0" fontId="82" fillId="7" borderId="0" xfId="0" applyFont="1" applyFill="1" applyBorder="1" applyProtection="1">
      <protection hidden="1"/>
    </xf>
    <xf numFmtId="0" fontId="82" fillId="7" borderId="0" xfId="0" applyFont="1" applyFill="1" applyBorder="1" applyAlignment="1" applyProtection="1">
      <protection hidden="1"/>
    </xf>
    <xf numFmtId="0" fontId="82" fillId="7" borderId="0" xfId="0" applyFont="1" applyFill="1" applyBorder="1" applyAlignment="1" applyProtection="1">
      <alignment horizontal="center"/>
      <protection hidden="1"/>
    </xf>
    <xf numFmtId="0" fontId="95" fillId="7" borderId="0" xfId="0" applyFont="1" applyFill="1" applyBorder="1" applyAlignment="1" applyProtection="1">
      <protection hidden="1"/>
    </xf>
    <xf numFmtId="0" fontId="106" fillId="7" borderId="0" xfId="0" applyFont="1" applyFill="1" applyBorder="1" applyAlignment="1">
      <alignment vertical="center"/>
    </xf>
    <xf numFmtId="0" fontId="95" fillId="7" borderId="0" xfId="0" applyFont="1" applyFill="1" applyBorder="1" applyProtection="1">
      <protection hidden="1"/>
    </xf>
    <xf numFmtId="0" fontId="106" fillId="7" borderId="0" xfId="0" applyFont="1" applyFill="1" applyBorder="1" applyAlignment="1" applyProtection="1">
      <alignment vertical="center"/>
      <protection hidden="1"/>
    </xf>
    <xf numFmtId="0" fontId="95" fillId="7" borderId="0" xfId="0" applyFont="1" applyFill="1" applyBorder="1" applyAlignment="1" applyProtection="1">
      <alignment horizontal="left" vertical="center" indent="1"/>
      <protection hidden="1"/>
    </xf>
    <xf numFmtId="0" fontId="95" fillId="7" borderId="0" xfId="0" applyFont="1" applyFill="1" applyBorder="1" applyAlignment="1" applyProtection="1">
      <alignment horizontal="center" vertical="center"/>
      <protection hidden="1"/>
    </xf>
    <xf numFmtId="3" fontId="40" fillId="21" borderId="1" xfId="4" applyNumberFormat="1" applyFont="1" applyFill="1" applyBorder="1" applyAlignment="1" applyProtection="1">
      <alignment horizontal="center"/>
    </xf>
    <xf numFmtId="3" fontId="39" fillId="21" borderId="1" xfId="4" applyNumberFormat="1" applyFont="1" applyFill="1" applyBorder="1" applyAlignment="1" applyProtection="1">
      <alignment horizontal="center"/>
    </xf>
    <xf numFmtId="0" fontId="14" fillId="0" borderId="1" xfId="0" applyFont="1" applyBorder="1" applyAlignment="1" applyProtection="1">
      <alignment horizontal="center" vertical="center" wrapText="1"/>
      <protection hidden="1"/>
    </xf>
    <xf numFmtId="0" fontId="14" fillId="0" borderId="1" xfId="0" applyFont="1" applyBorder="1" applyAlignment="1">
      <alignment horizontal="center" vertical="center" wrapText="1"/>
    </xf>
    <xf numFmtId="0" fontId="107" fillId="2" borderId="0" xfId="0" applyFont="1" applyFill="1" applyBorder="1" applyProtection="1">
      <protection hidden="1"/>
    </xf>
    <xf numFmtId="0" fontId="107" fillId="2" borderId="14" xfId="0" applyFont="1" applyFill="1" applyBorder="1" applyAlignment="1" applyProtection="1">
      <protection hidden="1"/>
    </xf>
    <xf numFmtId="0" fontId="107" fillId="2" borderId="0" xfId="0" applyFont="1" applyFill="1" applyBorder="1" applyAlignment="1" applyProtection="1">
      <protection hidden="1"/>
    </xf>
    <xf numFmtId="0" fontId="107" fillId="2" borderId="16" xfId="0" applyFont="1" applyFill="1" applyBorder="1" applyAlignment="1" applyProtection="1">
      <protection hidden="1"/>
    </xf>
    <xf numFmtId="0" fontId="107" fillId="2" borderId="17" xfId="0" applyFont="1" applyFill="1" applyBorder="1" applyAlignment="1" applyProtection="1">
      <protection hidden="1"/>
    </xf>
    <xf numFmtId="0" fontId="110" fillId="2" borderId="0" xfId="0" applyFont="1" applyFill="1" applyBorder="1" applyAlignment="1" applyProtection="1">
      <alignment vertical="center"/>
      <protection hidden="1"/>
    </xf>
    <xf numFmtId="0" fontId="110" fillId="2" borderId="15" xfId="0" applyFont="1" applyFill="1" applyBorder="1" applyAlignment="1" applyProtection="1">
      <alignment vertical="center"/>
      <protection hidden="1"/>
    </xf>
    <xf numFmtId="0" fontId="110" fillId="2" borderId="17" xfId="0" applyFont="1" applyFill="1" applyBorder="1" applyAlignment="1" applyProtection="1">
      <alignment vertical="center"/>
      <protection hidden="1"/>
    </xf>
    <xf numFmtId="0" fontId="107" fillId="2" borderId="17" xfId="0" applyFont="1" applyFill="1" applyBorder="1" applyProtection="1">
      <protection hidden="1"/>
    </xf>
    <xf numFmtId="0" fontId="110" fillId="2" borderId="18" xfId="0" applyFont="1" applyFill="1" applyBorder="1" applyAlignment="1" applyProtection="1">
      <alignment vertical="center"/>
      <protection hidden="1"/>
    </xf>
    <xf numFmtId="0" fontId="110" fillId="0" borderId="0" xfId="0" applyFont="1" applyFill="1" applyBorder="1" applyAlignment="1" applyProtection="1">
      <alignment vertical="center"/>
      <protection hidden="1"/>
    </xf>
    <xf numFmtId="0" fontId="116" fillId="0" borderId="0" xfId="0" applyFont="1" applyProtection="1">
      <protection hidden="1"/>
    </xf>
    <xf numFmtId="0" fontId="116" fillId="0" borderId="0" xfId="0" applyFont="1"/>
    <xf numFmtId="0" fontId="116" fillId="0" borderId="1" xfId="0" applyFont="1" applyBorder="1" applyProtection="1">
      <protection hidden="1"/>
    </xf>
    <xf numFmtId="14" fontId="116" fillId="9" borderId="1" xfId="0" applyNumberFormat="1" applyFont="1" applyFill="1" applyBorder="1" applyProtection="1">
      <protection hidden="1"/>
    </xf>
    <xf numFmtId="0" fontId="117" fillId="13" borderId="1" xfId="0" applyFont="1" applyFill="1" applyBorder="1" applyAlignment="1" applyProtection="1">
      <alignment horizontal="center"/>
      <protection hidden="1"/>
    </xf>
    <xf numFmtId="9" fontId="117" fillId="13" borderId="1" xfId="0" applyNumberFormat="1" applyFont="1" applyFill="1" applyBorder="1" applyAlignment="1" applyProtection="1">
      <alignment horizontal="center"/>
      <protection hidden="1"/>
    </xf>
    <xf numFmtId="9" fontId="117" fillId="13" borderId="19" xfId="0" applyNumberFormat="1" applyFont="1" applyFill="1" applyBorder="1" applyAlignment="1" applyProtection="1">
      <alignment horizontal="center"/>
      <protection hidden="1"/>
    </xf>
    <xf numFmtId="0" fontId="116" fillId="9" borderId="1" xfId="0" applyNumberFormat="1" applyFont="1" applyFill="1" applyBorder="1" applyProtection="1">
      <protection hidden="1"/>
    </xf>
    <xf numFmtId="0" fontId="118" fillId="11" borderId="1" xfId="0" applyFont="1" applyFill="1" applyBorder="1" applyAlignment="1" applyProtection="1">
      <alignment wrapText="1"/>
      <protection hidden="1"/>
    </xf>
    <xf numFmtId="166" fontId="118" fillId="11" borderId="1" xfId="0" applyNumberFormat="1" applyFont="1" applyFill="1" applyBorder="1" applyAlignment="1" applyProtection="1">
      <alignment horizontal="center" wrapText="1"/>
      <protection hidden="1"/>
    </xf>
    <xf numFmtId="165" fontId="118" fillId="11" borderId="1" xfId="0" applyNumberFormat="1" applyFont="1" applyFill="1" applyBorder="1" applyAlignment="1" applyProtection="1">
      <alignment wrapText="1"/>
      <protection hidden="1"/>
    </xf>
    <xf numFmtId="0" fontId="118" fillId="11" borderId="1" xfId="0" applyFont="1" applyFill="1" applyBorder="1" applyAlignment="1" applyProtection="1">
      <alignment horizontal="center" wrapText="1"/>
      <protection hidden="1"/>
    </xf>
    <xf numFmtId="165" fontId="118" fillId="11" borderId="1" xfId="0" applyNumberFormat="1" applyFont="1" applyFill="1" applyBorder="1" applyAlignment="1" applyProtection="1">
      <alignment horizontal="center" wrapText="1"/>
      <protection hidden="1"/>
    </xf>
    <xf numFmtId="166" fontId="118" fillId="11" borderId="6" xfId="0" applyNumberFormat="1" applyFont="1" applyFill="1" applyBorder="1" applyAlignment="1" applyProtection="1">
      <alignment horizontal="center" wrapText="1"/>
      <protection hidden="1"/>
    </xf>
    <xf numFmtId="166" fontId="118" fillId="11" borderId="1" xfId="0" applyNumberFormat="1" applyFont="1" applyFill="1" applyBorder="1" applyAlignment="1" applyProtection="1">
      <alignment wrapText="1"/>
      <protection hidden="1"/>
    </xf>
    <xf numFmtId="0" fontId="119" fillId="22" borderId="29" xfId="4" applyFont="1" applyFill="1" applyBorder="1" applyAlignment="1" applyProtection="1">
      <alignment horizontal="center"/>
      <protection locked="0"/>
    </xf>
    <xf numFmtId="0" fontId="116" fillId="0" borderId="1" xfId="0" applyFont="1" applyBorder="1" applyAlignment="1" applyProtection="1">
      <alignment horizontal="center"/>
      <protection hidden="1"/>
    </xf>
    <xf numFmtId="0" fontId="116" fillId="0" borderId="19" xfId="0" applyFont="1" applyBorder="1" applyAlignment="1" applyProtection="1">
      <alignment horizontal="center"/>
      <protection hidden="1"/>
    </xf>
    <xf numFmtId="0" fontId="116" fillId="0" borderId="0" xfId="0" applyFont="1" applyFill="1" applyProtection="1">
      <protection hidden="1"/>
    </xf>
    <xf numFmtId="9" fontId="116" fillId="9" borderId="0" xfId="0" applyNumberFormat="1" applyFont="1" applyFill="1" applyProtection="1">
      <protection hidden="1"/>
    </xf>
    <xf numFmtId="1" fontId="116" fillId="0" borderId="0" xfId="0" applyNumberFormat="1" applyFont="1" applyProtection="1">
      <protection hidden="1"/>
    </xf>
    <xf numFmtId="166" fontId="116" fillId="0" borderId="0" xfId="0" applyNumberFormat="1" applyFont="1" applyProtection="1">
      <protection hidden="1"/>
    </xf>
    <xf numFmtId="165" fontId="116" fillId="0" borderId="0" xfId="0" applyNumberFormat="1" applyFont="1" applyProtection="1">
      <protection hidden="1"/>
    </xf>
    <xf numFmtId="0" fontId="119" fillId="11" borderId="32" xfId="4" applyFont="1" applyFill="1" applyBorder="1" applyAlignment="1" applyProtection="1">
      <alignment horizontal="center" wrapText="1"/>
      <protection locked="0"/>
    </xf>
    <xf numFmtId="0" fontId="119" fillId="11" borderId="33" xfId="4" applyFont="1" applyFill="1" applyBorder="1" applyAlignment="1" applyProtection="1">
      <alignment horizontal="center" wrapText="1"/>
      <protection locked="0"/>
    </xf>
    <xf numFmtId="0" fontId="119" fillId="11" borderId="34" xfId="4" applyFont="1" applyFill="1" applyBorder="1" applyAlignment="1" applyProtection="1">
      <alignment horizontal="center" wrapText="1"/>
      <protection locked="0"/>
    </xf>
    <xf numFmtId="0" fontId="116" fillId="9" borderId="1" xfId="0" applyFont="1" applyFill="1" applyBorder="1" applyProtection="1">
      <protection hidden="1"/>
    </xf>
    <xf numFmtId="0" fontId="116" fillId="9" borderId="0" xfId="0" applyFont="1" applyFill="1" applyProtection="1">
      <protection hidden="1"/>
    </xf>
    <xf numFmtId="20" fontId="116" fillId="0" borderId="0" xfId="0" applyNumberFormat="1" applyFont="1" applyProtection="1">
      <protection hidden="1"/>
    </xf>
    <xf numFmtId="0" fontId="119" fillId="0" borderId="35" xfId="4" applyFont="1" applyBorder="1" applyAlignment="1" applyProtection="1">
      <alignment horizontal="left"/>
      <protection locked="0"/>
    </xf>
    <xf numFmtId="168" fontId="120" fillId="21" borderId="19" xfId="4" applyNumberFormat="1" applyFont="1" applyFill="1" applyBorder="1" applyAlignment="1" applyProtection="1">
      <alignment horizontal="center"/>
    </xf>
    <xf numFmtId="168" fontId="120" fillId="21" borderId="36" xfId="4" applyNumberFormat="1" applyFont="1" applyFill="1" applyBorder="1" applyAlignment="1" applyProtection="1">
      <alignment horizontal="center"/>
    </xf>
    <xf numFmtId="0" fontId="116" fillId="0" borderId="1" xfId="0" applyFont="1" applyFill="1" applyBorder="1" applyProtection="1">
      <protection hidden="1"/>
    </xf>
    <xf numFmtId="2" fontId="116" fillId="0" borderId="0" xfId="0" applyNumberFormat="1" applyFont="1" applyProtection="1">
      <protection hidden="1"/>
    </xf>
    <xf numFmtId="0" fontId="119" fillId="0" borderId="37" xfId="4" applyFont="1" applyFill="1" applyBorder="1" applyAlignment="1" applyProtection="1">
      <alignment horizontal="left"/>
      <protection locked="0"/>
    </xf>
    <xf numFmtId="168" fontId="119" fillId="0" borderId="25" xfId="4" applyNumberFormat="1" applyFont="1" applyFill="1" applyBorder="1" applyAlignment="1" applyProtection="1">
      <alignment horizontal="center"/>
    </xf>
    <xf numFmtId="168" fontId="119" fillId="0" borderId="38" xfId="4" applyNumberFormat="1" applyFont="1" applyFill="1" applyBorder="1" applyAlignment="1" applyProtection="1">
      <alignment horizontal="center"/>
    </xf>
    <xf numFmtId="0" fontId="116" fillId="0" borderId="0" xfId="0" applyFont="1" applyFill="1" applyBorder="1" applyProtection="1">
      <protection hidden="1"/>
    </xf>
    <xf numFmtId="0" fontId="119" fillId="22" borderId="41" xfId="4" applyNumberFormat="1" applyFont="1" applyFill="1" applyBorder="1" applyAlignment="1" applyProtection="1">
      <alignment horizontal="center" wrapText="1"/>
      <protection locked="0"/>
    </xf>
    <xf numFmtId="7" fontId="119" fillId="22" borderId="42" xfId="4" applyNumberFormat="1" applyFont="1" applyFill="1" applyBorder="1" applyAlignment="1" applyProtection="1">
      <alignment horizontal="center" wrapText="1"/>
      <protection locked="0"/>
    </xf>
    <xf numFmtId="0" fontId="119" fillId="22" borderId="43" xfId="4" applyNumberFormat="1" applyFont="1" applyFill="1" applyBorder="1" applyAlignment="1" applyProtection="1">
      <alignment horizontal="center" wrapText="1"/>
      <protection locked="0"/>
    </xf>
    <xf numFmtId="0" fontId="121" fillId="0" borderId="44" xfId="4" applyFont="1" applyBorder="1" applyAlignment="1" applyProtection="1">
      <alignment horizontal="center"/>
      <protection locked="0"/>
    </xf>
    <xf numFmtId="0" fontId="120" fillId="21" borderId="4" xfId="4" applyFont="1" applyFill="1" applyBorder="1" applyAlignment="1" applyProtection="1">
      <alignment horizontal="center"/>
      <protection locked="0"/>
    </xf>
    <xf numFmtId="169" fontId="120" fillId="21" borderId="45" xfId="4" applyNumberFormat="1" applyFont="1" applyFill="1" applyBorder="1" applyAlignment="1" applyProtection="1">
      <alignment horizontal="center"/>
      <protection locked="0"/>
    </xf>
    <xf numFmtId="0" fontId="121" fillId="0" borderId="37" xfId="4" applyFont="1" applyBorder="1" applyAlignment="1" applyProtection="1">
      <alignment horizontal="center"/>
      <protection locked="0"/>
    </xf>
    <xf numFmtId="0" fontId="120" fillId="21" borderId="40" xfId="4" applyFont="1" applyFill="1" applyBorder="1" applyAlignment="1" applyProtection="1">
      <alignment horizontal="center"/>
      <protection locked="0"/>
    </xf>
    <xf numFmtId="169" fontId="120" fillId="21" borderId="39" xfId="4" applyNumberFormat="1" applyFont="1" applyFill="1" applyBorder="1" applyAlignment="1" applyProtection="1">
      <alignment horizontal="center"/>
      <protection locked="0"/>
    </xf>
    <xf numFmtId="0" fontId="116" fillId="9" borderId="1" xfId="0" applyFont="1" applyFill="1" applyBorder="1" applyAlignment="1" applyProtection="1">
      <alignment horizontal="center"/>
      <protection hidden="1"/>
    </xf>
    <xf numFmtId="0" fontId="116" fillId="0" borderId="0" xfId="0" applyFont="1" applyAlignment="1" applyProtection="1">
      <alignment horizontal="center"/>
      <protection hidden="1"/>
    </xf>
    <xf numFmtId="0" fontId="121" fillId="5" borderId="1" xfId="4" applyFont="1" applyFill="1" applyBorder="1" applyAlignment="1" applyProtection="1">
      <alignment horizontal="center"/>
    </xf>
    <xf numFmtId="14" fontId="116" fillId="0" borderId="0" xfId="0" applyNumberFormat="1" applyFont="1" applyProtection="1">
      <protection hidden="1"/>
    </xf>
    <xf numFmtId="0" fontId="116" fillId="2" borderId="0" xfId="0" applyFont="1" applyFill="1" applyProtection="1">
      <protection hidden="1"/>
    </xf>
    <xf numFmtId="0" fontId="116" fillId="13" borderId="1" xfId="0" applyNumberFormat="1" applyFont="1" applyFill="1" applyBorder="1" applyProtection="1">
      <protection hidden="1"/>
    </xf>
    <xf numFmtId="9" fontId="116" fillId="2" borderId="1" xfId="0" applyNumberFormat="1" applyFont="1" applyFill="1" applyBorder="1" applyProtection="1">
      <protection hidden="1"/>
    </xf>
    <xf numFmtId="0" fontId="121" fillId="0" borderId="1" xfId="0" applyFont="1" applyBorder="1" applyProtection="1">
      <protection locked="0" hidden="1"/>
    </xf>
    <xf numFmtId="0" fontId="116" fillId="0" borderId="19" xfId="0" applyFont="1" applyFill="1" applyBorder="1" applyAlignment="1" applyProtection="1">
      <alignment horizontal="right"/>
      <protection hidden="1"/>
    </xf>
    <xf numFmtId="0" fontId="122" fillId="2" borderId="19" xfId="0" applyFont="1" applyFill="1" applyBorder="1" applyAlignment="1" applyProtection="1">
      <alignment horizontal="right"/>
      <protection hidden="1"/>
    </xf>
    <xf numFmtId="1" fontId="119" fillId="0" borderId="19" xfId="0" applyNumberFormat="1" applyFont="1" applyFill="1" applyBorder="1" applyAlignment="1" applyProtection="1">
      <alignment horizontal="right"/>
      <protection hidden="1"/>
    </xf>
    <xf numFmtId="0" fontId="121" fillId="0" borderId="0" xfId="0" applyFont="1" applyFill="1" applyBorder="1" applyProtection="1">
      <protection locked="0" hidden="1"/>
    </xf>
    <xf numFmtId="0" fontId="116" fillId="2" borderId="1" xfId="0" applyFont="1" applyFill="1" applyBorder="1" applyProtection="1">
      <protection hidden="1"/>
    </xf>
    <xf numFmtId="0" fontId="117" fillId="13" borderId="1" xfId="0" applyFont="1" applyFill="1" applyBorder="1" applyAlignment="1" applyProtection="1">
      <alignment horizontal="center" wrapText="1"/>
      <protection hidden="1"/>
    </xf>
    <xf numFmtId="0" fontId="116" fillId="9" borderId="1" xfId="0" applyFont="1" applyFill="1" applyBorder="1" applyAlignment="1" applyProtection="1">
      <alignment wrapText="1"/>
      <protection hidden="1"/>
    </xf>
    <xf numFmtId="0" fontId="124" fillId="0" borderId="1" xfId="0" applyFont="1" applyBorder="1" applyAlignment="1" applyProtection="1">
      <alignment horizontal="center"/>
      <protection hidden="1"/>
    </xf>
    <xf numFmtId="1" fontId="124" fillId="0" borderId="1" xfId="0" applyNumberFormat="1" applyFont="1" applyBorder="1" applyAlignment="1" applyProtection="1">
      <alignment horizontal="center"/>
      <protection hidden="1"/>
    </xf>
    <xf numFmtId="1" fontId="116" fillId="9" borderId="1" xfId="0" applyNumberFormat="1" applyFont="1" applyFill="1" applyBorder="1" applyAlignment="1" applyProtection="1">
      <alignment horizontal="center"/>
      <protection hidden="1"/>
    </xf>
    <xf numFmtId="9" fontId="116" fillId="0" borderId="0" xfId="0" applyNumberFormat="1" applyFont="1" applyProtection="1">
      <protection hidden="1"/>
    </xf>
    <xf numFmtId="0" fontId="116" fillId="0" borderId="1" xfId="0" applyFont="1" applyFill="1" applyBorder="1" applyAlignment="1" applyProtection="1">
      <alignment wrapText="1"/>
      <protection hidden="1"/>
    </xf>
    <xf numFmtId="164" fontId="116" fillId="0" borderId="1" xfId="0" applyNumberFormat="1" applyFont="1" applyBorder="1" applyProtection="1">
      <protection hidden="1"/>
    </xf>
    <xf numFmtId="0" fontId="116" fillId="0" borderId="21" xfId="0" applyFont="1" applyBorder="1" applyProtection="1">
      <protection hidden="1"/>
    </xf>
    <xf numFmtId="1" fontId="116" fillId="0" borderId="1" xfId="0" applyNumberFormat="1" applyFont="1" applyBorder="1" applyProtection="1">
      <protection hidden="1"/>
    </xf>
    <xf numFmtId="0" fontId="116" fillId="0" borderId="1" xfId="0" applyNumberFormat="1" applyFont="1" applyFill="1" applyBorder="1" applyAlignment="1" applyProtection="1">
      <alignment horizontal="center"/>
      <protection hidden="1"/>
    </xf>
    <xf numFmtId="0" fontId="116" fillId="0" borderId="1" xfId="0" applyFont="1" applyFill="1" applyBorder="1" applyAlignment="1" applyProtection="1">
      <alignment horizontal="center"/>
      <protection hidden="1"/>
    </xf>
    <xf numFmtId="0" fontId="118" fillId="9" borderId="1" xfId="0" applyFont="1" applyFill="1" applyBorder="1" applyProtection="1">
      <protection hidden="1"/>
    </xf>
    <xf numFmtId="0" fontId="116" fillId="0" borderId="1" xfId="0" applyFont="1" applyBorder="1" applyAlignment="1" applyProtection="1">
      <alignment wrapText="1"/>
      <protection hidden="1"/>
    </xf>
    <xf numFmtId="0" fontId="116" fillId="2" borderId="1" xfId="0" applyFont="1" applyFill="1" applyBorder="1" applyAlignment="1" applyProtection="1">
      <alignment wrapText="1"/>
      <protection hidden="1"/>
    </xf>
    <xf numFmtId="49" fontId="116" fillId="0" borderId="0" xfId="0" applyNumberFormat="1" applyFont="1" applyProtection="1">
      <protection hidden="1"/>
    </xf>
    <xf numFmtId="0" fontId="116" fillId="9" borderId="1" xfId="0" applyFont="1" applyFill="1" applyBorder="1"/>
    <xf numFmtId="0" fontId="116" fillId="0" borderId="1" xfId="0" applyFont="1" applyBorder="1"/>
    <xf numFmtId="0" fontId="30" fillId="7" borderId="0" xfId="0" applyFont="1" applyFill="1" applyBorder="1" applyAlignment="1">
      <alignment horizontal="left" vertical="top" wrapText="1"/>
    </xf>
    <xf numFmtId="0" fontId="10" fillId="18" borderId="1" xfId="4" applyFont="1" applyFill="1" applyBorder="1" applyAlignment="1">
      <alignment horizontal="center"/>
    </xf>
    <xf numFmtId="2" fontId="12" fillId="0" borderId="0" xfId="0" applyNumberFormat="1" applyFont="1" applyFill="1" applyBorder="1"/>
    <xf numFmtId="0" fontId="54" fillId="7" borderId="0" xfId="3" applyFont="1" applyFill="1" applyBorder="1" applyAlignment="1" applyProtection="1">
      <alignment horizontal="left" vertical="top" wrapText="1"/>
      <protection locked="0"/>
    </xf>
    <xf numFmtId="164" fontId="116" fillId="0" borderId="1" xfId="0" applyNumberFormat="1" applyFont="1" applyBorder="1" applyAlignment="1" applyProtection="1">
      <alignment horizontal="center"/>
      <protection hidden="1"/>
    </xf>
    <xf numFmtId="0" fontId="116" fillId="0" borderId="1" xfId="0" applyNumberFormat="1" applyFont="1" applyFill="1" applyBorder="1" applyProtection="1">
      <protection hidden="1"/>
    </xf>
    <xf numFmtId="2" fontId="118" fillId="0" borderId="1" xfId="0" applyNumberFormat="1" applyFont="1" applyFill="1" applyBorder="1" applyProtection="1">
      <protection hidden="1"/>
    </xf>
    <xf numFmtId="0" fontId="69" fillId="7" borderId="0" xfId="3" applyFont="1" applyFill="1" applyBorder="1" applyAlignment="1" applyProtection="1">
      <alignment horizontal="left" vertical="top" wrapText="1" indent="1"/>
      <protection locked="0"/>
    </xf>
    <xf numFmtId="0" fontId="36" fillId="7" borderId="0" xfId="4" applyFont="1" applyFill="1" applyBorder="1" applyAlignment="1" applyProtection="1">
      <alignment horizontal="left" indent="1"/>
      <protection locked="0"/>
    </xf>
    <xf numFmtId="0" fontId="55" fillId="7" borderId="0" xfId="3" applyFont="1" applyFill="1" applyBorder="1" applyAlignment="1" applyProtection="1">
      <alignment horizontal="left" vertical="top" wrapText="1" indent="1"/>
      <protection locked="0"/>
    </xf>
    <xf numFmtId="0" fontId="35" fillId="7" borderId="0" xfId="3" applyFont="1" applyFill="1" applyBorder="1" applyAlignment="1" applyProtection="1">
      <alignment horizontal="left" indent="1"/>
      <protection locked="0"/>
    </xf>
    <xf numFmtId="0" fontId="35" fillId="7" borderId="0" xfId="3" applyFont="1" applyFill="1" applyAlignment="1" applyProtection="1">
      <alignment horizontal="left" indent="1"/>
      <protection locked="0"/>
    </xf>
    <xf numFmtId="0" fontId="54" fillId="7" borderId="0" xfId="3" applyFont="1" applyFill="1" applyBorder="1" applyAlignment="1" applyProtection="1">
      <alignment horizontal="left" vertical="top" wrapText="1" indent="1"/>
      <protection locked="0"/>
    </xf>
    <xf numFmtId="0" fontId="22" fillId="20" borderId="9" xfId="2" applyFill="1" applyBorder="1" applyAlignment="1">
      <alignment vertical="top"/>
    </xf>
    <xf numFmtId="0" fontId="22" fillId="20" borderId="10" xfId="2" applyFill="1" applyBorder="1" applyAlignment="1">
      <alignment vertical="top"/>
    </xf>
    <xf numFmtId="0" fontId="0" fillId="7" borderId="0" xfId="0" applyFill="1" applyBorder="1" applyAlignment="1">
      <alignment horizontal="left" indent="1"/>
    </xf>
    <xf numFmtId="3" fontId="78" fillId="0" borderId="5" xfId="1" applyNumberFormat="1" applyFont="1" applyBorder="1" applyAlignment="1" applyProtection="1">
      <alignment horizontal="right"/>
      <protection hidden="1"/>
    </xf>
    <xf numFmtId="4" fontId="78" fillId="0" borderId="5" xfId="1" applyNumberFormat="1" applyFont="1" applyBorder="1" applyAlignment="1" applyProtection="1">
      <alignment horizontal="right"/>
      <protection hidden="1"/>
    </xf>
    <xf numFmtId="0" fontId="12" fillId="9" borderId="1" xfId="0" applyNumberFormat="1" applyFont="1" applyFill="1" applyBorder="1" applyProtection="1">
      <protection hidden="1"/>
    </xf>
    <xf numFmtId="0" fontId="62" fillId="0" borderId="1" xfId="0" applyFont="1" applyFill="1" applyBorder="1" applyAlignment="1">
      <alignment horizontal="center" vertical="center" wrapText="1"/>
    </xf>
    <xf numFmtId="169" fontId="32" fillId="21" borderId="1" xfId="4" applyNumberFormat="1" applyFont="1" applyFill="1" applyBorder="1" applyAlignment="1" applyProtection="1">
      <alignment horizontal="center"/>
      <protection hidden="1"/>
    </xf>
    <xf numFmtId="168" fontId="32" fillId="0" borderId="0" xfId="4" applyNumberFormat="1" applyFont="1" applyBorder="1" applyAlignment="1" applyProtection="1">
      <alignment horizontal="center"/>
      <protection hidden="1"/>
    </xf>
    <xf numFmtId="170" fontId="32" fillId="21" borderId="1" xfId="4" applyNumberFormat="1" applyFont="1" applyFill="1" applyBorder="1" applyAlignment="1" applyProtection="1">
      <alignment horizontal="center"/>
      <protection hidden="1"/>
    </xf>
    <xf numFmtId="0" fontId="12" fillId="0" borderId="0" xfId="3" applyFont="1" applyBorder="1" applyProtection="1">
      <protection hidden="1"/>
    </xf>
    <xf numFmtId="2" fontId="32" fillId="21" borderId="1" xfId="4" applyNumberFormat="1" applyFont="1" applyFill="1" applyBorder="1" applyAlignment="1" applyProtection="1">
      <alignment horizontal="center"/>
      <protection hidden="1"/>
    </xf>
    <xf numFmtId="168" fontId="32" fillId="21" borderId="1" xfId="4" applyNumberFormat="1" applyFont="1" applyFill="1" applyBorder="1" applyAlignment="1" applyProtection="1">
      <alignment horizontal="center"/>
      <protection hidden="1"/>
    </xf>
    <xf numFmtId="3" fontId="40" fillId="21" borderId="1" xfId="4" applyNumberFormat="1" applyFont="1" applyFill="1" applyBorder="1" applyAlignment="1" applyProtection="1">
      <alignment horizontal="left" indent="1"/>
      <protection hidden="1"/>
    </xf>
    <xf numFmtId="3" fontId="39" fillId="23" borderId="1" xfId="4" applyNumberFormat="1" applyFont="1" applyFill="1" applyBorder="1" applyAlignment="1" applyProtection="1">
      <alignment horizontal="left" indent="1"/>
      <protection hidden="1"/>
    </xf>
    <xf numFmtId="0" fontId="12" fillId="0" borderId="1" xfId="0" applyFont="1" applyFill="1" applyBorder="1" applyProtection="1">
      <protection hidden="1"/>
    </xf>
    <xf numFmtId="0" fontId="116" fillId="0" borderId="22" xfId="0" applyFont="1" applyFill="1" applyBorder="1" applyProtection="1">
      <protection hidden="1"/>
    </xf>
    <xf numFmtId="0" fontId="22" fillId="7" borderId="0" xfId="2" applyFill="1" applyBorder="1" applyProtection="1">
      <protection hidden="1"/>
    </xf>
    <xf numFmtId="0" fontId="22" fillId="0" borderId="0" xfId="2"/>
    <xf numFmtId="0" fontId="22" fillId="7" borderId="0" xfId="2" applyFill="1" applyBorder="1" applyAlignment="1">
      <alignment horizontal="left" vertical="top" wrapText="1"/>
    </xf>
    <xf numFmtId="0" fontId="12" fillId="7" borderId="0" xfId="0" applyFont="1" applyFill="1" applyBorder="1" applyAlignment="1">
      <alignment horizontal="left" vertical="top" indent="1"/>
    </xf>
    <xf numFmtId="0" fontId="12" fillId="7" borderId="0" xfId="0" applyFont="1" applyFill="1" applyBorder="1" applyAlignment="1">
      <alignment vertical="top"/>
    </xf>
    <xf numFmtId="0" fontId="12" fillId="7" borderId="0" xfId="0" applyFont="1" applyFill="1" applyBorder="1" applyAlignment="1"/>
    <xf numFmtId="0" fontId="13" fillId="0" borderId="1" xfId="4" applyFont="1" applyBorder="1" applyAlignment="1" applyProtection="1">
      <alignment horizontal="left"/>
      <protection locked="0"/>
    </xf>
    <xf numFmtId="0" fontId="13" fillId="11" borderId="4" xfId="4" applyFont="1" applyFill="1" applyBorder="1" applyAlignment="1" applyProtection="1">
      <alignment horizontal="center" wrapText="1"/>
    </xf>
    <xf numFmtId="0" fontId="14" fillId="31" borderId="1" xfId="4" applyFont="1" applyFill="1" applyBorder="1" applyAlignment="1" applyProtection="1">
      <alignment horizontal="left" wrapText="1" indent="1"/>
    </xf>
    <xf numFmtId="0" fontId="0" fillId="0" borderId="0" xfId="0" applyAlignment="1">
      <alignment horizontal="right" vertical="center"/>
    </xf>
    <xf numFmtId="0" fontId="12" fillId="0" borderId="0" xfId="0" applyFont="1" applyAlignment="1" applyProtection="1">
      <alignment horizontal="right" vertical="center"/>
      <protection hidden="1"/>
    </xf>
    <xf numFmtId="0" fontId="58" fillId="0" borderId="0" xfId="0" applyFont="1" applyAlignment="1" applyProtection="1">
      <alignment horizontal="right" vertical="center"/>
      <protection hidden="1"/>
    </xf>
    <xf numFmtId="0" fontId="12" fillId="0" borderId="0" xfId="0" applyFont="1" applyAlignment="1" applyProtection="1">
      <alignment horizontal="right" vertical="center" wrapText="1"/>
      <protection hidden="1"/>
    </xf>
    <xf numFmtId="0" fontId="12" fillId="0" borderId="0" xfId="0" applyFont="1" applyAlignment="1" applyProtection="1">
      <alignment horizontal="center" vertical="center"/>
      <protection hidden="1"/>
    </xf>
    <xf numFmtId="0" fontId="58" fillId="0" borderId="0" xfId="0" applyFont="1" applyAlignment="1" applyProtection="1">
      <alignment horizontal="center" vertical="center"/>
      <protection hidden="1"/>
    </xf>
    <xf numFmtId="0" fontId="131" fillId="35" borderId="1" xfId="4" applyFont="1" applyFill="1" applyBorder="1" applyAlignment="1" applyProtection="1">
      <alignment horizontal="center"/>
      <protection locked="0"/>
    </xf>
    <xf numFmtId="0" fontId="130" fillId="0" borderId="1" xfId="4" applyFont="1" applyBorder="1" applyAlignment="1" applyProtection="1">
      <alignment horizontal="left"/>
      <protection locked="0" hidden="1"/>
    </xf>
    <xf numFmtId="0" fontId="48" fillId="0" borderId="1" xfId="4" applyFont="1" applyBorder="1" applyProtection="1">
      <protection locked="0"/>
    </xf>
    <xf numFmtId="0" fontId="51" fillId="0" borderId="1" xfId="4" applyFont="1" applyBorder="1" applyAlignment="1" applyProtection="1">
      <alignment horizontal="center"/>
      <protection locked="0"/>
    </xf>
    <xf numFmtId="0" fontId="51" fillId="21" borderId="1" xfId="4" applyFont="1" applyFill="1" applyBorder="1" applyAlignment="1" applyProtection="1">
      <alignment horizontal="center"/>
      <protection locked="0"/>
    </xf>
    <xf numFmtId="0" fontId="51" fillId="0" borderId="1" xfId="4" applyFont="1" applyFill="1" applyBorder="1" applyAlignment="1" applyProtection="1">
      <alignment horizontal="center"/>
      <protection locked="0"/>
    </xf>
    <xf numFmtId="2" fontId="51" fillId="0" borderId="1" xfId="4" applyNumberFormat="1" applyFont="1" applyBorder="1" applyAlignment="1" applyProtection="1">
      <alignment horizontal="center"/>
      <protection locked="0"/>
    </xf>
    <xf numFmtId="1" fontId="130" fillId="0" borderId="1" xfId="4" applyNumberFormat="1" applyFont="1" applyFill="1" applyBorder="1" applyAlignment="1" applyProtection="1">
      <alignment horizontal="left"/>
      <protection locked="0"/>
    </xf>
    <xf numFmtId="0" fontId="35" fillId="0" borderId="1" xfId="3" applyFont="1" applyBorder="1" applyAlignment="1" applyProtection="1">
      <alignment horizontal="left"/>
      <protection locked="0"/>
    </xf>
    <xf numFmtId="1" fontId="51" fillId="0" borderId="1" xfId="4" applyNumberFormat="1" applyFont="1" applyFill="1" applyBorder="1" applyAlignment="1" applyProtection="1">
      <alignment horizontal="left"/>
      <protection locked="0"/>
    </xf>
    <xf numFmtId="0" fontId="51" fillId="0" borderId="1" xfId="4" applyFont="1" applyBorder="1" applyAlignment="1" applyProtection="1">
      <alignment horizontal="left"/>
      <protection locked="0"/>
    </xf>
    <xf numFmtId="0" fontId="6" fillId="18" borderId="1" xfId="4" applyFont="1" applyFill="1" applyBorder="1"/>
    <xf numFmtId="0" fontId="99" fillId="14" borderId="12" xfId="0" applyFont="1" applyFill="1" applyBorder="1" applyAlignment="1" applyProtection="1">
      <alignment vertical="center"/>
      <protection hidden="1"/>
    </xf>
    <xf numFmtId="0" fontId="99" fillId="14" borderId="0" xfId="0" applyFont="1" applyFill="1" applyBorder="1" applyAlignment="1" applyProtection="1">
      <alignment vertical="center"/>
      <protection hidden="1"/>
    </xf>
    <xf numFmtId="0" fontId="20" fillId="0" borderId="1" xfId="3" applyFont="1" applyBorder="1" applyAlignment="1" applyProtection="1">
      <alignment horizontal="left"/>
      <protection locked="0"/>
    </xf>
    <xf numFmtId="0" fontId="23" fillId="0" borderId="0" xfId="4" applyFont="1" applyBorder="1" applyProtection="1">
      <protection locked="0"/>
    </xf>
    <xf numFmtId="0" fontId="23" fillId="0" borderId="0" xfId="4" applyFont="1" applyProtection="1">
      <protection locked="0"/>
    </xf>
    <xf numFmtId="0" fontId="12" fillId="0" borderId="1" xfId="0" applyFont="1" applyBorder="1"/>
    <xf numFmtId="0" fontId="5" fillId="0" borderId="1" xfId="4" applyFont="1" applyBorder="1"/>
    <xf numFmtId="0" fontId="4" fillId="0" borderId="1" xfId="4" applyFont="1" applyBorder="1"/>
    <xf numFmtId="0" fontId="4" fillId="0" borderId="1" xfId="4" applyNumberFormat="1" applyFont="1" applyBorder="1"/>
    <xf numFmtId="0" fontId="4" fillId="0" borderId="0" xfId="4" applyFont="1"/>
    <xf numFmtId="0" fontId="12" fillId="9" borderId="1" xfId="0" applyFont="1" applyFill="1" applyBorder="1" applyProtection="1">
      <protection hidden="1"/>
    </xf>
    <xf numFmtId="3" fontId="12" fillId="0" borderId="1" xfId="4" applyNumberFormat="1" applyFont="1" applyFill="1" applyBorder="1" applyAlignment="1" applyProtection="1">
      <alignment horizontal="right" wrapText="1" indent="1"/>
    </xf>
    <xf numFmtId="4" fontId="12" fillId="0" borderId="1" xfId="0" applyNumberFormat="1" applyFont="1" applyFill="1" applyBorder="1" applyAlignment="1">
      <alignment horizontal="center" wrapText="1"/>
    </xf>
    <xf numFmtId="4" fontId="16" fillId="26" borderId="0" xfId="0" applyNumberFormat="1" applyFont="1" applyFill="1" applyBorder="1" applyAlignment="1">
      <alignment horizontal="center"/>
    </xf>
    <xf numFmtId="4" fontId="62" fillId="32" borderId="1" xfId="0" applyNumberFormat="1" applyFont="1" applyFill="1" applyBorder="1" applyAlignment="1">
      <alignment horizontal="left" indent="1"/>
    </xf>
    <xf numFmtId="0" fontId="12" fillId="0" borderId="0" xfId="0" applyFont="1" applyProtection="1">
      <protection hidden="1"/>
    </xf>
    <xf numFmtId="0" fontId="25" fillId="0" borderId="1" xfId="2" applyFont="1" applyFill="1" applyBorder="1" applyAlignment="1">
      <alignment horizontal="center" vertical="center" wrapText="1"/>
    </xf>
    <xf numFmtId="0" fontId="3" fillId="0" borderId="1" xfId="4" applyFont="1" applyBorder="1"/>
    <xf numFmtId="0" fontId="61" fillId="31" borderId="1" xfId="4" applyFont="1" applyFill="1" applyBorder="1" applyAlignment="1" applyProtection="1">
      <alignment horizontal="left" wrapText="1" indent="1"/>
    </xf>
    <xf numFmtId="0" fontId="2" fillId="18" borderId="1" xfId="4" applyFont="1" applyFill="1" applyBorder="1"/>
    <xf numFmtId="0" fontId="2" fillId="0" borderId="1" xfId="4" applyFont="1" applyFill="1" applyBorder="1"/>
    <xf numFmtId="0" fontId="2" fillId="0" borderId="1" xfId="4" applyFont="1" applyBorder="1"/>
    <xf numFmtId="172" fontId="2" fillId="0" borderId="1" xfId="4" applyNumberFormat="1" applyFont="1" applyBorder="1"/>
    <xf numFmtId="0" fontId="1" fillId="0" borderId="1" xfId="4" applyFont="1" applyBorder="1"/>
    <xf numFmtId="0" fontId="14" fillId="5" borderId="20" xfId="3" applyFont="1" applyFill="1" applyBorder="1" applyAlignment="1">
      <alignment horizontal="left" vertical="top" indent="1"/>
    </xf>
    <xf numFmtId="0" fontId="12" fillId="5" borderId="20" xfId="3" applyFill="1" applyBorder="1" applyAlignment="1">
      <alignment horizontal="left" vertical="top" indent="1"/>
    </xf>
    <xf numFmtId="0" fontId="12" fillId="5" borderId="20" xfId="3" applyFill="1" applyBorder="1" applyAlignment="1">
      <alignment horizontal="left" vertical="top" wrapText="1" indent="1"/>
    </xf>
    <xf numFmtId="0" fontId="56" fillId="11" borderId="1" xfId="4" applyFont="1" applyFill="1" applyBorder="1" applyAlignment="1" applyProtection="1">
      <alignment horizontal="center" wrapText="1"/>
      <protection locked="0"/>
    </xf>
    <xf numFmtId="0" fontId="39" fillId="0" borderId="1" xfId="4" applyFont="1" applyBorder="1" applyAlignment="1" applyProtection="1">
      <alignment horizontal="left" indent="1"/>
      <protection locked="0"/>
    </xf>
    <xf numFmtId="0" fontId="39" fillId="0" borderId="1" xfId="4" applyFont="1" applyFill="1" applyBorder="1" applyAlignment="1" applyProtection="1">
      <alignment horizontal="left" indent="1"/>
      <protection locked="0"/>
    </xf>
    <xf numFmtId="0" fontId="13" fillId="0" borderId="1" xfId="4" applyFont="1" applyBorder="1" applyAlignment="1" applyProtection="1">
      <alignment horizontal="left" indent="1"/>
      <protection locked="0"/>
    </xf>
    <xf numFmtId="0" fontId="56" fillId="0" borderId="1" xfId="4" applyFont="1" applyBorder="1" applyAlignment="1" applyProtection="1">
      <alignment horizontal="left" indent="1"/>
      <protection locked="0"/>
    </xf>
    <xf numFmtId="0" fontId="14" fillId="0" borderId="1" xfId="3" applyFont="1" applyBorder="1" applyAlignment="1" applyProtection="1">
      <alignment horizontal="left" indent="1"/>
      <protection locked="0"/>
    </xf>
    <xf numFmtId="0" fontId="44" fillId="0" borderId="1" xfId="3" applyFont="1" applyBorder="1" applyAlignment="1" applyProtection="1">
      <alignment horizontal="left" indent="1"/>
      <protection locked="0"/>
    </xf>
    <xf numFmtId="0" fontId="77" fillId="6" borderId="5" xfId="0" applyFont="1" applyFill="1" applyBorder="1" applyAlignment="1" applyProtection="1">
      <alignment wrapText="1"/>
      <protection hidden="1"/>
    </xf>
    <xf numFmtId="0" fontId="77" fillId="6" borderId="5" xfId="0" applyFont="1" applyFill="1" applyBorder="1" applyAlignment="1" applyProtection="1">
      <alignment horizontal="right" wrapText="1"/>
      <protection hidden="1"/>
    </xf>
    <xf numFmtId="14" fontId="76" fillId="0" borderId="5" xfId="0" applyNumberFormat="1" applyFont="1" applyBorder="1" applyAlignment="1" applyProtection="1">
      <alignment horizontal="right" wrapText="1"/>
      <protection hidden="1"/>
    </xf>
    <xf numFmtId="2" fontId="116" fillId="0" borderId="1" xfId="0" applyNumberFormat="1" applyFont="1" applyBorder="1" applyAlignment="1" applyProtection="1">
      <alignment horizontal="center"/>
      <protection hidden="1"/>
    </xf>
    <xf numFmtId="0" fontId="12" fillId="0" borderId="0" xfId="3" applyFont="1" applyFill="1" applyAlignment="1">
      <alignment horizontal="left" wrapText="1"/>
    </xf>
    <xf numFmtId="0" fontId="12" fillId="0" borderId="0" xfId="3" applyFill="1" applyAlignment="1">
      <alignment horizontal="left" wrapText="1"/>
    </xf>
    <xf numFmtId="0" fontId="0" fillId="0" borderId="0" xfId="0" applyAlignment="1">
      <alignment horizontal="left" wrapText="1"/>
    </xf>
    <xf numFmtId="0" fontId="12" fillId="0" borderId="0" xfId="0" applyFont="1" applyAlignment="1">
      <alignment wrapText="1"/>
    </xf>
    <xf numFmtId="0" fontId="61" fillId="30" borderId="1" xfId="4" applyFont="1" applyFill="1" applyBorder="1" applyAlignment="1" applyProtection="1">
      <alignment horizontal="right" indent="1"/>
    </xf>
    <xf numFmtId="0" fontId="33" fillId="0" borderId="1" xfId="0" applyFont="1" applyFill="1" applyBorder="1" applyAlignment="1">
      <alignment horizontal="center" vertical="center"/>
    </xf>
    <xf numFmtId="0" fontId="49" fillId="0" borderId="1" xfId="4" applyFont="1" applyBorder="1" applyAlignment="1" applyProtection="1">
      <alignment horizontal="left"/>
      <protection locked="0"/>
    </xf>
    <xf numFmtId="0" fontId="12" fillId="0" borderId="1" xfId="0" applyFont="1" applyFill="1" applyBorder="1" applyAlignment="1">
      <alignment horizontal="center" wrapText="1"/>
    </xf>
    <xf numFmtId="3" fontId="62" fillId="0" borderId="1" xfId="0" applyNumberFormat="1" applyFont="1" applyFill="1" applyBorder="1" applyAlignment="1">
      <alignment horizontal="center" wrapText="1"/>
    </xf>
    <xf numFmtId="3" fontId="62" fillId="32" borderId="1" xfId="0" applyNumberFormat="1" applyFont="1" applyFill="1" applyBorder="1" applyAlignment="1">
      <alignment horizontal="center" wrapText="1"/>
    </xf>
    <xf numFmtId="0" fontId="25" fillId="0" borderId="1" xfId="0" applyFont="1" applyFill="1" applyBorder="1" applyAlignment="1">
      <alignment horizontal="center" wrapText="1"/>
    </xf>
    <xf numFmtId="3" fontId="25" fillId="0" borderId="1" xfId="0" applyNumberFormat="1" applyFont="1" applyFill="1" applyBorder="1" applyAlignment="1">
      <alignment horizontal="center" wrapText="1"/>
    </xf>
    <xf numFmtId="3" fontId="25" fillId="32" borderId="1" xfId="0" applyNumberFormat="1" applyFont="1" applyFill="1" applyBorder="1" applyAlignment="1">
      <alignment horizontal="center" wrapText="1"/>
    </xf>
    <xf numFmtId="0" fontId="62" fillId="36" borderId="1" xfId="0" applyFont="1" applyFill="1" applyBorder="1" applyAlignment="1">
      <alignment horizontal="center" vertical="center" wrapText="1"/>
    </xf>
    <xf numFmtId="0" fontId="25" fillId="36" borderId="1" xfId="2" applyFont="1" applyFill="1" applyBorder="1" applyAlignment="1">
      <alignment horizontal="center" vertical="center" wrapText="1"/>
    </xf>
    <xf numFmtId="0" fontId="12" fillId="36" borderId="1" xfId="0" applyFont="1" applyFill="1" applyBorder="1" applyAlignment="1">
      <alignment horizontal="center" wrapText="1"/>
    </xf>
    <xf numFmtId="3" fontId="62" fillId="36" borderId="1" xfId="0" applyNumberFormat="1" applyFont="1" applyFill="1" applyBorder="1" applyAlignment="1">
      <alignment horizontal="center" wrapText="1"/>
    </xf>
    <xf numFmtId="3" fontId="62" fillId="37" borderId="1" xfId="0" applyNumberFormat="1" applyFont="1" applyFill="1" applyBorder="1" applyAlignment="1">
      <alignment horizontal="center" wrapText="1"/>
    </xf>
    <xf numFmtId="4" fontId="12" fillId="36" borderId="1" xfId="0" applyNumberFormat="1" applyFont="1" applyFill="1" applyBorder="1" applyAlignment="1">
      <alignment horizontal="center" wrapText="1"/>
    </xf>
    <xf numFmtId="0" fontId="25" fillId="36" borderId="1" xfId="0" applyFont="1" applyFill="1" applyBorder="1" applyAlignment="1">
      <alignment horizontal="center" wrapText="1"/>
    </xf>
    <xf numFmtId="3" fontId="25" fillId="36" borderId="1" xfId="0" applyNumberFormat="1" applyFont="1" applyFill="1" applyBorder="1" applyAlignment="1">
      <alignment horizontal="center" wrapText="1"/>
    </xf>
    <xf numFmtId="3" fontId="25" fillId="37" borderId="1" xfId="0" applyNumberFormat="1" applyFont="1" applyFill="1" applyBorder="1" applyAlignment="1">
      <alignment horizontal="center" wrapText="1"/>
    </xf>
    <xf numFmtId="0" fontId="62" fillId="36" borderId="1" xfId="3" applyNumberFormat="1" applyFont="1" applyFill="1" applyBorder="1" applyAlignment="1">
      <alignment horizontal="center" vertical="center" wrapText="1"/>
    </xf>
    <xf numFmtId="46" fontId="62" fillId="32" borderId="1" xfId="0" applyNumberFormat="1" applyFont="1" applyFill="1" applyBorder="1" applyAlignment="1">
      <alignment horizontal="left" indent="1"/>
    </xf>
    <xf numFmtId="0" fontId="61" fillId="32" borderId="0" xfId="0" applyFont="1" applyFill="1" applyBorder="1" applyAlignment="1">
      <alignment horizontal="left" wrapText="1" indent="1"/>
    </xf>
    <xf numFmtId="46" fontId="62" fillId="32" borderId="0" xfId="0" applyNumberFormat="1" applyFont="1" applyFill="1" applyBorder="1" applyAlignment="1">
      <alignment horizontal="left" indent="1"/>
    </xf>
    <xf numFmtId="20" fontId="62" fillId="32" borderId="1" xfId="0" applyNumberFormat="1" applyFont="1" applyFill="1" applyBorder="1" applyAlignment="1">
      <alignment horizontal="left" indent="1"/>
    </xf>
    <xf numFmtId="20" fontId="62" fillId="32" borderId="0" xfId="0" applyNumberFormat="1" applyFont="1" applyFill="1" applyBorder="1" applyAlignment="1">
      <alignment horizontal="left" indent="1"/>
    </xf>
    <xf numFmtId="3" fontId="133" fillId="0" borderId="1" xfId="4" applyNumberFormat="1" applyFont="1" applyFill="1" applyBorder="1" applyAlignment="1" applyProtection="1">
      <alignment horizontal="right" wrapText="1" indent="1"/>
    </xf>
    <xf numFmtId="3" fontId="25" fillId="0" borderId="1" xfId="4" applyNumberFormat="1" applyFont="1" applyFill="1" applyBorder="1" applyAlignment="1" applyProtection="1">
      <alignment horizontal="right" wrapText="1" indent="1"/>
    </xf>
    <xf numFmtId="0" fontId="62" fillId="38" borderId="27" xfId="4" applyFont="1" applyFill="1" applyBorder="1" applyAlignment="1" applyProtection="1">
      <alignment horizontal="left" wrapText="1" indent="1"/>
    </xf>
    <xf numFmtId="0" fontId="62" fillId="38" borderId="1" xfId="4" applyFont="1" applyFill="1" applyBorder="1" applyAlignment="1" applyProtection="1">
      <alignment horizontal="left" wrapText="1" indent="1"/>
    </xf>
    <xf numFmtId="0" fontId="62" fillId="38" borderId="1" xfId="4" applyFont="1" applyFill="1" applyBorder="1" applyAlignment="1" applyProtection="1">
      <alignment horizontal="right" wrapText="1" indent="1"/>
    </xf>
    <xf numFmtId="3" fontId="25" fillId="38" borderId="1" xfId="4" applyNumberFormat="1" applyFont="1" applyFill="1" applyBorder="1" applyAlignment="1" applyProtection="1">
      <alignment horizontal="right" wrapText="1" indent="1"/>
    </xf>
    <xf numFmtId="3" fontId="133" fillId="38" borderId="1" xfId="4" applyNumberFormat="1" applyFont="1" applyFill="1" applyBorder="1" applyAlignment="1" applyProtection="1">
      <alignment horizontal="right" wrapText="1" indent="1"/>
    </xf>
    <xf numFmtId="3" fontId="134" fillId="23" borderId="1" xfId="0" applyNumberFormat="1" applyFont="1" applyFill="1" applyBorder="1" applyAlignment="1">
      <alignment horizontal="right" indent="1"/>
    </xf>
    <xf numFmtId="0" fontId="12" fillId="0" borderId="0" xfId="3" applyFill="1" applyAlignment="1">
      <alignment horizontal="center"/>
    </xf>
    <xf numFmtId="0" fontId="12" fillId="0" borderId="0" xfId="3" applyAlignment="1">
      <alignment wrapText="1"/>
    </xf>
    <xf numFmtId="0" fontId="62" fillId="0" borderId="0" xfId="3" applyFont="1" applyAlignment="1">
      <alignment wrapText="1"/>
    </xf>
    <xf numFmtId="0" fontId="62" fillId="0" borderId="0" xfId="3" applyFont="1" applyAlignment="1">
      <alignment horizontal="center"/>
    </xf>
    <xf numFmtId="0" fontId="62" fillId="39" borderId="0" xfId="3" applyFont="1" applyFill="1" applyAlignment="1">
      <alignment horizontal="center"/>
    </xf>
    <xf numFmtId="2" fontId="62" fillId="0" borderId="0" xfId="3" applyNumberFormat="1" applyFont="1" applyAlignment="1">
      <alignment horizontal="center"/>
    </xf>
    <xf numFmtId="0" fontId="62" fillId="0" borderId="0" xfId="3" applyFont="1" applyAlignment="1">
      <alignment horizontal="left"/>
    </xf>
    <xf numFmtId="0" fontId="12" fillId="0" borderId="0" xfId="3" applyAlignment="1">
      <alignment horizontal="left" wrapText="1" indent="1"/>
    </xf>
    <xf numFmtId="0" fontId="62" fillId="0" borderId="0" xfId="3" applyFont="1" applyFill="1" applyAlignment="1">
      <alignment horizontal="center"/>
    </xf>
    <xf numFmtId="0" fontId="25" fillId="0" borderId="0" xfId="3" applyFont="1" applyAlignment="1">
      <alignment horizontal="center"/>
    </xf>
    <xf numFmtId="0" fontId="25" fillId="0" borderId="0" xfId="3" applyFont="1" applyAlignment="1">
      <alignment horizontal="center" wrapText="1"/>
    </xf>
    <xf numFmtId="0" fontId="25" fillId="0" borderId="0" xfId="3" applyFont="1" applyAlignment="1">
      <alignment wrapText="1"/>
    </xf>
    <xf numFmtId="2" fontId="25" fillId="0" borderId="0" xfId="3" applyNumberFormat="1" applyFont="1" applyAlignment="1">
      <alignment horizontal="center"/>
    </xf>
    <xf numFmtId="0" fontId="25" fillId="0" borderId="0" xfId="3" applyFont="1" applyFill="1" applyAlignment="1">
      <alignment horizontal="center"/>
    </xf>
    <xf numFmtId="0" fontId="12" fillId="40" borderId="0" xfId="3" applyFill="1" applyAlignment="1">
      <alignment horizontal="center"/>
    </xf>
    <xf numFmtId="0" fontId="23" fillId="0" borderId="1" xfId="4" applyFont="1" applyBorder="1" applyProtection="1">
      <protection locked="0"/>
    </xf>
    <xf numFmtId="0" fontId="23" fillId="0" borderId="1" xfId="4" applyFont="1" applyBorder="1" applyAlignment="1" applyProtection="1">
      <alignment horizontal="center"/>
      <protection locked="0"/>
    </xf>
    <xf numFmtId="0" fontId="23" fillId="21" borderId="1" xfId="4" applyFont="1" applyFill="1" applyBorder="1" applyAlignment="1" applyProtection="1">
      <alignment horizontal="center"/>
      <protection locked="0"/>
    </xf>
    <xf numFmtId="0" fontId="23" fillId="0" borderId="1" xfId="4" applyFont="1" applyFill="1" applyBorder="1" applyAlignment="1" applyProtection="1">
      <alignment horizontal="center"/>
      <protection locked="0"/>
    </xf>
    <xf numFmtId="2" fontId="23" fillId="0" borderId="1" xfId="4" applyNumberFormat="1" applyFont="1" applyBorder="1" applyAlignment="1" applyProtection="1">
      <alignment horizontal="center"/>
      <protection locked="0"/>
    </xf>
    <xf numFmtId="1" fontId="23" fillId="0" borderId="1" xfId="4" applyNumberFormat="1" applyFont="1" applyFill="1" applyBorder="1" applyAlignment="1" applyProtection="1">
      <alignment horizontal="left"/>
      <protection locked="0"/>
    </xf>
    <xf numFmtId="0" fontId="23" fillId="0" borderId="1" xfId="4" applyFont="1" applyBorder="1" applyAlignment="1" applyProtection="1">
      <alignment horizontal="left"/>
      <protection locked="0"/>
    </xf>
    <xf numFmtId="0" fontId="23" fillId="0" borderId="1" xfId="4" applyFont="1" applyBorder="1" applyAlignment="1" applyProtection="1">
      <alignment horizontal="left"/>
      <protection locked="0" hidden="1"/>
    </xf>
    <xf numFmtId="0" fontId="62" fillId="0" borderId="1" xfId="3" applyFont="1" applyBorder="1" applyAlignment="1" applyProtection="1">
      <alignment horizontal="left"/>
      <protection locked="0"/>
    </xf>
    <xf numFmtId="168" fontId="23" fillId="0" borderId="0" xfId="4" applyNumberFormat="1" applyFont="1" applyBorder="1" applyAlignment="1" applyProtection="1">
      <alignment horizontal="center"/>
      <protection hidden="1"/>
    </xf>
    <xf numFmtId="0" fontId="62" fillId="0" borderId="0" xfId="3" applyFont="1" applyBorder="1" applyProtection="1">
      <protection hidden="1"/>
    </xf>
    <xf numFmtId="2" fontId="23" fillId="21" borderId="1" xfId="4" applyNumberFormat="1" applyFont="1" applyFill="1" applyBorder="1" applyAlignment="1" applyProtection="1">
      <alignment horizontal="center"/>
      <protection hidden="1"/>
    </xf>
    <xf numFmtId="0" fontId="62" fillId="0" borderId="0" xfId="3" applyFont="1" applyProtection="1"/>
    <xf numFmtId="0" fontId="23" fillId="0" borderId="0" xfId="4" applyFont="1" applyProtection="1"/>
    <xf numFmtId="0" fontId="135" fillId="0" borderId="1" xfId="4" applyFont="1" applyBorder="1" applyAlignment="1" applyProtection="1">
      <alignment horizontal="center"/>
      <protection locked="0"/>
    </xf>
    <xf numFmtId="0" fontId="16" fillId="12" borderId="8" xfId="0" applyFont="1" applyFill="1" applyBorder="1" applyAlignment="1" applyProtection="1">
      <alignment horizontal="right" vertical="center"/>
      <protection hidden="1"/>
    </xf>
    <xf numFmtId="0" fontId="16" fillId="12" borderId="9" xfId="0" applyFont="1" applyFill="1" applyBorder="1" applyAlignment="1" applyProtection="1">
      <alignment horizontal="right" vertical="center"/>
      <protection hidden="1"/>
    </xf>
    <xf numFmtId="0" fontId="16" fillId="12" borderId="19" xfId="0" applyFont="1" applyFill="1" applyBorder="1" applyAlignment="1" applyProtection="1">
      <alignment horizontal="right" vertical="center"/>
      <protection hidden="1"/>
    </xf>
    <xf numFmtId="0" fontId="16" fillId="12" borderId="21" xfId="0" applyFont="1" applyFill="1" applyBorder="1" applyAlignment="1" applyProtection="1">
      <alignment horizontal="right" vertical="center"/>
      <protection hidden="1"/>
    </xf>
    <xf numFmtId="0" fontId="16" fillId="12" borderId="20" xfId="0" applyFont="1" applyFill="1" applyBorder="1" applyAlignment="1" applyProtection="1">
      <alignment horizontal="right" vertical="center"/>
      <protection hidden="1"/>
    </xf>
    <xf numFmtId="0" fontId="114" fillId="3" borderId="9" xfId="0" applyFont="1" applyFill="1" applyBorder="1" applyAlignment="1" applyProtection="1">
      <alignment horizontal="center"/>
      <protection hidden="1"/>
    </xf>
    <xf numFmtId="0" fontId="114" fillId="4" borderId="6" xfId="0" applyFont="1" applyFill="1" applyBorder="1" applyAlignment="1" applyProtection="1">
      <alignment horizontal="center" wrapText="1"/>
      <protection hidden="1"/>
    </xf>
    <xf numFmtId="0" fontId="114" fillId="4" borderId="0" xfId="0" applyFont="1" applyFill="1" applyBorder="1" applyAlignment="1" applyProtection="1">
      <alignment horizontal="center" wrapText="1"/>
      <protection hidden="1"/>
    </xf>
    <xf numFmtId="0" fontId="114" fillId="3" borderId="1" xfId="0" applyFont="1" applyFill="1" applyBorder="1" applyAlignment="1" applyProtection="1">
      <alignment horizontal="center"/>
      <protection hidden="1"/>
    </xf>
    <xf numFmtId="0" fontId="119" fillId="22" borderId="1" xfId="4" applyFont="1" applyFill="1" applyBorder="1" applyAlignment="1" applyProtection="1">
      <alignment horizontal="center"/>
      <protection locked="0"/>
    </xf>
    <xf numFmtId="0" fontId="114" fillId="3" borderId="1" xfId="0" applyFont="1" applyFill="1" applyBorder="1" applyAlignment="1" applyProtection="1">
      <alignment horizontal="center" wrapText="1"/>
      <protection hidden="1"/>
    </xf>
    <xf numFmtId="0" fontId="114" fillId="3" borderId="21" xfId="0" applyFont="1" applyFill="1" applyBorder="1" applyAlignment="1" applyProtection="1">
      <alignment horizontal="center"/>
      <protection hidden="1"/>
    </xf>
    <xf numFmtId="0" fontId="114" fillId="4" borderId="1" xfId="0" applyFont="1" applyFill="1" applyBorder="1" applyAlignment="1" applyProtection="1">
      <alignment horizontal="center" wrapText="1"/>
      <protection hidden="1"/>
    </xf>
    <xf numFmtId="0" fontId="114" fillId="4" borderId="8" xfId="0" applyFont="1" applyFill="1" applyBorder="1" applyAlignment="1" applyProtection="1">
      <alignment horizontal="center" wrapText="1"/>
      <protection hidden="1"/>
    </xf>
    <xf numFmtId="0" fontId="114" fillId="4" borderId="9" xfId="0" applyFont="1" applyFill="1" applyBorder="1" applyAlignment="1" applyProtection="1">
      <alignment horizontal="center" wrapText="1"/>
      <protection hidden="1"/>
    </xf>
    <xf numFmtId="0" fontId="115" fillId="3" borderId="1" xfId="0" applyFont="1" applyFill="1" applyBorder="1" applyAlignment="1" applyProtection="1">
      <alignment horizontal="center" wrapText="1"/>
      <protection hidden="1"/>
    </xf>
    <xf numFmtId="0" fontId="114" fillId="4" borderId="19" xfId="0" applyFont="1" applyFill="1" applyBorder="1" applyAlignment="1" applyProtection="1">
      <alignment horizontal="center" wrapText="1"/>
      <protection hidden="1"/>
    </xf>
    <xf numFmtId="0" fontId="114" fillId="4" borderId="21" xfId="0" applyFont="1" applyFill="1" applyBorder="1" applyAlignment="1" applyProtection="1">
      <alignment horizontal="center" wrapText="1"/>
      <protection hidden="1"/>
    </xf>
    <xf numFmtId="0" fontId="114" fillId="4" borderId="20" xfId="0" applyFont="1" applyFill="1" applyBorder="1" applyAlignment="1" applyProtection="1">
      <alignment horizontal="center" wrapText="1"/>
      <protection hidden="1"/>
    </xf>
    <xf numFmtId="7" fontId="119" fillId="22" borderId="30" xfId="4" applyNumberFormat="1" applyFont="1" applyFill="1" applyBorder="1" applyAlignment="1" applyProtection="1">
      <alignment horizontal="center" wrapText="1"/>
      <protection locked="0"/>
    </xf>
    <xf numFmtId="0" fontId="119" fillId="22" borderId="31" xfId="4" applyFont="1" applyFill="1" applyBorder="1" applyAlignment="1" applyProtection="1">
      <alignment horizontal="center" wrapText="1"/>
      <protection locked="0"/>
    </xf>
    <xf numFmtId="0" fontId="114" fillId="12" borderId="9" xfId="0" applyFont="1" applyFill="1" applyBorder="1" applyAlignment="1" applyProtection="1">
      <alignment horizontal="center"/>
      <protection hidden="1"/>
    </xf>
    <xf numFmtId="0" fontId="114" fillId="12" borderId="10" xfId="0" applyFont="1" applyFill="1" applyBorder="1" applyAlignment="1" applyProtection="1">
      <alignment horizontal="center"/>
      <protection hidden="1"/>
    </xf>
    <xf numFmtId="0" fontId="114" fillId="12" borderId="0" xfId="0" applyFont="1" applyFill="1" applyBorder="1" applyAlignment="1" applyProtection="1">
      <alignment horizontal="center"/>
      <protection hidden="1"/>
    </xf>
    <xf numFmtId="0" fontId="114" fillId="12" borderId="7" xfId="0" applyFont="1" applyFill="1" applyBorder="1" applyAlignment="1" applyProtection="1">
      <alignment horizontal="center"/>
      <protection hidden="1"/>
    </xf>
    <xf numFmtId="0" fontId="123" fillId="4" borderId="0" xfId="0" applyFont="1" applyFill="1" applyBorder="1" applyAlignment="1" applyProtection="1">
      <alignment horizontal="center" wrapText="1"/>
      <protection hidden="1"/>
    </xf>
    <xf numFmtId="0" fontId="13" fillId="19" borderId="6" xfId="4" applyFont="1" applyFill="1" applyBorder="1" applyAlignment="1">
      <alignment horizontal="center"/>
    </xf>
    <xf numFmtId="0" fontId="13" fillId="19" borderId="7" xfId="4" applyFont="1" applyFill="1" applyBorder="1" applyAlignment="1">
      <alignment horizontal="center"/>
    </xf>
    <xf numFmtId="0" fontId="2" fillId="19" borderId="1" xfId="4" applyFont="1" applyFill="1" applyBorder="1" applyAlignment="1">
      <alignment horizontal="left"/>
    </xf>
    <xf numFmtId="0" fontId="75" fillId="10" borderId="5" xfId="0" applyFont="1" applyFill="1" applyBorder="1" applyAlignment="1" applyProtection="1">
      <alignment horizontal="center" wrapText="1"/>
      <protection hidden="1"/>
    </xf>
    <xf numFmtId="0" fontId="80" fillId="7" borderId="5" xfId="0" applyFont="1" applyFill="1" applyBorder="1" applyAlignment="1" applyProtection="1">
      <alignment horizontal="center" vertical="top" wrapText="1"/>
      <protection locked="0" hidden="1"/>
    </xf>
    <xf numFmtId="0" fontId="76" fillId="7" borderId="5" xfId="0" applyFont="1" applyFill="1" applyBorder="1" applyAlignment="1" applyProtection="1">
      <alignment horizontal="center" vertical="top"/>
      <protection hidden="1"/>
    </xf>
    <xf numFmtId="0" fontId="75" fillId="8" borderId="3" xfId="0" applyFont="1" applyFill="1" applyBorder="1" applyAlignment="1" applyProtection="1">
      <alignment horizontal="center" vertical="center"/>
      <protection hidden="1"/>
    </xf>
    <xf numFmtId="0" fontId="75" fillId="8" borderId="0" xfId="0" applyFont="1" applyFill="1" applyBorder="1" applyAlignment="1" applyProtection="1">
      <alignment horizontal="center" vertical="center"/>
      <protection hidden="1"/>
    </xf>
    <xf numFmtId="0" fontId="85" fillId="5" borderId="14" xfId="2" applyFont="1" applyFill="1" applyBorder="1" applyAlignment="1" applyProtection="1">
      <alignment horizontal="left" vertical="center" indent="3"/>
      <protection hidden="1"/>
    </xf>
    <xf numFmtId="0" fontId="85" fillId="5" borderId="0" xfId="2" applyFont="1" applyFill="1" applyBorder="1" applyAlignment="1" applyProtection="1">
      <alignment horizontal="left" vertical="center" indent="3"/>
      <protection hidden="1"/>
    </xf>
    <xf numFmtId="0" fontId="85" fillId="5" borderId="16" xfId="2" applyFont="1" applyFill="1" applyBorder="1" applyAlignment="1" applyProtection="1">
      <alignment horizontal="left" vertical="center" indent="3"/>
      <protection hidden="1"/>
    </xf>
    <xf numFmtId="0" fontId="85" fillId="5" borderId="17" xfId="2" applyFont="1" applyFill="1" applyBorder="1" applyAlignment="1" applyProtection="1">
      <alignment horizontal="left" vertical="center" indent="3"/>
      <protection hidden="1"/>
    </xf>
    <xf numFmtId="0" fontId="99" fillId="7" borderId="0" xfId="0" applyFont="1" applyFill="1" applyBorder="1" applyAlignment="1" applyProtection="1">
      <alignment horizontal="left" vertical="center" indent="1"/>
      <protection hidden="1"/>
    </xf>
    <xf numFmtId="0" fontId="99" fillId="7" borderId="0" xfId="0" applyFont="1" applyFill="1" applyBorder="1" applyAlignment="1" applyProtection="1">
      <alignment horizontal="left" vertical="center"/>
      <protection hidden="1"/>
    </xf>
    <xf numFmtId="0" fontId="22" fillId="7" borderId="0" xfId="2" applyFill="1" applyBorder="1" applyAlignment="1" applyProtection="1">
      <alignment horizontal="left" vertical="center"/>
      <protection hidden="1"/>
    </xf>
    <xf numFmtId="0" fontId="95" fillId="7" borderId="0" xfId="0" applyFont="1" applyFill="1" applyBorder="1" applyAlignment="1" applyProtection="1">
      <alignment horizontal="left" vertical="center" indent="1"/>
      <protection hidden="1"/>
    </xf>
    <xf numFmtId="0" fontId="95" fillId="7" borderId="0" xfId="0" applyFont="1" applyFill="1" applyBorder="1" applyAlignment="1" applyProtection="1">
      <alignment horizontal="center" vertical="center"/>
      <protection hidden="1"/>
    </xf>
    <xf numFmtId="0" fontId="105" fillId="7" borderId="0" xfId="0" applyFont="1" applyFill="1" applyBorder="1" applyAlignment="1" applyProtection="1">
      <alignment horizontal="left" vertical="center" indent="1"/>
      <protection hidden="1"/>
    </xf>
    <xf numFmtId="0" fontId="128" fillId="2" borderId="11" xfId="0" applyFont="1" applyFill="1" applyBorder="1" applyAlignment="1" applyProtection="1">
      <alignment horizontal="center" vertical="center" wrapText="1"/>
      <protection hidden="1"/>
    </xf>
    <xf numFmtId="0" fontId="128" fillId="2" borderId="12" xfId="0" applyFont="1" applyFill="1" applyBorder="1" applyAlignment="1" applyProtection="1">
      <alignment horizontal="center" vertical="center" wrapText="1"/>
      <protection hidden="1"/>
    </xf>
    <xf numFmtId="0" fontId="128" fillId="2" borderId="13" xfId="0" applyFont="1" applyFill="1" applyBorder="1" applyAlignment="1" applyProtection="1">
      <alignment horizontal="center" vertical="center" wrapText="1"/>
      <protection hidden="1"/>
    </xf>
    <xf numFmtId="0" fontId="128" fillId="2" borderId="14" xfId="0" applyFont="1" applyFill="1" applyBorder="1" applyAlignment="1" applyProtection="1">
      <alignment horizontal="center" vertical="center" wrapText="1"/>
      <protection hidden="1"/>
    </xf>
    <xf numFmtId="0" fontId="128" fillId="2" borderId="0" xfId="0" applyFont="1" applyFill="1" applyBorder="1" applyAlignment="1" applyProtection="1">
      <alignment horizontal="center" vertical="center" wrapText="1"/>
      <protection hidden="1"/>
    </xf>
    <xf numFmtId="0" fontId="128" fillId="2" borderId="15" xfId="0" applyFont="1" applyFill="1" applyBorder="1" applyAlignment="1" applyProtection="1">
      <alignment horizontal="center" vertical="center" wrapText="1"/>
      <protection hidden="1"/>
    </xf>
    <xf numFmtId="0" fontId="22" fillId="5" borderId="14" xfId="2" applyFill="1" applyBorder="1" applyAlignment="1" applyProtection="1">
      <alignment horizontal="left" vertical="center" wrapText="1" indent="4"/>
      <protection hidden="1"/>
    </xf>
    <xf numFmtId="0" fontId="85" fillId="5" borderId="0" xfId="2" applyFont="1" applyFill="1" applyBorder="1" applyAlignment="1" applyProtection="1">
      <alignment horizontal="left" vertical="center" wrapText="1" indent="4"/>
      <protection hidden="1"/>
    </xf>
    <xf numFmtId="0" fontId="85" fillId="5" borderId="15" xfId="2" applyFont="1" applyFill="1" applyBorder="1" applyAlignment="1" applyProtection="1">
      <alignment horizontal="left" vertical="center" wrapText="1" indent="4"/>
      <protection hidden="1"/>
    </xf>
    <xf numFmtId="0" fontId="85" fillId="5" borderId="16" xfId="2" applyFont="1" applyFill="1" applyBorder="1" applyAlignment="1" applyProtection="1">
      <alignment horizontal="left" vertical="center" wrapText="1" indent="4"/>
      <protection hidden="1"/>
    </xf>
    <xf numFmtId="0" fontId="85" fillId="5" borderId="17" xfId="2" applyFont="1" applyFill="1" applyBorder="1" applyAlignment="1" applyProtection="1">
      <alignment horizontal="left" vertical="center" wrapText="1" indent="4"/>
      <protection hidden="1"/>
    </xf>
    <xf numFmtId="0" fontId="85" fillId="5" borderId="18" xfId="2" applyFont="1" applyFill="1" applyBorder="1" applyAlignment="1" applyProtection="1">
      <alignment horizontal="left" vertical="center" wrapText="1" indent="4"/>
      <protection hidden="1"/>
    </xf>
    <xf numFmtId="0" fontId="82" fillId="2" borderId="11" xfId="0" applyFont="1" applyFill="1" applyBorder="1" applyAlignment="1" applyProtection="1">
      <alignment vertical="top"/>
      <protection hidden="1"/>
    </xf>
    <xf numFmtId="0" fontId="82" fillId="2" borderId="12" xfId="0" applyFont="1" applyFill="1" applyBorder="1" applyAlignment="1" applyProtection="1">
      <alignment vertical="top"/>
      <protection hidden="1"/>
    </xf>
    <xf numFmtId="0" fontId="82" fillId="2" borderId="13" xfId="0" applyFont="1" applyFill="1" applyBorder="1" applyAlignment="1" applyProtection="1">
      <alignment vertical="top"/>
      <protection hidden="1"/>
    </xf>
    <xf numFmtId="0" fontId="82" fillId="2" borderId="14" xfId="0" applyFont="1" applyFill="1" applyBorder="1" applyAlignment="1" applyProtection="1">
      <alignment vertical="top"/>
      <protection hidden="1"/>
    </xf>
    <xf numFmtId="0" fontId="82" fillId="2" borderId="0" xfId="0" applyFont="1" applyFill="1" applyBorder="1" applyAlignment="1" applyProtection="1">
      <alignment vertical="top"/>
      <protection hidden="1"/>
    </xf>
    <xf numFmtId="0" fontId="82" fillId="2" borderId="15" xfId="0" applyFont="1" applyFill="1" applyBorder="1" applyAlignment="1" applyProtection="1">
      <alignment vertical="top"/>
      <protection hidden="1"/>
    </xf>
    <xf numFmtId="0" fontId="82" fillId="2" borderId="16" xfId="0" applyFont="1" applyFill="1" applyBorder="1" applyAlignment="1" applyProtection="1">
      <alignment vertical="top"/>
      <protection hidden="1"/>
    </xf>
    <xf numFmtId="0" fontId="82" fillId="2" borderId="17" xfId="0" applyFont="1" applyFill="1" applyBorder="1" applyAlignment="1" applyProtection="1">
      <alignment vertical="top"/>
      <protection hidden="1"/>
    </xf>
    <xf numFmtId="0" fontId="82" fillId="2" borderId="18" xfId="0" applyFont="1" applyFill="1" applyBorder="1" applyAlignment="1" applyProtection="1">
      <alignment vertical="top"/>
      <protection hidden="1"/>
    </xf>
    <xf numFmtId="3" fontId="112" fillId="2" borderId="14" xfId="4" applyNumberFormat="1" applyFont="1" applyFill="1" applyBorder="1" applyAlignment="1" applyProtection="1">
      <alignment horizontal="center" vertical="center"/>
    </xf>
    <xf numFmtId="3" fontId="112" fillId="2" borderId="0" xfId="4" applyNumberFormat="1" applyFont="1" applyFill="1" applyBorder="1" applyAlignment="1" applyProtection="1">
      <alignment horizontal="center" vertical="center"/>
    </xf>
    <xf numFmtId="3" fontId="112" fillId="2" borderId="15" xfId="4" applyNumberFormat="1" applyFont="1" applyFill="1" applyBorder="1" applyAlignment="1" applyProtection="1">
      <alignment horizontal="center" vertical="center"/>
    </xf>
    <xf numFmtId="0" fontId="113" fillId="2" borderId="14" xfId="0" applyFont="1" applyFill="1" applyBorder="1" applyAlignment="1" applyProtection="1">
      <alignment horizontal="left" vertical="top"/>
      <protection hidden="1"/>
    </xf>
    <xf numFmtId="0" fontId="113" fillId="2" borderId="0" xfId="0" applyFont="1" applyFill="1" applyBorder="1" applyAlignment="1" applyProtection="1">
      <alignment horizontal="left" vertical="top"/>
      <protection hidden="1"/>
    </xf>
    <xf numFmtId="0" fontId="98" fillId="14" borderId="12" xfId="0" applyFont="1" applyFill="1" applyBorder="1" applyAlignment="1" applyProtection="1">
      <alignment horizontal="center" vertical="center"/>
      <protection hidden="1"/>
    </xf>
    <xf numFmtId="0" fontId="98" fillId="14" borderId="0" xfId="0" applyFont="1" applyFill="1" applyBorder="1" applyAlignment="1" applyProtection="1">
      <alignment horizontal="center" vertical="center"/>
      <protection hidden="1"/>
    </xf>
    <xf numFmtId="0" fontId="128" fillId="2" borderId="11" xfId="0" applyFont="1" applyFill="1" applyBorder="1" applyAlignment="1" applyProtection="1">
      <alignment horizontal="left" vertical="center"/>
      <protection hidden="1"/>
    </xf>
    <xf numFmtId="0" fontId="128" fillId="2" borderId="12" xfId="0" applyFont="1" applyFill="1" applyBorder="1" applyAlignment="1" applyProtection="1">
      <alignment horizontal="left" vertical="center"/>
      <protection hidden="1"/>
    </xf>
    <xf numFmtId="0" fontId="109" fillId="2" borderId="12" xfId="0" applyFont="1" applyFill="1" applyBorder="1" applyAlignment="1" applyProtection="1">
      <alignment horizontal="left" vertical="center"/>
      <protection hidden="1"/>
    </xf>
    <xf numFmtId="0" fontId="109" fillId="2" borderId="13" xfId="0" applyFont="1" applyFill="1" applyBorder="1" applyAlignment="1" applyProtection="1">
      <alignment horizontal="left" vertical="center"/>
      <protection hidden="1"/>
    </xf>
    <xf numFmtId="0" fontId="128" fillId="2" borderId="14" xfId="0" applyFont="1" applyFill="1" applyBorder="1" applyAlignment="1" applyProtection="1">
      <alignment horizontal="right" vertical="center"/>
      <protection hidden="1"/>
    </xf>
    <xf numFmtId="0" fontId="128" fillId="2" borderId="0" xfId="0" applyFont="1" applyFill="1" applyBorder="1" applyAlignment="1" applyProtection="1">
      <alignment horizontal="right" vertical="center"/>
      <protection hidden="1"/>
    </xf>
    <xf numFmtId="0" fontId="128" fillId="2" borderId="0" xfId="0" applyFont="1" applyFill="1" applyBorder="1" applyAlignment="1" applyProtection="1">
      <alignment horizontal="left" vertical="center"/>
      <protection hidden="1"/>
    </xf>
    <xf numFmtId="0" fontId="128" fillId="2" borderId="15" xfId="0" applyFont="1" applyFill="1" applyBorder="1" applyAlignment="1" applyProtection="1">
      <alignment horizontal="left" vertical="center"/>
      <protection hidden="1"/>
    </xf>
    <xf numFmtId="0" fontId="14" fillId="14" borderId="11" xfId="0" applyFont="1" applyFill="1" applyBorder="1" applyAlignment="1" applyProtection="1">
      <alignment horizontal="left" vertical="center" indent="1"/>
      <protection hidden="1"/>
    </xf>
    <xf numFmtId="0" fontId="14" fillId="14" borderId="12" xfId="0" applyFont="1" applyFill="1" applyBorder="1" applyAlignment="1" applyProtection="1">
      <alignment horizontal="left" vertical="center" indent="1"/>
      <protection hidden="1"/>
    </xf>
    <xf numFmtId="0" fontId="14" fillId="14" borderId="14" xfId="0" applyFont="1" applyFill="1" applyBorder="1" applyAlignment="1" applyProtection="1">
      <alignment horizontal="left" vertical="center" indent="1"/>
      <protection hidden="1"/>
    </xf>
    <xf numFmtId="0" fontId="14" fillId="14" borderId="0" xfId="0" applyFont="1" applyFill="1" applyBorder="1" applyAlignment="1" applyProtection="1">
      <alignment horizontal="left" vertical="center" indent="1"/>
      <protection hidden="1"/>
    </xf>
    <xf numFmtId="0" fontId="111" fillId="14" borderId="12" xfId="0" applyFont="1" applyFill="1" applyBorder="1" applyAlignment="1" applyProtection="1">
      <alignment horizontal="left" vertical="center"/>
      <protection hidden="1"/>
    </xf>
    <xf numFmtId="0" fontId="111" fillId="14" borderId="0" xfId="0" applyFont="1" applyFill="1" applyBorder="1" applyAlignment="1" applyProtection="1">
      <alignment horizontal="left" vertical="center"/>
      <protection hidden="1"/>
    </xf>
    <xf numFmtId="0" fontId="95" fillId="7" borderId="0" xfId="0" applyFont="1" applyFill="1" applyBorder="1" applyAlignment="1">
      <alignment horizontal="left" vertical="center" indent="1"/>
    </xf>
    <xf numFmtId="0" fontId="95" fillId="7" borderId="0" xfId="0" applyFont="1" applyFill="1" applyBorder="1" applyAlignment="1">
      <alignment horizontal="center" vertical="center"/>
    </xf>
    <xf numFmtId="0" fontId="82" fillId="14" borderId="12" xfId="0" applyFont="1" applyFill="1" applyBorder="1" applyAlignment="1" applyProtection="1">
      <alignment horizontal="left" vertical="center"/>
      <protection hidden="1"/>
    </xf>
    <xf numFmtId="0" fontId="82" fillId="14" borderId="0" xfId="0" applyFont="1" applyFill="1" applyBorder="1" applyAlignment="1" applyProtection="1">
      <alignment horizontal="left" vertical="center"/>
      <protection hidden="1"/>
    </xf>
    <xf numFmtId="0" fontId="99" fillId="14" borderId="0" xfId="0" applyFont="1" applyFill="1" applyBorder="1" applyAlignment="1" applyProtection="1">
      <alignment horizontal="left" vertical="center"/>
      <protection hidden="1"/>
    </xf>
    <xf numFmtId="0" fontId="103" fillId="2" borderId="14" xfId="0" applyFont="1" applyFill="1" applyBorder="1" applyAlignment="1" applyProtection="1">
      <alignment horizontal="left" vertical="center" wrapText="1" indent="3"/>
      <protection hidden="1"/>
    </xf>
    <xf numFmtId="0" fontId="103" fillId="2" borderId="0" xfId="0" applyFont="1" applyFill="1" applyBorder="1" applyAlignment="1" applyProtection="1">
      <alignment horizontal="left" vertical="center" wrapText="1" indent="3"/>
      <protection hidden="1"/>
    </xf>
    <xf numFmtId="0" fontId="103" fillId="2" borderId="15" xfId="0" applyFont="1" applyFill="1" applyBorder="1" applyAlignment="1" applyProtection="1">
      <alignment horizontal="left" vertical="center" wrapText="1" indent="3"/>
      <protection hidden="1"/>
    </xf>
    <xf numFmtId="0" fontId="103" fillId="2" borderId="16" xfId="0" applyFont="1" applyFill="1" applyBorder="1" applyAlignment="1" applyProtection="1">
      <alignment horizontal="left" vertical="center" wrapText="1" indent="3"/>
      <protection hidden="1"/>
    </xf>
    <xf numFmtId="0" fontId="103" fillId="2" borderId="17" xfId="0" applyFont="1" applyFill="1" applyBorder="1" applyAlignment="1" applyProtection="1">
      <alignment horizontal="left" vertical="center" wrapText="1" indent="3"/>
      <protection hidden="1"/>
    </xf>
    <xf numFmtId="0" fontId="103" fillId="2" borderId="18" xfId="0" applyFont="1" applyFill="1" applyBorder="1" applyAlignment="1" applyProtection="1">
      <alignment horizontal="left" vertical="center" wrapText="1" indent="3"/>
      <protection hidden="1"/>
    </xf>
    <xf numFmtId="0" fontId="100" fillId="2" borderId="0" xfId="0" applyFont="1" applyFill="1" applyBorder="1" applyAlignment="1" applyProtection="1">
      <alignment horizontal="center" vertical="center" wrapText="1"/>
      <protection hidden="1"/>
    </xf>
    <xf numFmtId="0" fontId="102" fillId="2" borderId="0" xfId="0" applyFont="1" applyFill="1" applyBorder="1" applyAlignment="1" applyProtection="1">
      <alignment horizontal="center" wrapText="1"/>
      <protection hidden="1"/>
    </xf>
    <xf numFmtId="0" fontId="85" fillId="5" borderId="15" xfId="2" applyFont="1" applyFill="1" applyBorder="1" applyAlignment="1" applyProtection="1">
      <alignment horizontal="left" vertical="center" indent="3"/>
      <protection hidden="1"/>
    </xf>
    <xf numFmtId="0" fontId="85" fillId="5" borderId="18" xfId="2" applyFont="1" applyFill="1" applyBorder="1" applyAlignment="1" applyProtection="1">
      <alignment horizontal="left" vertical="center" indent="3"/>
      <protection hidden="1"/>
    </xf>
    <xf numFmtId="0" fontId="85" fillId="5" borderId="14" xfId="2" applyFont="1" applyFill="1" applyBorder="1" applyAlignment="1" applyProtection="1">
      <alignment horizontal="left" vertical="center" wrapText="1" indent="3"/>
      <protection hidden="1"/>
    </xf>
    <xf numFmtId="0" fontId="85" fillId="5" borderId="0" xfId="2" applyFont="1" applyFill="1" applyBorder="1" applyAlignment="1" applyProtection="1">
      <alignment horizontal="left" vertical="center" wrapText="1" indent="3"/>
      <protection hidden="1"/>
    </xf>
    <xf numFmtId="0" fontId="85" fillId="5" borderId="15" xfId="2" applyFont="1" applyFill="1" applyBorder="1" applyAlignment="1" applyProtection="1">
      <alignment horizontal="left" vertical="center" wrapText="1" indent="3"/>
      <protection hidden="1"/>
    </xf>
    <xf numFmtId="0" fontId="85" fillId="5" borderId="16" xfId="2" applyFont="1" applyFill="1" applyBorder="1" applyAlignment="1" applyProtection="1">
      <alignment horizontal="left" vertical="center" wrapText="1" indent="3"/>
      <protection hidden="1"/>
    </xf>
    <xf numFmtId="0" fontId="85" fillId="5" borderId="17" xfId="2" applyFont="1" applyFill="1" applyBorder="1" applyAlignment="1" applyProtection="1">
      <alignment horizontal="left" vertical="center" wrapText="1" indent="3"/>
      <protection hidden="1"/>
    </xf>
    <xf numFmtId="0" fontId="85" fillId="5" borderId="18" xfId="2" applyFont="1" applyFill="1" applyBorder="1" applyAlignment="1" applyProtection="1">
      <alignment horizontal="left" vertical="center" wrapText="1" indent="3"/>
      <protection hidden="1"/>
    </xf>
    <xf numFmtId="0" fontId="128" fillId="2" borderId="11" xfId="0" applyFont="1" applyFill="1" applyBorder="1" applyAlignment="1">
      <alignment horizontal="center" vertical="center" wrapText="1"/>
    </xf>
    <xf numFmtId="0" fontId="128" fillId="2" borderId="12" xfId="0" applyFont="1" applyFill="1" applyBorder="1" applyAlignment="1">
      <alignment horizontal="center" vertical="center" wrapText="1"/>
    </xf>
    <xf numFmtId="0" fontId="128" fillId="2" borderId="13" xfId="0" applyFont="1" applyFill="1" applyBorder="1" applyAlignment="1">
      <alignment horizontal="center" vertical="center" wrapText="1"/>
    </xf>
    <xf numFmtId="0" fontId="128" fillId="2" borderId="14" xfId="0" applyFont="1" applyFill="1" applyBorder="1" applyAlignment="1">
      <alignment horizontal="center" vertical="center" wrapText="1"/>
    </xf>
    <xf numFmtId="0" fontId="128" fillId="2" borderId="0" xfId="0" applyFont="1" applyFill="1" applyBorder="1" applyAlignment="1">
      <alignment horizontal="center" vertical="center" wrapText="1"/>
    </xf>
    <xf numFmtId="0" fontId="128" fillId="2" borderId="15" xfId="0" applyFont="1" applyFill="1" applyBorder="1" applyAlignment="1">
      <alignment horizontal="center" vertical="center" wrapText="1"/>
    </xf>
    <xf numFmtId="0" fontId="85" fillId="5" borderId="14" xfId="2" applyFont="1" applyFill="1" applyBorder="1" applyAlignment="1">
      <alignment horizontal="left" vertical="center" indent="4"/>
    </xf>
    <xf numFmtId="0" fontId="85" fillId="5" borderId="0" xfId="2" applyFont="1" applyFill="1" applyBorder="1" applyAlignment="1">
      <alignment horizontal="left" vertical="center" indent="4"/>
    </xf>
    <xf numFmtId="0" fontId="85" fillId="5" borderId="15" xfId="2" applyFont="1" applyFill="1" applyBorder="1" applyAlignment="1">
      <alignment horizontal="left" vertical="center" indent="4"/>
    </xf>
    <xf numFmtId="0" fontId="85" fillId="5" borderId="16" xfId="2" applyFont="1" applyFill="1" applyBorder="1" applyAlignment="1">
      <alignment horizontal="left" vertical="center" indent="4"/>
    </xf>
    <xf numFmtId="0" fontId="85" fillId="5" borderId="17" xfId="2" applyFont="1" applyFill="1" applyBorder="1" applyAlignment="1">
      <alignment horizontal="left" vertical="center" indent="4"/>
    </xf>
    <xf numFmtId="0" fontId="85" fillId="5" borderId="18" xfId="2" applyFont="1" applyFill="1" applyBorder="1" applyAlignment="1">
      <alignment horizontal="left" vertical="center" indent="4"/>
    </xf>
    <xf numFmtId="0" fontId="22" fillId="5" borderId="14" xfId="2" applyFill="1" applyBorder="1" applyAlignment="1">
      <alignment horizontal="left" vertical="center" indent="4"/>
    </xf>
    <xf numFmtId="0" fontId="22" fillId="5" borderId="0" xfId="2" applyFill="1" applyBorder="1" applyAlignment="1">
      <alignment horizontal="left" vertical="center" indent="4"/>
    </xf>
    <xf numFmtId="0" fontId="22" fillId="5" borderId="15" xfId="2" applyFill="1" applyBorder="1" applyAlignment="1">
      <alignment horizontal="left" vertical="center" indent="4"/>
    </xf>
    <xf numFmtId="0" fontId="22" fillId="5" borderId="16" xfId="2" applyFill="1" applyBorder="1" applyAlignment="1">
      <alignment horizontal="left" vertical="center" indent="4"/>
    </xf>
    <xf numFmtId="0" fontId="22" fillId="5" borderId="17" xfId="2" applyFill="1" applyBorder="1" applyAlignment="1">
      <alignment horizontal="left" vertical="center" indent="4"/>
    </xf>
    <xf numFmtId="0" fontId="22" fillId="5" borderId="18" xfId="2" applyFill="1" applyBorder="1" applyAlignment="1">
      <alignment horizontal="left" vertical="center" indent="4"/>
    </xf>
    <xf numFmtId="0" fontId="82" fillId="0" borderId="0" xfId="0" applyFont="1" applyFill="1" applyAlignment="1">
      <alignment horizontal="center" vertical="center" wrapText="1"/>
    </xf>
    <xf numFmtId="0" fontId="95" fillId="2" borderId="0" xfId="2" applyFont="1" applyFill="1" applyBorder="1" applyAlignment="1" applyProtection="1">
      <alignment horizontal="center" vertical="center" wrapText="1"/>
      <protection hidden="1"/>
    </xf>
    <xf numFmtId="0" fontId="82" fillId="0" borderId="0" xfId="0" applyFont="1" applyFill="1" applyAlignment="1">
      <alignment horizontal="center" vertical="center"/>
    </xf>
    <xf numFmtId="0" fontId="94" fillId="2" borderId="0" xfId="0" applyFont="1" applyFill="1" applyBorder="1" applyAlignment="1" applyProtection="1">
      <alignment horizontal="center" vertical="top" wrapText="1"/>
      <protection hidden="1"/>
    </xf>
    <xf numFmtId="0" fontId="14" fillId="2" borderId="0" xfId="0" applyFont="1" applyFill="1" applyBorder="1" applyAlignment="1" applyProtection="1">
      <alignment horizontal="center" vertical="top" wrapText="1"/>
      <protection hidden="1"/>
    </xf>
    <xf numFmtId="0" fontId="87" fillId="2" borderId="0" xfId="0" applyFont="1" applyFill="1" applyBorder="1" applyAlignment="1" applyProtection="1">
      <alignment horizontal="center" vertical="top"/>
      <protection hidden="1"/>
    </xf>
    <xf numFmtId="0" fontId="128" fillId="2" borderId="0" xfId="0" applyFont="1" applyFill="1" applyBorder="1" applyAlignment="1" applyProtection="1">
      <alignment horizontal="center" vertical="top"/>
      <protection hidden="1"/>
    </xf>
    <xf numFmtId="0" fontId="129" fillId="2" borderId="11" xfId="0" applyFont="1" applyFill="1" applyBorder="1" applyAlignment="1" applyProtection="1">
      <alignment horizontal="center" vertical="center"/>
      <protection hidden="1"/>
    </xf>
    <xf numFmtId="0" fontId="129" fillId="2" borderId="12" xfId="0" applyFont="1" applyFill="1" applyBorder="1" applyAlignment="1" applyProtection="1">
      <alignment horizontal="center" vertical="center"/>
      <protection hidden="1"/>
    </xf>
    <xf numFmtId="0" fontId="129" fillId="2" borderId="13" xfId="0" applyFont="1" applyFill="1" applyBorder="1" applyAlignment="1" applyProtection="1">
      <alignment horizontal="center" vertical="center"/>
      <protection hidden="1"/>
    </xf>
    <xf numFmtId="0" fontId="129" fillId="2" borderId="14" xfId="0" applyFont="1" applyFill="1" applyBorder="1" applyAlignment="1" applyProtection="1">
      <alignment horizontal="center" vertical="center"/>
      <protection hidden="1"/>
    </xf>
    <xf numFmtId="0" fontId="129" fillId="2" borderId="0" xfId="0" applyFont="1" applyFill="1" applyBorder="1" applyAlignment="1" applyProtection="1">
      <alignment horizontal="center" vertical="center"/>
      <protection hidden="1"/>
    </xf>
    <xf numFmtId="0" fontId="129" fillId="2" borderId="15" xfId="0" applyFont="1" applyFill="1" applyBorder="1" applyAlignment="1" applyProtection="1">
      <alignment horizontal="center" vertical="center"/>
      <protection hidden="1"/>
    </xf>
    <xf numFmtId="0" fontId="89" fillId="2" borderId="0" xfId="0" applyFont="1" applyFill="1" applyBorder="1" applyAlignment="1" applyProtection="1">
      <alignment horizontal="center" vertical="center" wrapText="1"/>
      <protection hidden="1"/>
    </xf>
    <xf numFmtId="0" fontId="90" fillId="2" borderId="0" xfId="0" applyFont="1" applyFill="1" applyBorder="1" applyAlignment="1" applyProtection="1">
      <alignment horizontal="center" vertical="center" wrapText="1"/>
      <protection hidden="1"/>
    </xf>
    <xf numFmtId="0" fontId="91" fillId="2" borderId="0" xfId="0" applyFont="1" applyFill="1" applyBorder="1" applyAlignment="1" applyProtection="1">
      <alignment horizontal="center" vertical="center" wrapText="1"/>
      <protection hidden="1"/>
    </xf>
    <xf numFmtId="0" fontId="92" fillId="2" borderId="0" xfId="0" applyFont="1" applyFill="1" applyBorder="1" applyAlignment="1" applyProtection="1">
      <alignment horizontal="center" vertical="center" wrapText="1"/>
      <protection hidden="1"/>
    </xf>
    <xf numFmtId="0" fontId="108" fillId="8" borderId="0" xfId="0" applyFont="1" applyFill="1" applyBorder="1" applyAlignment="1" applyProtection="1">
      <alignment horizontal="center" vertical="center"/>
      <protection hidden="1"/>
    </xf>
    <xf numFmtId="0" fontId="83" fillId="8" borderId="0" xfId="0" applyFont="1" applyFill="1" applyBorder="1" applyAlignment="1" applyProtection="1">
      <alignment horizontal="center" vertical="center"/>
      <protection hidden="1"/>
    </xf>
    <xf numFmtId="0" fontId="84" fillId="6" borderId="0" xfId="0" applyFont="1" applyFill="1" applyBorder="1" applyAlignment="1" applyProtection="1">
      <alignment horizontal="left" vertical="center"/>
      <protection hidden="1"/>
    </xf>
    <xf numFmtId="0" fontId="20" fillId="6" borderId="0" xfId="0" applyFont="1" applyFill="1" applyBorder="1" applyAlignment="1" applyProtection="1">
      <alignment horizontal="left" vertical="center" indent="1"/>
      <protection hidden="1"/>
    </xf>
    <xf numFmtId="14" fontId="20" fillId="6" borderId="0" xfId="0" applyNumberFormat="1" applyFont="1" applyFill="1" applyBorder="1" applyAlignment="1" applyProtection="1">
      <alignment horizontal="center" vertical="center"/>
      <protection hidden="1"/>
    </xf>
    <xf numFmtId="0" fontId="125" fillId="6" borderId="0" xfId="2" applyFont="1" applyFill="1" applyBorder="1" applyAlignment="1" applyProtection="1">
      <alignment horizontal="left" vertical="center"/>
      <protection hidden="1"/>
    </xf>
    <xf numFmtId="14" fontId="31" fillId="6" borderId="0" xfId="0" applyNumberFormat="1" applyFont="1" applyFill="1" applyBorder="1" applyAlignment="1" applyProtection="1">
      <alignment horizontal="left" vertical="center"/>
      <protection hidden="1"/>
    </xf>
    <xf numFmtId="14" fontId="31" fillId="6" borderId="0" xfId="0" applyNumberFormat="1" applyFont="1" applyFill="1" applyBorder="1" applyAlignment="1" applyProtection="1">
      <alignment horizontal="center" vertical="center"/>
      <protection hidden="1"/>
    </xf>
    <xf numFmtId="0" fontId="84" fillId="6" borderId="0" xfId="0" applyFont="1" applyFill="1" applyBorder="1" applyAlignment="1" applyProtection="1">
      <alignment horizontal="right" vertical="center"/>
      <protection hidden="1"/>
    </xf>
    <xf numFmtId="0" fontId="16" fillId="15" borderId="21" xfId="0" applyFont="1" applyFill="1" applyBorder="1" applyAlignment="1">
      <alignment horizontal="center" vertical="center" wrapText="1"/>
    </xf>
    <xf numFmtId="0" fontId="16" fillId="15" borderId="20" xfId="0" applyFont="1" applyFill="1" applyBorder="1" applyAlignment="1">
      <alignment horizontal="center" vertical="center" wrapText="1"/>
    </xf>
    <xf numFmtId="0" fontId="30" fillId="7" borderId="0" xfId="2" applyFont="1" applyFill="1" applyBorder="1" applyAlignment="1">
      <alignment horizontal="left" vertical="top" wrapText="1"/>
    </xf>
    <xf numFmtId="0" fontId="12" fillId="7" borderId="0" xfId="2" applyFont="1" applyFill="1" applyBorder="1" applyAlignment="1">
      <alignment horizontal="left" vertical="top" wrapText="1"/>
    </xf>
    <xf numFmtId="0" fontId="22" fillId="7" borderId="0" xfId="2" applyFill="1" applyBorder="1" applyAlignment="1">
      <alignment horizontal="left" vertical="top" wrapText="1" indent="2"/>
    </xf>
    <xf numFmtId="0" fontId="16" fillId="12" borderId="47" xfId="0" applyFont="1" applyFill="1" applyBorder="1" applyAlignment="1">
      <alignment horizontal="center" vertical="center" wrapText="1"/>
    </xf>
    <xf numFmtId="0" fontId="16" fillId="12" borderId="1" xfId="0" applyFont="1" applyFill="1" applyBorder="1" applyAlignment="1">
      <alignment horizontal="center" vertical="center" wrapText="1"/>
    </xf>
    <xf numFmtId="0" fontId="16" fillId="12" borderId="19" xfId="0" applyFont="1" applyFill="1" applyBorder="1" applyAlignment="1">
      <alignment horizontal="center" vertical="center" wrapText="1"/>
    </xf>
    <xf numFmtId="0" fontId="3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33" fillId="5" borderId="24" xfId="0" applyFont="1" applyFill="1" applyBorder="1" applyAlignment="1" applyProtection="1">
      <alignment horizontal="center" vertical="top"/>
    </xf>
    <xf numFmtId="0" fontId="33" fillId="5" borderId="0" xfId="0" applyFont="1" applyFill="1" applyBorder="1" applyAlignment="1" applyProtection="1">
      <alignment horizontal="center" vertical="top"/>
    </xf>
    <xf numFmtId="0" fontId="33" fillId="5" borderId="0" xfId="0" applyFont="1" applyFill="1" applyBorder="1" applyAlignment="1" applyProtection="1">
      <alignment horizontal="left" vertical="top"/>
    </xf>
    <xf numFmtId="0" fontId="22" fillId="7" borderId="0" xfId="2" applyFill="1" applyBorder="1" applyAlignment="1">
      <alignment horizontal="left" vertical="top" wrapText="1"/>
    </xf>
    <xf numFmtId="0" fontId="0" fillId="7" borderId="0" xfId="0" applyFill="1" applyAlignment="1">
      <alignment horizontal="center"/>
    </xf>
    <xf numFmtId="0" fontId="16" fillId="15" borderId="1" xfId="0" applyFont="1" applyFill="1" applyBorder="1" applyAlignment="1">
      <alignment horizontal="center" vertical="center" wrapText="1"/>
    </xf>
    <xf numFmtId="0" fontId="16" fillId="15" borderId="49" xfId="0" applyFont="1" applyFill="1" applyBorder="1" applyAlignment="1">
      <alignment horizontal="center" vertical="center" wrapText="1"/>
    </xf>
    <xf numFmtId="0" fontId="14" fillId="7" borderId="0" xfId="0" applyFont="1" applyFill="1" applyBorder="1" applyAlignment="1">
      <alignment horizontal="left" vertical="top"/>
    </xf>
    <xf numFmtId="0" fontId="0" fillId="7" borderId="0" xfId="0" applyFill="1" applyBorder="1" applyAlignment="1">
      <alignment horizontal="left"/>
    </xf>
    <xf numFmtId="0" fontId="14" fillId="7" borderId="0" xfId="0" applyFont="1" applyFill="1" applyBorder="1" applyAlignment="1">
      <alignment horizontal="left" vertical="top" wrapText="1"/>
    </xf>
    <xf numFmtId="0" fontId="0" fillId="7" borderId="0" xfId="0" applyFill="1" applyBorder="1" applyAlignment="1">
      <alignment horizontal="left" vertical="top" wrapText="1"/>
    </xf>
    <xf numFmtId="0" fontId="14" fillId="7" borderId="0" xfId="0" applyFont="1" applyFill="1" applyBorder="1" applyAlignment="1">
      <alignment horizontal="left" vertical="top" indent="1"/>
    </xf>
    <xf numFmtId="0" fontId="0" fillId="7" borderId="0" xfId="0" applyFill="1" applyBorder="1" applyAlignment="1">
      <alignment horizontal="left" indent="1"/>
    </xf>
    <xf numFmtId="0" fontId="22" fillId="7" borderId="0" xfId="2" applyFill="1" applyBorder="1" applyAlignment="1">
      <alignment horizontal="left" vertical="center" indent="1"/>
    </xf>
    <xf numFmtId="0" fontId="22" fillId="7" borderId="0" xfId="2" applyFill="1" applyBorder="1" applyAlignment="1">
      <alignment horizontal="left" vertical="center" wrapText="1" indent="1"/>
    </xf>
    <xf numFmtId="0" fontId="14" fillId="23" borderId="1" xfId="0" applyFont="1" applyFill="1" applyBorder="1" applyAlignment="1">
      <alignment horizontal="left" indent="1"/>
    </xf>
    <xf numFmtId="0" fontId="22" fillId="28" borderId="0" xfId="2" applyFill="1" applyBorder="1" applyAlignment="1">
      <alignment horizontal="left" vertical="center" wrapText="1" indent="1"/>
    </xf>
    <xf numFmtId="0" fontId="26" fillId="28" borderId="0" xfId="0" applyFont="1" applyFill="1" applyBorder="1" applyAlignment="1">
      <alignment horizontal="left" vertical="center" wrapText="1" indent="1"/>
    </xf>
    <xf numFmtId="0" fontId="20" fillId="27" borderId="0" xfId="0" applyFont="1" applyFill="1" applyBorder="1" applyAlignment="1">
      <alignment horizontal="center" vertical="center" wrapText="1"/>
    </xf>
    <xf numFmtId="0" fontId="81" fillId="30" borderId="19" xfId="4" applyFont="1" applyFill="1" applyBorder="1" applyAlignment="1" applyProtection="1">
      <alignment horizontal="left" indent="1"/>
    </xf>
    <xf numFmtId="0" fontId="81" fillId="30" borderId="21" xfId="4" applyFont="1" applyFill="1" applyBorder="1" applyAlignment="1" applyProtection="1">
      <alignment horizontal="left" indent="1"/>
    </xf>
    <xf numFmtId="0" fontId="81" fillId="30" borderId="20" xfId="4" applyFont="1" applyFill="1" applyBorder="1" applyAlignment="1" applyProtection="1">
      <alignment horizontal="left" indent="1"/>
    </xf>
    <xf numFmtId="0" fontId="62" fillId="0" borderId="27" xfId="4" applyFont="1" applyFill="1" applyBorder="1" applyAlignment="1" applyProtection="1">
      <alignment horizontal="left" wrapText="1" indent="1"/>
    </xf>
    <xf numFmtId="0" fontId="62" fillId="0" borderId="22" xfId="4" applyFont="1" applyFill="1" applyBorder="1" applyAlignment="1" applyProtection="1">
      <alignment horizontal="left" wrapText="1" indent="1"/>
    </xf>
    <xf numFmtId="0" fontId="62" fillId="0" borderId="4" xfId="4" applyFont="1" applyFill="1" applyBorder="1" applyAlignment="1" applyProtection="1">
      <alignment horizontal="left" wrapText="1" indent="1"/>
    </xf>
    <xf numFmtId="0" fontId="62" fillId="38" borderId="27" xfId="4" applyFont="1" applyFill="1" applyBorder="1" applyAlignment="1" applyProtection="1">
      <alignment horizontal="left" wrapText="1" indent="1"/>
    </xf>
    <xf numFmtId="0" fontId="62" fillId="38" borderId="22" xfId="4" applyFont="1" applyFill="1" applyBorder="1" applyAlignment="1" applyProtection="1">
      <alignment horizontal="left" wrapText="1" indent="1"/>
    </xf>
    <xf numFmtId="0" fontId="62" fillId="38" borderId="4" xfId="4" applyFont="1" applyFill="1" applyBorder="1" applyAlignment="1" applyProtection="1">
      <alignment horizontal="left" wrapText="1" indent="1"/>
    </xf>
    <xf numFmtId="0" fontId="60" fillId="33" borderId="19" xfId="0" applyFont="1" applyFill="1" applyBorder="1" applyAlignment="1">
      <alignment horizontal="left" vertical="top" indent="1"/>
    </xf>
    <xf numFmtId="0" fontId="60" fillId="33" borderId="21" xfId="0" applyFont="1" applyFill="1" applyBorder="1" applyAlignment="1">
      <alignment horizontal="left" vertical="top" indent="1"/>
    </xf>
    <xf numFmtId="0" fontId="60" fillId="33" borderId="20" xfId="0" applyFont="1" applyFill="1" applyBorder="1" applyAlignment="1">
      <alignment horizontal="left" vertical="top" indent="1"/>
    </xf>
    <xf numFmtId="0" fontId="60" fillId="33" borderId="21" xfId="0" applyFont="1" applyFill="1" applyBorder="1" applyAlignment="1">
      <alignment horizontal="left"/>
    </xf>
    <xf numFmtId="0" fontId="60" fillId="33" borderId="20" xfId="0" applyFont="1" applyFill="1" applyBorder="1" applyAlignment="1">
      <alignment horizontal="left"/>
    </xf>
    <xf numFmtId="0" fontId="60" fillId="33" borderId="19" xfId="0" applyFont="1" applyFill="1" applyBorder="1" applyAlignment="1">
      <alignment horizontal="center"/>
    </xf>
    <xf numFmtId="0" fontId="60" fillId="33" borderId="20" xfId="0" applyFont="1" applyFill="1" applyBorder="1" applyAlignment="1">
      <alignment horizontal="center"/>
    </xf>
    <xf numFmtId="0" fontId="65" fillId="27" borderId="0" xfId="0" applyFont="1" applyFill="1" applyBorder="1" applyAlignment="1">
      <alignment horizontal="center" vertical="center" wrapText="1"/>
    </xf>
    <xf numFmtId="0" fontId="81" fillId="29" borderId="1" xfId="4" applyFont="1" applyFill="1" applyBorder="1" applyAlignment="1" applyProtection="1">
      <alignment horizontal="left" indent="1"/>
    </xf>
    <xf numFmtId="0" fontId="13" fillId="23" borderId="19" xfId="4" applyFont="1" applyFill="1" applyBorder="1" applyAlignment="1" applyProtection="1">
      <alignment horizontal="left" indent="1"/>
    </xf>
    <xf numFmtId="0" fontId="13" fillId="23" borderId="21" xfId="4" applyFont="1" applyFill="1" applyBorder="1" applyAlignment="1" applyProtection="1">
      <alignment horizontal="left" indent="1"/>
    </xf>
    <xf numFmtId="0" fontId="13" fillId="23" borderId="20" xfId="4" applyFont="1" applyFill="1" applyBorder="1" applyAlignment="1" applyProtection="1">
      <alignment horizontal="left" indent="1"/>
    </xf>
    <xf numFmtId="4" fontId="12" fillId="36" borderId="27" xfId="0" applyNumberFormat="1" applyFont="1" applyFill="1" applyBorder="1" applyAlignment="1">
      <alignment horizontal="center" wrapText="1"/>
    </xf>
    <xf numFmtId="4" fontId="12" fillId="36" borderId="22" xfId="0" applyNumberFormat="1" applyFont="1" applyFill="1" applyBorder="1" applyAlignment="1">
      <alignment horizontal="center" wrapText="1"/>
    </xf>
    <xf numFmtId="4" fontId="12" fillId="36" borderId="4" xfId="0" applyNumberFormat="1" applyFont="1" applyFill="1" applyBorder="1" applyAlignment="1">
      <alignment horizontal="center" wrapText="1"/>
    </xf>
    <xf numFmtId="0" fontId="62" fillId="36" borderId="27" xfId="3" applyNumberFormat="1" applyFont="1" applyFill="1" applyBorder="1" applyAlignment="1">
      <alignment horizontal="center" vertical="center" wrapText="1"/>
    </xf>
    <xf numFmtId="0" fontId="62" fillId="36" borderId="22" xfId="3" applyNumberFormat="1" applyFont="1" applyFill="1" applyBorder="1" applyAlignment="1">
      <alignment horizontal="center" vertical="center" wrapText="1"/>
    </xf>
    <xf numFmtId="0" fontId="62" fillId="36" borderId="4" xfId="3" applyNumberFormat="1" applyFont="1" applyFill="1" applyBorder="1" applyAlignment="1">
      <alignment horizontal="center" vertical="center" wrapText="1"/>
    </xf>
    <xf numFmtId="0" fontId="62" fillId="36" borderId="27" xfId="0" applyFont="1" applyFill="1" applyBorder="1" applyAlignment="1">
      <alignment horizontal="center" vertical="center" wrapText="1"/>
    </xf>
    <xf numFmtId="0" fontId="62" fillId="36" borderId="4" xfId="0" applyFont="1" applyFill="1" applyBorder="1" applyAlignment="1">
      <alignment horizontal="center" vertical="center" wrapText="1"/>
    </xf>
    <xf numFmtId="0" fontId="25" fillId="36" borderId="27" xfId="2" applyFont="1" applyFill="1" applyBorder="1" applyAlignment="1">
      <alignment horizontal="center" vertical="center" wrapText="1"/>
    </xf>
    <xf numFmtId="0" fontId="25" fillId="36" borderId="4" xfId="2" applyFont="1" applyFill="1" applyBorder="1" applyAlignment="1">
      <alignment horizontal="center" vertical="center" wrapText="1"/>
    </xf>
    <xf numFmtId="0" fontId="61" fillId="34" borderId="19" xfId="0" applyFont="1" applyFill="1" applyBorder="1" applyAlignment="1">
      <alignment horizontal="left" wrapText="1" indent="1"/>
    </xf>
    <xf numFmtId="0" fontId="61" fillId="34" borderId="20" xfId="0" applyFont="1" applyFill="1" applyBorder="1" applyAlignment="1">
      <alignment horizontal="left" wrapText="1" indent="1"/>
    </xf>
    <xf numFmtId="0" fontId="62" fillId="0" borderId="27" xfId="3" applyNumberFormat="1" applyFont="1" applyFill="1" applyBorder="1" applyAlignment="1">
      <alignment horizontal="center" vertical="center" wrapText="1"/>
    </xf>
    <xf numFmtId="0" fontId="62" fillId="0" borderId="4" xfId="3" applyNumberFormat="1" applyFont="1" applyFill="1" applyBorder="1" applyAlignment="1">
      <alignment horizontal="center" vertical="center" wrapText="1"/>
    </xf>
    <xf numFmtId="0" fontId="62" fillId="36" borderId="22" xfId="0" applyFont="1" applyFill="1" applyBorder="1" applyAlignment="1">
      <alignment horizontal="center" vertical="center" wrapText="1"/>
    </xf>
    <xf numFmtId="0" fontId="25" fillId="36" borderId="22" xfId="2" applyFont="1" applyFill="1" applyBorder="1" applyAlignment="1">
      <alignment horizontal="center" vertical="center" wrapText="1"/>
    </xf>
    <xf numFmtId="0" fontId="62" fillId="0" borderId="27" xfId="0" applyFont="1" applyFill="1" applyBorder="1" applyAlignment="1">
      <alignment horizontal="center" vertical="center" wrapText="1"/>
    </xf>
    <xf numFmtId="0" fontId="62" fillId="0" borderId="4" xfId="0" applyFont="1" applyFill="1" applyBorder="1" applyAlignment="1">
      <alignment horizontal="center" vertical="center" wrapText="1"/>
    </xf>
    <xf numFmtId="0" fontId="25" fillId="0" borderId="27" xfId="2" applyFont="1" applyFill="1" applyBorder="1" applyAlignment="1">
      <alignment horizontal="center" vertical="center" wrapText="1"/>
    </xf>
    <xf numFmtId="0" fontId="25" fillId="0" borderId="4" xfId="2" applyFont="1" applyFill="1" applyBorder="1" applyAlignment="1">
      <alignment horizontal="center" vertical="center" wrapText="1"/>
    </xf>
    <xf numFmtId="4" fontId="12" fillId="0" borderId="27" xfId="0" applyNumberFormat="1" applyFont="1" applyFill="1" applyBorder="1" applyAlignment="1">
      <alignment horizontal="center" wrapText="1"/>
    </xf>
    <xf numFmtId="4" fontId="12" fillId="0" borderId="4" xfId="0" applyNumberFormat="1" applyFont="1" applyFill="1" applyBorder="1" applyAlignment="1">
      <alignment horizontal="center" wrapText="1"/>
    </xf>
    <xf numFmtId="0" fontId="62" fillId="0" borderId="22" xfId="3" applyNumberFormat="1" applyFont="1" applyFill="1" applyBorder="1" applyAlignment="1">
      <alignment horizontal="center" vertical="center" wrapText="1"/>
    </xf>
    <xf numFmtId="0" fontId="62" fillId="0" borderId="22" xfId="0" applyFont="1" applyFill="1" applyBorder="1" applyAlignment="1">
      <alignment horizontal="center" vertical="center" wrapText="1"/>
    </xf>
    <xf numFmtId="0" fontId="25" fillId="0" borderId="22" xfId="2" applyFont="1" applyFill="1" applyBorder="1" applyAlignment="1">
      <alignment horizontal="center" vertical="center" wrapText="1"/>
    </xf>
    <xf numFmtId="4" fontId="12" fillId="0" borderId="22" xfId="0" applyNumberFormat="1" applyFont="1" applyFill="1" applyBorder="1" applyAlignment="1">
      <alignment horizontal="center" wrapText="1"/>
    </xf>
    <xf numFmtId="0" fontId="126" fillId="8" borderId="3" xfId="3" applyFont="1" applyFill="1" applyBorder="1" applyAlignment="1" applyProtection="1">
      <alignment horizontal="center" vertical="center" wrapText="1"/>
      <protection hidden="1"/>
    </xf>
    <xf numFmtId="0" fontId="126" fillId="8" borderId="0" xfId="3" applyFont="1" applyFill="1" applyBorder="1" applyAlignment="1" applyProtection="1">
      <alignment horizontal="center" vertical="center" wrapText="1"/>
      <protection hidden="1"/>
    </xf>
    <xf numFmtId="0" fontId="39" fillId="24" borderId="1" xfId="4" applyFont="1" applyFill="1" applyBorder="1" applyAlignment="1" applyProtection="1">
      <alignment horizontal="center"/>
    </xf>
    <xf numFmtId="7" fontId="39" fillId="22" borderId="1" xfId="4" applyNumberFormat="1" applyFont="1" applyFill="1" applyBorder="1" applyAlignment="1" applyProtection="1">
      <alignment horizontal="center" wrapText="1"/>
      <protection locked="0"/>
    </xf>
    <xf numFmtId="0" fontId="39" fillId="22" borderId="1" xfId="4" applyFont="1" applyFill="1" applyBorder="1" applyAlignment="1" applyProtection="1">
      <alignment horizontal="center" wrapText="1"/>
      <protection locked="0"/>
    </xf>
    <xf numFmtId="3" fontId="40" fillId="21" borderId="4" xfId="4" applyNumberFormat="1" applyFont="1" applyFill="1" applyBorder="1" applyAlignment="1" applyProtection="1">
      <alignment horizontal="left" vertical="center" indent="1"/>
    </xf>
    <xf numFmtId="3" fontId="40" fillId="21" borderId="1" xfId="4" applyNumberFormat="1" applyFont="1" applyFill="1" applyBorder="1" applyAlignment="1" applyProtection="1">
      <alignment horizontal="left" vertical="center" indent="1"/>
    </xf>
    <xf numFmtId="3" fontId="40" fillId="21" borderId="27" xfId="4" applyNumberFormat="1" applyFont="1" applyFill="1" applyBorder="1" applyAlignment="1" applyProtection="1">
      <alignment horizontal="left" vertical="center" indent="1"/>
    </xf>
    <xf numFmtId="0" fontId="15" fillId="7" borderId="0" xfId="3" applyFont="1" applyFill="1" applyBorder="1" applyAlignment="1" applyProtection="1">
      <alignment horizontal="left" vertical="center"/>
      <protection hidden="1"/>
    </xf>
    <xf numFmtId="0" fontId="7" fillId="7" borderId="0" xfId="4" applyFont="1" applyFill="1" applyBorder="1" applyAlignment="1" applyProtection="1">
      <alignment horizontal="left" indent="1"/>
      <protection locked="0"/>
    </xf>
    <xf numFmtId="0" fontId="36" fillId="7" borderId="0" xfId="4" applyFont="1" applyFill="1" applyBorder="1" applyAlignment="1" applyProtection="1">
      <alignment horizontal="left" indent="1"/>
      <protection locked="0"/>
    </xf>
    <xf numFmtId="0" fontId="8" fillId="7" borderId="0" xfId="4" applyFont="1" applyFill="1" applyBorder="1" applyAlignment="1" applyProtection="1">
      <alignment horizontal="left" indent="1"/>
      <protection locked="0"/>
    </xf>
    <xf numFmtId="0" fontId="127" fillId="7" borderId="0" xfId="4" applyFont="1" applyFill="1" applyAlignment="1" applyProtection="1">
      <alignment horizontal="left" vertical="center" indent="1"/>
    </xf>
    <xf numFmtId="0" fontId="22" fillId="7" borderId="0" xfId="2" applyFill="1" applyAlignment="1" applyProtection="1">
      <alignment horizontal="left" vertical="center" indent="1"/>
    </xf>
    <xf numFmtId="167" fontId="39" fillId="22" borderId="1" xfId="4" applyNumberFormat="1" applyFont="1" applyFill="1" applyBorder="1" applyAlignment="1" applyProtection="1">
      <alignment horizontal="center" wrapText="1"/>
      <protection locked="0"/>
    </xf>
    <xf numFmtId="0" fontId="39" fillId="22" borderId="1" xfId="4" applyFont="1" applyFill="1" applyBorder="1" applyAlignment="1" applyProtection="1">
      <alignment horizontal="center" vertical="center"/>
      <protection locked="0"/>
    </xf>
    <xf numFmtId="0" fontId="44" fillId="22" borderId="1" xfId="3" applyFont="1" applyFill="1" applyBorder="1" applyAlignment="1" applyProtection="1">
      <alignment horizontal="center"/>
      <protection locked="0"/>
    </xf>
    <xf numFmtId="0" fontId="44" fillId="22" borderId="1" xfId="0" applyFont="1" applyFill="1" applyBorder="1" applyAlignment="1">
      <alignment horizontal="center"/>
    </xf>
    <xf numFmtId="0" fontId="1" fillId="7" borderId="0" xfId="4" applyFont="1" applyFill="1" applyBorder="1" applyAlignment="1" applyProtection="1">
      <alignment horizontal="center"/>
      <protection locked="0"/>
    </xf>
    <xf numFmtId="0" fontId="56" fillId="22" borderId="19" xfId="4" applyFont="1" applyFill="1" applyBorder="1" applyAlignment="1" applyProtection="1">
      <alignment horizontal="center"/>
      <protection locked="0"/>
    </xf>
    <xf numFmtId="0" fontId="56" fillId="22" borderId="21" xfId="4" applyFont="1" applyFill="1" applyBorder="1" applyAlignment="1" applyProtection="1">
      <alignment horizontal="center"/>
      <protection locked="0"/>
    </xf>
    <xf numFmtId="0" fontId="56" fillId="22" borderId="20" xfId="4" applyFont="1" applyFill="1" applyBorder="1" applyAlignment="1" applyProtection="1">
      <alignment horizontal="center"/>
      <protection locked="0"/>
    </xf>
    <xf numFmtId="0" fontId="36" fillId="0" borderId="1" xfId="4" applyFont="1" applyBorder="1" applyAlignment="1" applyProtection="1">
      <alignment horizontal="left"/>
      <protection locked="0"/>
    </xf>
    <xf numFmtId="0" fontId="36" fillId="0" borderId="1" xfId="4" applyFont="1" applyBorder="1" applyAlignment="1" applyProtection="1">
      <alignment horizontal="left"/>
    </xf>
    <xf numFmtId="0" fontId="22" fillId="20" borderId="9" xfId="2" applyFill="1" applyBorder="1" applyAlignment="1">
      <alignment horizontal="left" vertical="top" indent="1"/>
    </xf>
    <xf numFmtId="0" fontId="39" fillId="22" borderId="19" xfId="4" applyFont="1" applyFill="1" applyBorder="1" applyAlignment="1" applyProtection="1">
      <alignment horizontal="center"/>
      <protection locked="0"/>
    </xf>
    <xf numFmtId="0" fontId="39" fillId="22" borderId="21" xfId="4" applyFont="1" applyFill="1" applyBorder="1" applyAlignment="1" applyProtection="1">
      <alignment horizontal="center"/>
      <protection locked="0"/>
    </xf>
    <xf numFmtId="0" fontId="39" fillId="22" borderId="20" xfId="4" applyFont="1" applyFill="1" applyBorder="1" applyAlignment="1" applyProtection="1">
      <alignment horizontal="center"/>
      <protection locked="0"/>
    </xf>
    <xf numFmtId="0" fontId="56" fillId="22" borderId="1" xfId="4" applyFont="1" applyFill="1" applyBorder="1" applyAlignment="1" applyProtection="1">
      <alignment horizontal="center"/>
      <protection locked="0"/>
    </xf>
    <xf numFmtId="0" fontId="13" fillId="22" borderId="1" xfId="4" applyFont="1" applyFill="1" applyBorder="1" applyAlignment="1" applyProtection="1">
      <alignment horizontal="center"/>
      <protection locked="0"/>
    </xf>
    <xf numFmtId="0" fontId="21" fillId="20" borderId="48" xfId="4" applyFont="1" applyFill="1" applyBorder="1" applyAlignment="1" applyProtection="1">
      <alignment horizontal="left" vertical="top" wrapText="1" indent="1"/>
      <protection locked="0"/>
    </xf>
    <xf numFmtId="0" fontId="21" fillId="20" borderId="28" xfId="4" applyFont="1" applyFill="1" applyBorder="1" applyAlignment="1" applyProtection="1">
      <alignment horizontal="left" vertical="top" wrapText="1" indent="1"/>
      <protection locked="0"/>
    </xf>
    <xf numFmtId="0" fontId="21" fillId="20" borderId="26" xfId="4" applyFont="1" applyFill="1" applyBorder="1" applyAlignment="1" applyProtection="1">
      <alignment horizontal="left" vertical="top" wrapText="1" indent="1"/>
      <protection locked="0"/>
    </xf>
    <xf numFmtId="0" fontId="21" fillId="20" borderId="6" xfId="4" applyFont="1" applyFill="1" applyBorder="1" applyAlignment="1" applyProtection="1">
      <alignment horizontal="left" vertical="top" wrapText="1" indent="1"/>
      <protection locked="0"/>
    </xf>
    <xf numFmtId="0" fontId="21" fillId="20" borderId="0" xfId="4" applyFont="1" applyFill="1" applyBorder="1" applyAlignment="1" applyProtection="1">
      <alignment horizontal="left" vertical="top" wrapText="1" indent="1"/>
      <protection locked="0"/>
    </xf>
    <xf numFmtId="0" fontId="21" fillId="20" borderId="7" xfId="4" applyFont="1" applyFill="1" applyBorder="1" applyAlignment="1" applyProtection="1">
      <alignment horizontal="left" vertical="top" wrapText="1" indent="1"/>
      <protection locked="0"/>
    </xf>
    <xf numFmtId="0" fontId="46" fillId="25" borderId="0" xfId="0" applyFont="1" applyFill="1" applyAlignment="1">
      <alignment horizontal="left" vertical="center" indent="1"/>
    </xf>
    <xf numFmtId="0" fontId="1" fillId="7" borderId="0" xfId="4" applyFont="1" applyFill="1" applyBorder="1" applyAlignment="1" applyProtection="1">
      <alignment horizontal="left" indent="1"/>
      <protection locked="0"/>
    </xf>
    <xf numFmtId="0" fontId="47" fillId="11" borderId="1" xfId="4" applyFont="1" applyFill="1" applyBorder="1" applyAlignment="1" applyProtection="1">
      <alignment horizontal="left" vertical="top" wrapText="1"/>
      <protection locked="0"/>
    </xf>
  </cellXfs>
  <cellStyles count="6">
    <cellStyle name="Currency 2" xfId="5" xr:uid="{00000000-0005-0000-0000-000000000000}"/>
    <cellStyle name="Heading 3" xfId="1" builtinId="18"/>
    <cellStyle name="Hyperlink" xfId="2" builtinId="8"/>
    <cellStyle name="Normal" xfId="0" builtinId="0"/>
    <cellStyle name="Normal 2" xfId="3" xr:uid="{00000000-0005-0000-0000-000004000000}"/>
    <cellStyle name="Normal 3" xfId="4" xr:uid="{00000000-0005-0000-0000-000005000000}"/>
  </cellStyles>
  <dxfs count="86">
    <dxf>
      <numFmt numFmtId="173" formatCode="[$$-409]#,##0"/>
    </dxf>
    <dxf>
      <numFmt numFmtId="174" formatCode="[$£-809]#,##0"/>
    </dxf>
    <dxf>
      <numFmt numFmtId="175" formatCode="&quot;₹&quot;\ #,##0"/>
    </dxf>
    <dxf>
      <numFmt numFmtId="176" formatCode="&quot;DKK&quot;\ #,##0"/>
    </dxf>
    <dxf>
      <numFmt numFmtId="177" formatCode="&quot;CA$&quot;\ #,##0"/>
    </dxf>
    <dxf>
      <numFmt numFmtId="178" formatCode="&quot;JP¥&quot;\ #,##0"/>
    </dxf>
    <dxf>
      <numFmt numFmtId="179" formatCode="\₩\ #,##0"/>
    </dxf>
    <dxf>
      <numFmt numFmtId="180" formatCode="&quot;NZ$&quot;\ #,##0"/>
    </dxf>
    <dxf>
      <numFmt numFmtId="181" formatCode="&quot;NOK&quot;\ #,##0"/>
    </dxf>
    <dxf>
      <numFmt numFmtId="182" formatCode="&quot;RUB&quot;\ #,##0"/>
    </dxf>
    <dxf>
      <numFmt numFmtId="183" formatCode="&quot;SAR&quot;\ #,##0"/>
    </dxf>
    <dxf>
      <numFmt numFmtId="184" formatCode="&quot;ZAR&quot;\ #,##0"/>
    </dxf>
    <dxf>
      <numFmt numFmtId="185" formatCode="&quot;SEK&quot;\ #,##0"/>
    </dxf>
    <dxf>
      <numFmt numFmtId="186" formatCode="&quot;TRY&quot;\ #,##0"/>
    </dxf>
    <dxf>
      <numFmt numFmtId="187" formatCode="&quot;HK$&quot;\ #,##0"/>
    </dxf>
    <dxf>
      <numFmt numFmtId="188" formatCode="&quot;NT$&quot;\ #,##0"/>
    </dxf>
    <dxf>
      <numFmt numFmtId="189" formatCode="\€\ #,##0"/>
    </dxf>
    <dxf>
      <numFmt numFmtId="190" formatCode="&quot;CHF&quot;\ #,##0"/>
    </dxf>
    <dxf>
      <numFmt numFmtId="191" formatCode="&quot;ARS&quot;\ #,##0"/>
    </dxf>
    <dxf>
      <numFmt numFmtId="192" formatCode="&quot;AU$&quot;\ #,##0"/>
    </dxf>
    <dxf>
      <numFmt numFmtId="193" formatCode="&quot;R$&quot;\ #,##0"/>
    </dxf>
    <dxf>
      <numFmt numFmtId="194" formatCode="&quot;MX$&quot;\ #,##0"/>
    </dxf>
    <dxf>
      <numFmt numFmtId="195" formatCode="&quot;MYR&quot;\ #,##0"/>
    </dxf>
    <dxf>
      <numFmt numFmtId="196" formatCode="&quot;IDR&quot;\ #,##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indent="0" justifyLastLine="0" shrinkToFit="0" readingOrder="0"/>
    </dxf>
    <dxf>
      <alignment horizontal="general" vertical="bottom" textRotation="0" wrapText="1" indent="1" justifyLastLine="0" shrinkToFit="0" readingOrder="0"/>
    </dxf>
    <dxf>
      <border outline="0">
        <top style="thin">
          <color auto="1"/>
        </top>
      </border>
    </dxf>
    <dxf>
      <alignment horizontal="left"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alignment horizontal="center" vertical="bottom" textRotation="0" indent="0" justifyLastLine="0" shrinkToFit="0" readingOrder="0"/>
    </dxf>
    <dxf>
      <alignment horizontal="general" vertical="bottom" textRotation="0" wrapText="1" indent="1" justifyLastLine="0" shrinkToFit="0" readingOrder="0"/>
    </dxf>
    <dxf>
      <border outline="0">
        <top style="thin">
          <color auto="1"/>
        </top>
      </border>
    </dxf>
    <dxf>
      <alignment horizontal="left" vertical="bottom" textRotation="0" wrapText="1" indent="0" justifyLastLine="0" shrinkToFit="0" readingOrder="0"/>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top style="thin">
          <color theme="1" tint="0.34998626667073579"/>
        </top>
      </border>
    </dxf>
    <dxf>
      <border diagonalUp="0" diagonalDown="0">
        <left style="thin">
          <color theme="1" tint="0.34998626667073579"/>
        </left>
        <right style="thin">
          <color theme="1" tint="0.34998626667073579"/>
        </right>
        <top style="thin">
          <color theme="1" tint="0.34998626667073579"/>
        </top>
        <bottom style="thin">
          <color theme="1" tint="0.34998626667073579"/>
        </bottom>
      </border>
    </dxf>
    <dxf>
      <alignment horizontal="general" vertical="bottom" textRotation="0" wrapText="1" indent="0" justifyLastLine="0" shrinkToFit="0" readingOrder="0"/>
    </dxf>
    <dxf>
      <numFmt numFmtId="173" formatCode="[$$-409]#,##0"/>
    </dxf>
    <dxf>
      <numFmt numFmtId="174" formatCode="[$£-809]#,##0"/>
    </dxf>
    <dxf>
      <numFmt numFmtId="175" formatCode="&quot;₹&quot;\ #,##0"/>
    </dxf>
    <dxf>
      <numFmt numFmtId="176" formatCode="&quot;DKK&quot;\ #,##0"/>
    </dxf>
    <dxf>
      <numFmt numFmtId="177" formatCode="&quot;CA$&quot;\ #,##0"/>
    </dxf>
    <dxf>
      <numFmt numFmtId="178" formatCode="&quot;JP¥&quot;\ #,##0"/>
    </dxf>
    <dxf>
      <numFmt numFmtId="179" formatCode="\₩\ #,##0"/>
    </dxf>
    <dxf>
      <numFmt numFmtId="180" formatCode="&quot;NZ$&quot;\ #,##0"/>
    </dxf>
    <dxf>
      <numFmt numFmtId="181" formatCode="&quot;NOK&quot;\ #,##0"/>
    </dxf>
    <dxf>
      <numFmt numFmtId="182" formatCode="&quot;RUB&quot;\ #,##0"/>
    </dxf>
    <dxf>
      <numFmt numFmtId="183" formatCode="&quot;SAR&quot;\ #,##0"/>
    </dxf>
    <dxf>
      <numFmt numFmtId="184" formatCode="&quot;ZAR&quot;\ #,##0"/>
    </dxf>
    <dxf>
      <numFmt numFmtId="185" formatCode="&quot;SEK&quot;\ #,##0"/>
    </dxf>
    <dxf>
      <numFmt numFmtId="186" formatCode="&quot;TRY&quot;\ #,##0"/>
    </dxf>
    <dxf>
      <numFmt numFmtId="187" formatCode="&quot;HK$&quot;\ #,##0"/>
    </dxf>
    <dxf>
      <numFmt numFmtId="188" formatCode="&quot;NT$&quot;\ #,##0"/>
    </dxf>
    <dxf>
      <numFmt numFmtId="189" formatCode="\€\ #,##0"/>
    </dxf>
    <dxf>
      <numFmt numFmtId="190" formatCode="&quot;CHF&quot;\ #,##0"/>
    </dxf>
    <dxf>
      <numFmt numFmtId="191" formatCode="&quot;ARS&quot;\ #,##0"/>
    </dxf>
    <dxf>
      <numFmt numFmtId="192" formatCode="&quot;AU$&quot;\ #,##0"/>
    </dxf>
    <dxf>
      <numFmt numFmtId="193" formatCode="&quot;R$&quot;\ #,##0"/>
    </dxf>
    <dxf>
      <numFmt numFmtId="194" formatCode="&quot;MX$&quot;\ #,##0"/>
    </dxf>
    <dxf>
      <numFmt numFmtId="195" formatCode="&quot;MYR&quot;\ #,##0"/>
    </dxf>
    <dxf>
      <numFmt numFmtId="197" formatCode="\A\U\$\ #,##0"/>
    </dxf>
  </dxfs>
  <tableStyles count="0" defaultTableStyle="TableStyleMedium2" defaultPivotStyle="PivotStyleLight16"/>
  <colors>
    <mruColors>
      <color rgb="FF757171"/>
      <color rgb="FFE7E6E6"/>
      <color rgb="FF262626"/>
      <color rgb="FF336699"/>
      <color rgb="FFEFF6EA"/>
      <color rgb="FF00B0F0"/>
      <color rgb="FF33CCCC"/>
      <color rgb="FF003399"/>
      <color rgb="FF349EFE"/>
      <color rgb="FF6DF9C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996727203748086"/>
          <c:y val="0.201291952678188"/>
          <c:w val="0.46757564808006735"/>
          <c:h val="0.65725244155982177"/>
        </c:manualLayout>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legend>
      <c:legendPos val="b"/>
      <c:layout>
        <c:manualLayout>
          <c:xMode val="edge"/>
          <c:yMode val="edge"/>
          <c:x val="4.3697205696897776E-4"/>
          <c:y val="0.8921465755928486"/>
          <c:w val="0.99337744059159627"/>
          <c:h val="0.107853424407151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152660874287266E-2"/>
          <c:y val="3.1741911082075441E-2"/>
          <c:w val="0.86317653181283371"/>
          <c:h val="0.66799791401620645"/>
        </c:manualLayout>
      </c:layout>
      <c:barChart>
        <c:barDir val="col"/>
        <c:grouping val="stacked"/>
        <c:varyColors val="0"/>
        <c:ser>
          <c:idx val="0"/>
          <c:order val="0"/>
          <c:tx>
            <c:v>Network Bandwidth</c:v>
          </c:tx>
          <c:spPr>
            <a:solidFill>
              <a:schemeClr val="accent1"/>
            </a:solidFill>
            <a:ln>
              <a:noFill/>
            </a:ln>
            <a:effectLst/>
          </c:spPr>
          <c:invertIfNegative val="0"/>
          <c:dPt>
            <c:idx val="0"/>
            <c:invertIfNegative val="0"/>
            <c:bubble3D val="0"/>
            <c:spPr>
              <a:solidFill>
                <a:srgbClr val="A6A6A6"/>
              </a:solidFill>
              <a:ln>
                <a:noFill/>
              </a:ln>
              <a:effectLst/>
            </c:spPr>
            <c:extLst>
              <c:ext xmlns:c16="http://schemas.microsoft.com/office/drawing/2014/chart" uri="{C3380CC4-5D6E-409C-BE32-E72D297353CC}">
                <c16:uniqueId val="{00000001-EC87-43D4-802A-B264247823AC}"/>
              </c:ext>
            </c:extLst>
          </c:dPt>
          <c:dPt>
            <c:idx val="1"/>
            <c:invertIfNegative val="0"/>
            <c:bubble3D val="0"/>
            <c:spPr>
              <a:solidFill>
                <a:srgbClr val="742FFF"/>
              </a:solidFill>
              <a:ln>
                <a:noFill/>
              </a:ln>
              <a:effectLst/>
            </c:spPr>
            <c:extLst>
              <c:ext xmlns:c16="http://schemas.microsoft.com/office/drawing/2014/chart" uri="{C3380CC4-5D6E-409C-BE32-E72D297353CC}">
                <c16:uniqueId val="{00000003-EC87-43D4-802A-B264247823AC}"/>
              </c:ext>
            </c:extLst>
          </c:dPt>
          <c:dPt>
            <c:idx val="2"/>
            <c:invertIfNegative val="0"/>
            <c:bubble3D val="0"/>
            <c:spPr>
              <a:solidFill>
                <a:srgbClr val="2B0082"/>
              </a:solidFill>
              <a:ln>
                <a:noFill/>
              </a:ln>
              <a:effectLst/>
            </c:spPr>
            <c:extLst>
              <c:ext xmlns:c16="http://schemas.microsoft.com/office/drawing/2014/chart" uri="{C3380CC4-5D6E-409C-BE32-E72D297353CC}">
                <c16:uniqueId val="{00000005-EC87-43D4-802A-B264247823AC}"/>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Data!$E$2:$G$2</c:f>
              <c:strCache>
                <c:ptCount val="3"/>
                <c:pt idx="0">
                  <c:v>Achieved Throughput</c:v>
                </c:pt>
                <c:pt idx="1">
                  <c:v>To meet RPO 90% of the time</c:v>
                </c:pt>
                <c:pt idx="2">
                  <c:v>To meet RPO 100% of the time</c:v>
                </c:pt>
              </c:strCache>
            </c:strRef>
          </c:cat>
          <c:val>
            <c:numRef>
              <c:f>Data!$E$3:$G$3</c:f>
              <c:numCache>
                <c:formatCode>General</c:formatCode>
                <c:ptCount val="3"/>
                <c:pt idx="0">
                  <c:v>200</c:v>
                </c:pt>
                <c:pt idx="1">
                  <c:v>756</c:v>
                </c:pt>
                <c:pt idx="2">
                  <c:v>959</c:v>
                </c:pt>
              </c:numCache>
            </c:numRef>
          </c:val>
          <c:extLst>
            <c:ext xmlns:c16="http://schemas.microsoft.com/office/drawing/2014/chart" uri="{C3380CC4-5D6E-409C-BE32-E72D297353CC}">
              <c16:uniqueId val="{00000006-EC87-43D4-802A-B264247823AC}"/>
            </c:ext>
          </c:extLst>
        </c:ser>
        <c:ser>
          <c:idx val="1"/>
          <c:order val="1"/>
          <c:tx>
            <c:v>PercentileRPO</c:v>
          </c:tx>
          <c:spPr>
            <a:solidFill>
              <a:schemeClr val="accent2"/>
            </a:solidFill>
            <a:ln>
              <a:noFill/>
            </a:ln>
            <a:effectLst/>
          </c:spPr>
          <c:invertIfNegative val="0"/>
          <c:cat>
            <c:strRef>
              <c:f>Data!$E$2:$G$2</c:f>
              <c:strCache>
                <c:ptCount val="3"/>
                <c:pt idx="0">
                  <c:v>Achieved Throughput</c:v>
                </c:pt>
                <c:pt idx="1">
                  <c:v>To meet RPO 90% of the time</c:v>
                </c:pt>
                <c:pt idx="2">
                  <c:v>To meet RPO 100% of the time</c:v>
                </c:pt>
              </c:strCache>
            </c:strRef>
          </c:cat>
          <c:val>
            <c:numRef>
              <c:f>Data!$E$2:$G$2</c:f>
              <c:numCache>
                <c:formatCode>0%</c:formatCode>
                <c:ptCount val="3"/>
                <c:pt idx="0" formatCode="General">
                  <c:v>0</c:v>
                </c:pt>
                <c:pt idx="1">
                  <c:v>0</c:v>
                </c:pt>
                <c:pt idx="2">
                  <c:v>0</c:v>
                </c:pt>
              </c:numCache>
            </c:numRef>
          </c:val>
          <c:extLst>
            <c:ext xmlns:c16="http://schemas.microsoft.com/office/drawing/2014/chart" uri="{C3380CC4-5D6E-409C-BE32-E72D297353CC}">
              <c16:uniqueId val="{00000007-EC87-43D4-802A-B264247823AC}"/>
            </c:ext>
          </c:extLst>
        </c:ser>
        <c:ser>
          <c:idx val="2"/>
          <c:order val="2"/>
          <c:tx>
            <c:v>Recommendation</c:v>
          </c:tx>
          <c:spPr>
            <a:solidFill>
              <a:schemeClr val="accent3"/>
            </a:solidFill>
            <a:ln>
              <a:noFill/>
            </a:ln>
            <a:effectLst/>
          </c:spPr>
          <c:invertIfNegative val="0"/>
          <c:cat>
            <c:strRef>
              <c:f>Data!$E$2:$G$2</c:f>
              <c:strCache>
                <c:ptCount val="3"/>
                <c:pt idx="0">
                  <c:v>Achieved Throughput</c:v>
                </c:pt>
                <c:pt idx="1">
                  <c:v>To meet RPO 90% of the time</c:v>
                </c:pt>
                <c:pt idx="2">
                  <c:v>To meet RPO 100% of the time</c:v>
                </c:pt>
              </c:strCache>
            </c:strRef>
          </c:cat>
          <c:val>
            <c:numRef>
              <c:f>Data!$E$4:$G$4</c:f>
              <c:numCache>
                <c:formatCode>General</c:formatCode>
                <c:ptCount val="3"/>
              </c:numCache>
            </c:numRef>
          </c:val>
          <c:extLst>
            <c:ext xmlns:c16="http://schemas.microsoft.com/office/drawing/2014/chart" uri="{C3380CC4-5D6E-409C-BE32-E72D297353CC}">
              <c16:uniqueId val="{00000008-EC87-43D4-802A-B264247823AC}"/>
            </c:ext>
          </c:extLst>
        </c:ser>
        <c:dLbls>
          <c:showLegendKey val="0"/>
          <c:showVal val="0"/>
          <c:showCatName val="0"/>
          <c:showSerName val="0"/>
          <c:showPercent val="0"/>
          <c:showBubbleSize val="0"/>
        </c:dLbls>
        <c:gapWidth val="64"/>
        <c:overlap val="100"/>
        <c:axId val="358385944"/>
        <c:axId val="358386336"/>
      </c:barChart>
      <c:catAx>
        <c:axId val="358385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386336"/>
        <c:crosses val="autoZero"/>
        <c:auto val="1"/>
        <c:lblAlgn val="ctr"/>
        <c:lblOffset val="100"/>
        <c:noMultiLvlLbl val="0"/>
      </c:catAx>
      <c:valAx>
        <c:axId val="358386336"/>
        <c:scaling>
          <c:orientation val="minMax"/>
        </c:scaling>
        <c:delete val="1"/>
        <c:axPos val="l"/>
        <c:numFmt formatCode="General" sourceLinked="1"/>
        <c:majorTickMark val="none"/>
        <c:minorTickMark val="none"/>
        <c:tickLblPos val="nextTo"/>
        <c:crossAx val="358385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spc="0" baseline="0">
                <a:solidFill>
                  <a:schemeClr val="tx1">
                    <a:lumMod val="85000"/>
                    <a:lumOff val="15000"/>
                  </a:schemeClr>
                </a:solidFill>
                <a:latin typeface="+mn-lt"/>
                <a:ea typeface="+mn-ea"/>
                <a:cs typeface="+mn-cs"/>
              </a:defRPr>
            </a:pPr>
            <a:r>
              <a:rPr lang="en-US" sz="1100" b="1" i="0" u="none" strike="noStrike" baseline="0"/>
              <a:t>RPO Violations over Profiling Period</a:t>
            </a:r>
            <a:endParaRPr lang="en-US" sz="1100" b="1" i="0" baseline="0">
              <a:solidFill>
                <a:schemeClr val="tx1">
                  <a:lumMod val="85000"/>
                  <a:lumOff val="15000"/>
                </a:schemeClr>
              </a:solidFill>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spc="0" baseline="0">
              <a:solidFill>
                <a:schemeClr val="tx1">
                  <a:lumMod val="85000"/>
                  <a:lumOff val="15000"/>
                </a:schemeClr>
              </a:solidFill>
              <a:latin typeface="+mn-lt"/>
              <a:ea typeface="+mn-ea"/>
              <a:cs typeface="+mn-cs"/>
            </a:defRPr>
          </a:pPr>
          <a:endParaRPr lang="en-US"/>
        </a:p>
      </c:txPr>
    </c:title>
    <c:autoTitleDeleted val="0"/>
    <c:plotArea>
      <c:layout>
        <c:manualLayout>
          <c:layoutTarget val="inner"/>
          <c:xMode val="edge"/>
          <c:yMode val="edge"/>
          <c:x val="0.11858398950131234"/>
          <c:y val="0.17171296296296296"/>
          <c:w val="0.82783136482939634"/>
          <c:h val="0.57051472732575093"/>
        </c:manualLayout>
      </c:layout>
      <c:barChart>
        <c:barDir val="col"/>
        <c:grouping val="clustered"/>
        <c:varyColors val="0"/>
        <c:ser>
          <c:idx val="0"/>
          <c:order val="0"/>
          <c:tx>
            <c:v>Peak RPO per day</c:v>
          </c:tx>
          <c:spPr>
            <a:solidFill>
              <a:srgbClr val="742FFF"/>
            </a:solidFill>
            <a:ln>
              <a:noFill/>
            </a:ln>
            <a:effectLst/>
          </c:spPr>
          <c:invertIfNegative val="0"/>
          <c:cat>
            <c:numRef>
              <c:f>[0]!ViolationsTime</c:f>
              <c:numCache>
                <c:formatCode>dd\-mmm\-yyyy</c:formatCode>
                <c:ptCount val="7"/>
                <c:pt idx="0">
                  <c:v>43054.563194444447</c:v>
                </c:pt>
                <c:pt idx="1">
                  <c:v>43054.945138888892</c:v>
                </c:pt>
                <c:pt idx="2">
                  <c:v>43055.09097222222</c:v>
                </c:pt>
                <c:pt idx="3">
                  <c:v>43055.13958333333</c:v>
                </c:pt>
                <c:pt idx="4">
                  <c:v>43055.396527777775</c:v>
                </c:pt>
                <c:pt idx="5">
                  <c:v>43055.563194444447</c:v>
                </c:pt>
              </c:numCache>
            </c:numRef>
          </c:cat>
          <c:val>
            <c:numRef>
              <c:f>[0]!ViolationsPlot_RPO_Input</c:f>
              <c:numCache>
                <c:formatCode>[h]:mm</c:formatCode>
                <c:ptCount val="6"/>
                <c:pt idx="0">
                  <c:v>0.10069444444444443</c:v>
                </c:pt>
                <c:pt idx="1">
                  <c:v>2.4305555555555556E-2</c:v>
                </c:pt>
                <c:pt idx="2">
                  <c:v>1.3888888888888888E-2</c:v>
                </c:pt>
                <c:pt idx="3">
                  <c:v>2.0833333333333332E-2</c:v>
                </c:pt>
                <c:pt idx="4">
                  <c:v>1.3888888888888888E-2</c:v>
                </c:pt>
                <c:pt idx="5">
                  <c:v>1.7361111111111112E-2</c:v>
                </c:pt>
              </c:numCache>
            </c:numRef>
          </c:val>
          <c:extLst>
            <c:ext xmlns:c16="http://schemas.microsoft.com/office/drawing/2014/chart" uri="{C3380CC4-5D6E-409C-BE32-E72D297353CC}">
              <c16:uniqueId val="{00000000-576F-475F-8526-90CA4245A323}"/>
            </c:ext>
          </c:extLst>
        </c:ser>
        <c:dLbls>
          <c:showLegendKey val="0"/>
          <c:showVal val="0"/>
          <c:showCatName val="0"/>
          <c:showSerName val="0"/>
          <c:showPercent val="0"/>
          <c:showBubbleSize val="0"/>
        </c:dLbls>
        <c:gapWidth val="150"/>
        <c:axId val="779499344"/>
        <c:axId val="779499016"/>
        <c:extLst/>
      </c:barChart>
      <c:dateAx>
        <c:axId val="779499344"/>
        <c:scaling>
          <c:orientation val="minMax"/>
        </c:scaling>
        <c:delete val="0"/>
        <c:axPos val="b"/>
        <c:majorGridlines>
          <c:spPr>
            <a:ln w="9525" cap="flat" cmpd="sng" algn="ctr">
              <a:solidFill>
                <a:schemeClr val="tx1">
                  <a:lumMod val="15000"/>
                  <a:lumOff val="85000"/>
                </a:schemeClr>
              </a:solidFill>
              <a:round/>
            </a:ln>
            <a:effectLst/>
          </c:spPr>
        </c:majorGridlines>
        <c:numFmt formatCode="dd\-mmm\-yyyy" sourceLinked="1"/>
        <c:majorTickMark val="none"/>
        <c:minorTickMark val="none"/>
        <c:tickLblPos val="nextTo"/>
        <c:spPr>
          <a:noFill/>
          <a:ln w="9525" cap="flat" cmpd="sng" algn="ctr">
            <a:solidFill>
              <a:schemeClr val="tx1">
                <a:lumMod val="25000"/>
                <a:lumOff val="75000"/>
              </a:schemeClr>
            </a:solidFill>
            <a:round/>
          </a:ln>
          <a:effectLst/>
        </c:spPr>
        <c:txPr>
          <a:bodyPr rot="-2460000" spcFirstLastPara="1" vertOverflow="ellipsis" wrap="square" anchor="ctr"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779499016"/>
        <c:crosses val="autoZero"/>
        <c:auto val="1"/>
        <c:lblOffset val="100"/>
        <c:baseTimeUnit val="days"/>
      </c:dateAx>
      <c:valAx>
        <c:axId val="779499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1100" b="1" i="0" u="none" strike="noStrike" kern="1200" baseline="0">
                    <a:solidFill>
                      <a:srgbClr val="44546A"/>
                    </a:solidFill>
                    <a:latin typeface="+mn-lt"/>
                    <a:ea typeface="+mn-ea"/>
                    <a:cs typeface="+mn-cs"/>
                  </a:defRPr>
                </a:pPr>
                <a:r>
                  <a:rPr lang="en-US" sz="1100" b="1" i="0" u="none" strike="noStrike" kern="1200" baseline="0">
                    <a:solidFill>
                      <a:srgbClr val="44546A"/>
                    </a:solidFill>
                    <a:latin typeface="+mn-lt"/>
                    <a:ea typeface="+mn-ea"/>
                    <a:cs typeface="+mn-cs"/>
                  </a:rPr>
                  <a:t>RPO in HH:MM</a:t>
                </a:r>
              </a:p>
            </c:rich>
          </c:tx>
          <c:layout>
            <c:manualLayout>
              <c:xMode val="edge"/>
              <c:yMode val="edge"/>
              <c:x val="2.1630074296063336E-2"/>
              <c:y val="0.2509600451047142"/>
            </c:manualLayout>
          </c:layout>
          <c:overlay val="0"/>
          <c:spPr>
            <a:noFill/>
            <a:ln>
              <a:noFill/>
            </a:ln>
            <a:effectLst/>
          </c:spPr>
          <c:txPr>
            <a:bodyPr rot="-5400000" spcFirstLastPara="1" vertOverflow="ellipsis" vert="horz" wrap="square" anchor="ctr" anchorCtr="1"/>
            <a:lstStyle/>
            <a:p>
              <a:pPr algn="ctr" rtl="0">
                <a:defRPr lang="en-US" sz="1100" b="1" i="0" u="none" strike="noStrike" kern="1200" baseline="0">
                  <a:solidFill>
                    <a:srgbClr val="44546A"/>
                  </a:solidFill>
                  <a:latin typeface="+mn-lt"/>
                  <a:ea typeface="+mn-ea"/>
                  <a:cs typeface="+mn-cs"/>
                </a:defRPr>
              </a:pPr>
              <a:endParaRPr lang="en-US"/>
            </a:p>
          </c:txPr>
        </c:title>
        <c:numFmt formatCode="[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499344"/>
        <c:crosses val="autoZero"/>
        <c:crossBetween val="between"/>
      </c:valAx>
      <c:spPr>
        <a:noFill/>
        <a:ln>
          <a:noFill/>
        </a:ln>
        <a:effectLst/>
      </c:spPr>
    </c:plotArea>
    <c:legend>
      <c:legendPos val="r"/>
      <c:layout>
        <c:manualLayout>
          <c:xMode val="edge"/>
          <c:yMode val="edge"/>
          <c:x val="0.72536351300378454"/>
          <c:y val="8.5176557743999824E-3"/>
          <c:w val="0.25654267685925508"/>
          <c:h val="0.1462030722353454"/>
        </c:manualLayout>
      </c:layout>
      <c:overlay val="1"/>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70282738360874"/>
          <c:y val="0.20027564662477512"/>
          <c:w val="0.54594310231314203"/>
          <c:h val="0.63545061664015856"/>
        </c:manualLayout>
      </c:layout>
      <c:doughnutChart>
        <c:varyColors val="1"/>
        <c:ser>
          <c:idx val="0"/>
          <c:order val="0"/>
          <c:tx>
            <c:v>"NoOfAzureStorage"</c:v>
          </c:tx>
          <c:dPt>
            <c:idx val="0"/>
            <c:bubble3D val="0"/>
            <c:spPr>
              <a:solidFill>
                <a:srgbClr val="003399"/>
              </a:solidFill>
              <a:ln w="19050">
                <a:solidFill>
                  <a:schemeClr val="lt1"/>
                </a:solidFill>
              </a:ln>
              <a:effectLst/>
            </c:spPr>
            <c:extLst>
              <c:ext xmlns:c16="http://schemas.microsoft.com/office/drawing/2014/chart" uri="{C3380CC4-5D6E-409C-BE32-E72D297353CC}">
                <c16:uniqueId val="{00000001-A67F-4E14-9300-DACE3ACD62A9}"/>
              </c:ext>
            </c:extLst>
          </c:dPt>
          <c:dPt>
            <c:idx val="1"/>
            <c:bubble3D val="0"/>
            <c:spPr>
              <a:solidFill>
                <a:srgbClr val="33CCCC"/>
              </a:solidFill>
              <a:ln w="19050">
                <a:solidFill>
                  <a:schemeClr val="lt1"/>
                </a:solidFill>
              </a:ln>
              <a:effectLst/>
            </c:spPr>
            <c:extLst>
              <c:ext xmlns:c16="http://schemas.microsoft.com/office/drawing/2014/chart" uri="{C3380CC4-5D6E-409C-BE32-E72D297353CC}">
                <c16:uniqueId val="{00000003-A67F-4E14-9300-DACE3ACD62A9}"/>
              </c:ext>
            </c:extLst>
          </c:dPt>
          <c:dLbls>
            <c:dLbl>
              <c:idx val="0"/>
              <c:tx>
                <c:rich>
                  <a:bodyPr/>
                  <a:lstStyle/>
                  <a:p>
                    <a:fld id="{7B149D6C-5524-47F0-B7A0-026C1FE47689}" type="VALUE">
                      <a:rPr lang="en-US"/>
                      <a:pPr/>
                      <a:t>[VALUE]</a:t>
                    </a:fld>
                    <a:r>
                      <a:rPr lang="en-US"/>
                      <a:t> </a:t>
                    </a:r>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1-A67F-4E14-9300-DACE3ACD62A9}"/>
                </c:ext>
              </c:extLst>
            </c:dLbl>
            <c:dLbl>
              <c:idx val="1"/>
              <c:tx>
                <c:rich>
                  <a:bodyPr/>
                  <a:lstStyle/>
                  <a:p>
                    <a:fld id="{8070DFFC-3908-41F5-9D05-A5E69BA0F850}" type="VALUE">
                      <a:rPr lang="en-US"/>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A67F-4E14-9300-DACE3ACD62A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Data!$A$16:$A$17</c:f>
              <c:strCache>
                <c:ptCount val="2"/>
                <c:pt idx="0">
                  <c:v>Standard </c:v>
                </c:pt>
                <c:pt idx="1">
                  <c:v>Premium</c:v>
                </c:pt>
              </c:strCache>
            </c:strRef>
          </c:cat>
          <c:val>
            <c:numRef>
              <c:f>Data!$B$16:$B$17</c:f>
              <c:numCache>
                <c:formatCode>General</c:formatCode>
                <c:ptCount val="2"/>
                <c:pt idx="0">
                  <c:v>2</c:v>
                </c:pt>
                <c:pt idx="1">
                  <c:v>1</c:v>
                </c:pt>
              </c:numCache>
            </c:numRef>
          </c:val>
          <c:extLst>
            <c:ext xmlns:c16="http://schemas.microsoft.com/office/drawing/2014/chart" uri="{C3380CC4-5D6E-409C-BE32-E72D297353CC}">
              <c16:uniqueId val="{00000004-A67F-4E14-9300-DACE3ACD62A9}"/>
            </c:ext>
          </c:extLst>
        </c:ser>
        <c:dLbls>
          <c:showLegendKey val="0"/>
          <c:showVal val="0"/>
          <c:showCatName val="0"/>
          <c:showSerName val="0"/>
          <c:showPercent val="0"/>
          <c:showBubbleSize val="0"/>
          <c:showLeaderLines val="1"/>
        </c:dLbls>
        <c:firstSliceAng val="0"/>
        <c:holeSize val="38"/>
      </c:doughnutChart>
      <c:spPr>
        <a:noFill/>
        <a:ln>
          <a:noFill/>
        </a:ln>
        <a:effectLst/>
      </c:spPr>
    </c:plotArea>
    <c:legend>
      <c:legendPos val="b"/>
      <c:layout>
        <c:manualLayout>
          <c:xMode val="edge"/>
          <c:yMode val="edge"/>
          <c:x val="0.17486943577283068"/>
          <c:y val="0.85122741376163535"/>
          <c:w val="0.62225579518828522"/>
          <c:h val="0.1121911027503074"/>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996727203748086"/>
          <c:y val="0.201291952678188"/>
          <c:w val="0.46757564808006735"/>
          <c:h val="0.65725244155982177"/>
        </c:manualLayout>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legend>
      <c:legendPos val="b"/>
      <c:layout>
        <c:manualLayout>
          <c:xMode val="edge"/>
          <c:yMode val="edge"/>
          <c:x val="4.3697205696897776E-4"/>
          <c:y val="0.8921465755928486"/>
          <c:w val="0.99337744059159627"/>
          <c:h val="0.107853424407151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85000"/>
                    <a:lumOff val="15000"/>
                  </a:schemeClr>
                </a:solidFill>
                <a:latin typeface="+mn-lt"/>
                <a:ea typeface="+mn-ea"/>
                <a:cs typeface="+mn-cs"/>
              </a:defRPr>
            </a:pPr>
            <a:r>
              <a:rPr lang="en-US" sz="1100" b="1" i="0" u="none" strike="noStrike" baseline="0"/>
              <a:t>Bandwidth Distribution for Initial Replication and Delta Replication by Each Batch</a:t>
            </a:r>
            <a:endParaRPr lang="en-US" sz="1100">
              <a:solidFill>
                <a:schemeClr val="tx1">
                  <a:lumMod val="85000"/>
                  <a:lumOff val="15000"/>
                </a:schemeClr>
              </a:solidFill>
              <a:effectLst/>
            </a:endParaRP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85000"/>
                  <a:lumOff val="15000"/>
                </a:schemeClr>
              </a:solidFill>
              <a:latin typeface="+mn-lt"/>
              <a:ea typeface="+mn-ea"/>
              <a:cs typeface="+mn-cs"/>
            </a:defRPr>
          </a:pPr>
          <a:endParaRPr lang="en-US"/>
        </a:p>
      </c:txPr>
    </c:title>
    <c:autoTitleDeleted val="0"/>
    <c:plotArea>
      <c:layout>
        <c:manualLayout>
          <c:layoutTarget val="inner"/>
          <c:xMode val="edge"/>
          <c:yMode val="edge"/>
          <c:x val="0.10168220487177643"/>
          <c:y val="0.17479085456019622"/>
          <c:w val="0.87636875147492233"/>
          <c:h val="0.46584089010697005"/>
        </c:manualLayout>
      </c:layout>
      <c:barChart>
        <c:barDir val="col"/>
        <c:grouping val="stacked"/>
        <c:varyColors val="0"/>
        <c:ser>
          <c:idx val="0"/>
          <c:order val="0"/>
          <c:tx>
            <c:v>Available bandwidth for initial replication</c:v>
          </c:tx>
          <c:spPr>
            <a:solidFill>
              <a:schemeClr val="accent1"/>
            </a:solidFill>
            <a:ln>
              <a:noFill/>
            </a:ln>
            <a:effectLst/>
          </c:spPr>
          <c:invertIfNegative val="0"/>
          <c:cat>
            <c:strRef>
              <c:f>[0]!NumberOfBatchesForIR_H2A</c:f>
              <c:strCach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DR Bandwidth</c:v>
                </c:pt>
              </c:strCache>
            </c:strRef>
          </c:cat>
          <c:val>
            <c:numRef>
              <c:f>[0]!IRForEachBatch_H2A</c:f>
              <c:numCache>
                <c:formatCode>General</c:formatCode>
                <c:ptCount val="20"/>
                <c:pt idx="0">
                  <c:v>959</c:v>
                </c:pt>
                <c:pt idx="1">
                  <c:v>642.30999999999995</c:v>
                </c:pt>
                <c:pt idx="2">
                  <c:v>627.25</c:v>
                </c:pt>
                <c:pt idx="3">
                  <c:v>583</c:v>
                </c:pt>
                <c:pt idx="4">
                  <c:v>258.95999999999998</c:v>
                </c:pt>
                <c:pt idx="5">
                  <c:v>254.02</c:v>
                </c:pt>
                <c:pt idx="6">
                  <c:v>254.02</c:v>
                </c:pt>
                <c:pt idx="7">
                  <c:v>254.02</c:v>
                </c:pt>
                <c:pt idx="8">
                  <c:v>232.21</c:v>
                </c:pt>
                <c:pt idx="9">
                  <c:v>226.9</c:v>
                </c:pt>
                <c:pt idx="10">
                  <c:v>226.9</c:v>
                </c:pt>
                <c:pt idx="11">
                  <c:v>226.9</c:v>
                </c:pt>
                <c:pt idx="12">
                  <c:v>60.15</c:v>
                </c:pt>
                <c:pt idx="13">
                  <c:v>54.85</c:v>
                </c:pt>
                <c:pt idx="14">
                  <c:v>54.85</c:v>
                </c:pt>
                <c:pt idx="15">
                  <c:v>54.85</c:v>
                </c:pt>
                <c:pt idx="16">
                  <c:v>54.85</c:v>
                </c:pt>
                <c:pt idx="17">
                  <c:v>54.85</c:v>
                </c:pt>
                <c:pt idx="18">
                  <c:v>54.85</c:v>
                </c:pt>
                <c:pt idx="19">
                  <c:v>0</c:v>
                </c:pt>
              </c:numCache>
            </c:numRef>
          </c:val>
          <c:extLst>
            <c:ext xmlns:c16="http://schemas.microsoft.com/office/drawing/2014/chart" uri="{C3380CC4-5D6E-409C-BE32-E72D297353CC}">
              <c16:uniqueId val="{00000001-58CD-4587-97F1-265D69BCAFD9}"/>
            </c:ext>
          </c:extLst>
        </c:ser>
        <c:ser>
          <c:idx val="1"/>
          <c:order val="1"/>
          <c:tx>
            <c:v>Bandwidth required for delta replication</c:v>
          </c:tx>
          <c:spPr>
            <a:solidFill>
              <a:schemeClr val="accent2"/>
            </a:solidFill>
            <a:ln>
              <a:noFill/>
            </a:ln>
            <a:effectLst/>
          </c:spPr>
          <c:invertIfNegative val="0"/>
          <c:cat>
            <c:strRef>
              <c:f>[0]!NumberOfBatchesForIR_H2A</c:f>
              <c:strCach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DR Bandwidth</c:v>
                </c:pt>
              </c:strCache>
            </c:strRef>
          </c:cat>
          <c:val>
            <c:numRef>
              <c:f>[0]!DRBandwidthRequiredInEachBatch_H2A</c:f>
              <c:numCache>
                <c:formatCode>General</c:formatCode>
                <c:ptCount val="20"/>
                <c:pt idx="0">
                  <c:v>0</c:v>
                </c:pt>
                <c:pt idx="1">
                  <c:v>316.69</c:v>
                </c:pt>
                <c:pt idx="2">
                  <c:v>331.75</c:v>
                </c:pt>
                <c:pt idx="3">
                  <c:v>376</c:v>
                </c:pt>
                <c:pt idx="4">
                  <c:v>700.04</c:v>
                </c:pt>
                <c:pt idx="5">
                  <c:v>704.98</c:v>
                </c:pt>
                <c:pt idx="6">
                  <c:v>704.98</c:v>
                </c:pt>
                <c:pt idx="7">
                  <c:v>704.98</c:v>
                </c:pt>
                <c:pt idx="8">
                  <c:v>726.79</c:v>
                </c:pt>
                <c:pt idx="9">
                  <c:v>732.1</c:v>
                </c:pt>
                <c:pt idx="10">
                  <c:v>732.1</c:v>
                </c:pt>
                <c:pt idx="11">
                  <c:v>732.1</c:v>
                </c:pt>
                <c:pt idx="12">
                  <c:v>898.85</c:v>
                </c:pt>
                <c:pt idx="13">
                  <c:v>904.15</c:v>
                </c:pt>
                <c:pt idx="14">
                  <c:v>904.15</c:v>
                </c:pt>
                <c:pt idx="15">
                  <c:v>904.15</c:v>
                </c:pt>
                <c:pt idx="16">
                  <c:v>904.15</c:v>
                </c:pt>
                <c:pt idx="17">
                  <c:v>904.15</c:v>
                </c:pt>
                <c:pt idx="18">
                  <c:v>904.15</c:v>
                </c:pt>
                <c:pt idx="19">
                  <c:v>958.61</c:v>
                </c:pt>
              </c:numCache>
            </c:numRef>
          </c:val>
          <c:extLst>
            <c:ext xmlns:c16="http://schemas.microsoft.com/office/drawing/2014/chart" uri="{C3380CC4-5D6E-409C-BE32-E72D297353CC}">
              <c16:uniqueId val="{00000000-C9F6-441C-9E2A-777E17A52D10}"/>
            </c:ext>
          </c:extLst>
        </c:ser>
        <c:dLbls>
          <c:showLegendKey val="0"/>
          <c:showVal val="0"/>
          <c:showCatName val="0"/>
          <c:showSerName val="0"/>
          <c:showPercent val="0"/>
          <c:showBubbleSize val="0"/>
        </c:dLbls>
        <c:gapWidth val="150"/>
        <c:overlap val="100"/>
        <c:axId val="737614344"/>
        <c:axId val="737613360"/>
      </c:barChart>
      <c:catAx>
        <c:axId val="737614344"/>
        <c:scaling>
          <c:orientation val="minMax"/>
        </c:scaling>
        <c:delete val="0"/>
        <c:axPos val="b"/>
        <c:title>
          <c:tx>
            <c:rich>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Batch</a:t>
                </a:r>
              </a:p>
            </c:rich>
          </c:tx>
          <c:layout>
            <c:manualLayout>
              <c:xMode val="edge"/>
              <c:yMode val="edge"/>
              <c:x val="0.49773042480463081"/>
              <c:y val="0.74899849302010479"/>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62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613360"/>
        <c:crosses val="autoZero"/>
        <c:auto val="1"/>
        <c:lblAlgn val="ctr"/>
        <c:lblOffset val="100"/>
        <c:noMultiLvlLbl val="0"/>
      </c:catAx>
      <c:valAx>
        <c:axId val="737613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Bandwidth</a:t>
                </a:r>
                <a:r>
                  <a:rPr lang="en-US" sz="1100" b="1" baseline="0"/>
                  <a:t> (Mbps)</a:t>
                </a:r>
                <a:endParaRPr lang="en-US" sz="1100" b="1"/>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614344"/>
        <c:crosses val="autoZero"/>
        <c:crossBetween val="between"/>
      </c:valAx>
      <c:spPr>
        <a:noFill/>
        <a:ln>
          <a:noFill/>
        </a:ln>
        <a:effectLst/>
      </c:spPr>
    </c:plotArea>
    <c:legend>
      <c:legendPos val="b"/>
      <c:layout>
        <c:manualLayout>
          <c:xMode val="edge"/>
          <c:yMode val="edge"/>
          <c:x val="0.11247772677745761"/>
          <c:y val="0.8832437571443108"/>
          <c:w val="0.77160659594247749"/>
          <c:h val="7.70620112698076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02336368622729"/>
          <c:y val="0.2165006564273273"/>
          <c:w val="0.75435509475731333"/>
          <c:h val="0.55842799061735948"/>
        </c:manualLayout>
      </c:layout>
      <c:barChart>
        <c:barDir val="col"/>
        <c:grouping val="stacked"/>
        <c:varyColors val="0"/>
        <c:ser>
          <c:idx val="0"/>
          <c:order val="0"/>
          <c:tx>
            <c:strRef>
              <c:f>'Cost Estimation'!$B$14</c:f>
              <c:strCache>
                <c:ptCount val="1"/>
                <c:pt idx="0">
                  <c:v>Replication</c:v>
                </c:pt>
              </c:strCache>
            </c:strRef>
          </c:tx>
          <c:spPr>
            <a:solidFill>
              <a:srgbClr val="3399FF"/>
            </a:solidFill>
            <a:ln w="6350">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Estimation'!$A$15:$A$16</c:f>
              <c:strCache>
                <c:ptCount val="2"/>
                <c:pt idx="0">
                  <c:v>Premium</c:v>
                </c:pt>
                <c:pt idx="1">
                  <c:v>Standard </c:v>
                </c:pt>
              </c:strCache>
            </c:strRef>
          </c:cat>
          <c:val>
            <c:numRef>
              <c:f>[0]!PremiumCost</c:f>
              <c:numCache>
                <c:formatCode>#,##0</c:formatCode>
                <c:ptCount val="2"/>
                <c:pt idx="0">
                  <c:v>33877.199999999997</c:v>
                </c:pt>
                <c:pt idx="1">
                  <c:v>42495.6</c:v>
                </c:pt>
              </c:numCache>
            </c:numRef>
          </c:val>
          <c:extLst>
            <c:ext xmlns:c16="http://schemas.microsoft.com/office/drawing/2014/chart" uri="{C3380CC4-5D6E-409C-BE32-E72D297353CC}">
              <c16:uniqueId val="{00000000-E90C-48B0-B087-271B020D4F00}"/>
            </c:ext>
          </c:extLst>
        </c:ser>
        <c:ser>
          <c:idx val="1"/>
          <c:order val="1"/>
          <c:tx>
            <c:strRef>
              <c:f>'Cost Estimation'!$C$14</c:f>
              <c:strCache>
                <c:ptCount val="1"/>
                <c:pt idx="0">
                  <c:v>DR-Drill</c:v>
                </c:pt>
              </c:strCache>
            </c:strRef>
          </c:tx>
          <c:spPr>
            <a:solidFill>
              <a:srgbClr val="009999"/>
            </a:solidFill>
            <a:ln w="6350">
              <a:solidFill>
                <a:schemeClr val="bg1"/>
              </a:solidFill>
            </a:ln>
            <a:effectLst/>
          </c:spPr>
          <c:invertIfNegative val="0"/>
          <c:dLbls>
            <c:dLbl>
              <c:idx val="1"/>
              <c:layout>
                <c:manualLayout>
                  <c:x val="0"/>
                  <c:y val="-5.329190204482183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90C-48B0-B087-271B020D4F0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Estimation'!$A$15:$A$16</c:f>
              <c:strCache>
                <c:ptCount val="2"/>
                <c:pt idx="0">
                  <c:v>Premium</c:v>
                </c:pt>
                <c:pt idx="1">
                  <c:v>Standard </c:v>
                </c:pt>
              </c:strCache>
            </c:strRef>
          </c:cat>
          <c:val>
            <c:numRef>
              <c:f>[0]!StandardCost</c:f>
              <c:numCache>
                <c:formatCode>#,##0</c:formatCode>
                <c:ptCount val="2"/>
                <c:pt idx="0">
                  <c:v>3645.99</c:v>
                </c:pt>
                <c:pt idx="1">
                  <c:v>3364.97</c:v>
                </c:pt>
              </c:numCache>
            </c:numRef>
          </c:val>
          <c:extLst>
            <c:ext xmlns:c16="http://schemas.microsoft.com/office/drawing/2014/chart" uri="{C3380CC4-5D6E-409C-BE32-E72D297353CC}">
              <c16:uniqueId val="{00000002-E90C-48B0-B087-271B020D4F00}"/>
            </c:ext>
          </c:extLst>
        </c:ser>
        <c:dLbls>
          <c:dLblPos val="ctr"/>
          <c:showLegendKey val="0"/>
          <c:showVal val="1"/>
          <c:showCatName val="0"/>
          <c:showSerName val="0"/>
          <c:showPercent val="0"/>
          <c:showBubbleSize val="0"/>
        </c:dLbls>
        <c:gapWidth val="150"/>
        <c:overlap val="100"/>
        <c:axId val="190516112"/>
        <c:axId val="190518408"/>
      </c:barChart>
      <c:catAx>
        <c:axId val="19051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18408"/>
        <c:crosses val="autoZero"/>
        <c:auto val="1"/>
        <c:lblAlgn val="ctr"/>
        <c:lblOffset val="100"/>
        <c:noMultiLvlLbl val="0"/>
      </c:catAx>
      <c:valAx>
        <c:axId val="190518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p>
            </c:rich>
          </c:tx>
          <c:layout>
            <c:manualLayout>
              <c:xMode val="edge"/>
              <c:yMode val="edge"/>
              <c:x val="1.2142857370507262E-2"/>
              <c:y val="0.4369095921199271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0516112"/>
        <c:crosses val="autoZero"/>
        <c:crossBetween val="between"/>
      </c:valAx>
      <c:spPr>
        <a:noFill/>
        <a:ln>
          <a:solidFill>
            <a:schemeClr val="bg1"/>
          </a:solidFill>
        </a:ln>
        <a:effectLst/>
      </c:spPr>
    </c:plotArea>
    <c:legend>
      <c:legendPos val="b"/>
      <c:layout>
        <c:manualLayout>
          <c:xMode val="edge"/>
          <c:yMode val="edge"/>
          <c:x val="0.27274769915162539"/>
          <c:y val="0.90696789731624816"/>
          <c:w val="0.47878999772759651"/>
          <c:h val="7.3531494825237312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r>
              <a:rPr lang="en-US" sz="1000" b="1">
                <a:solidFill>
                  <a:schemeClr val="tx1">
                    <a:lumMod val="75000"/>
                    <a:lumOff val="25000"/>
                  </a:schemeClr>
                </a:solidFill>
              </a:rPr>
              <a:t>Cost</a:t>
            </a:r>
            <a:r>
              <a:rPr lang="en-US" sz="1000" b="1" baseline="0">
                <a:solidFill>
                  <a:schemeClr val="tx1">
                    <a:lumMod val="75000"/>
                    <a:lumOff val="25000"/>
                  </a:schemeClr>
                </a:solidFill>
              </a:rPr>
              <a:t> b</a:t>
            </a:r>
            <a:r>
              <a:rPr lang="en-US" sz="1000" b="1">
                <a:solidFill>
                  <a:schemeClr val="tx1">
                    <a:lumMod val="75000"/>
                    <a:lumOff val="25000"/>
                  </a:schemeClr>
                </a:solidFill>
              </a:rPr>
              <a:t>y states</a:t>
            </a:r>
          </a:p>
        </c:rich>
      </c:tx>
      <c:layout>
        <c:manualLayout>
          <c:xMode val="edge"/>
          <c:yMode val="edge"/>
          <c:x val="0.380212695746174"/>
          <c:y val="1.9386550516974681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manualLayout>
          <c:layoutTarget val="inner"/>
          <c:xMode val="edge"/>
          <c:yMode val="edge"/>
          <c:x val="0.29996727203748086"/>
          <c:y val="0.201291952678188"/>
          <c:w val="0.42844687187434671"/>
          <c:h val="0.63373654265175672"/>
        </c:manualLayout>
      </c:layout>
      <c:doughnutChart>
        <c:varyColors val="1"/>
        <c:ser>
          <c:idx val="0"/>
          <c:order val="0"/>
          <c:tx>
            <c:v>TotalCostByStats</c:v>
          </c:tx>
          <c:dPt>
            <c:idx val="0"/>
            <c:bubble3D val="0"/>
            <c:spPr>
              <a:solidFill>
                <a:srgbClr val="3399FF"/>
              </a:solidFill>
              <a:ln w="19050">
                <a:solidFill>
                  <a:schemeClr val="lt1"/>
                </a:solidFill>
              </a:ln>
              <a:effectLst/>
            </c:spPr>
            <c:extLst>
              <c:ext xmlns:c16="http://schemas.microsoft.com/office/drawing/2014/chart" uri="{C3380CC4-5D6E-409C-BE32-E72D297353CC}">
                <c16:uniqueId val="{00000001-92AD-4A79-AB9C-B690A430C7A2}"/>
              </c:ext>
            </c:extLst>
          </c:dPt>
          <c:dPt>
            <c:idx val="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3-92AD-4A79-AB9C-B690A430C7A2}"/>
              </c:ext>
            </c:extLst>
          </c:dPt>
          <c:dPt>
            <c:idx val="2"/>
            <c:bubble3D val="0"/>
            <c:spPr>
              <a:solidFill>
                <a:srgbClr val="009999"/>
              </a:solidFill>
              <a:ln w="19050">
                <a:solidFill>
                  <a:schemeClr val="lt1"/>
                </a:solidFill>
              </a:ln>
              <a:effectLst/>
            </c:spPr>
            <c:extLst>
              <c:ext xmlns:c16="http://schemas.microsoft.com/office/drawing/2014/chart" uri="{C3380CC4-5D6E-409C-BE32-E72D297353CC}">
                <c16:uniqueId val="{00000005-92AD-4A79-AB9C-B690A430C7A2}"/>
              </c:ext>
            </c:extLst>
          </c:dPt>
          <c:dLbls>
            <c:spPr>
              <a:noFill/>
              <a:ln>
                <a:noFill/>
              </a:ln>
              <a:effectLst/>
            </c:spPr>
            <c:txPr>
              <a:bodyPr rot="0" spcFirstLastPara="1" vertOverflow="overflow" horzOverflow="overflow"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'Cost Estimation'!$E$6:$E$8</c:f>
              <c:strCache>
                <c:ptCount val="3"/>
                <c:pt idx="0">
                  <c:v>Replication</c:v>
                </c:pt>
                <c:pt idx="1">
                  <c:v>(ASR License + Storage + Network )</c:v>
                </c:pt>
                <c:pt idx="2">
                  <c:v>DR-Drill  (average)</c:v>
                </c:pt>
              </c:strCache>
            </c:strRef>
          </c:cat>
          <c:val>
            <c:numRef>
              <c:f>[0]!TotalDRCostByStats</c:f>
              <c:numCache>
                <c:formatCode>#,##0</c:formatCode>
                <c:ptCount val="3"/>
                <c:pt idx="0">
                  <c:v>108004.80000000002</c:v>
                </c:pt>
                <c:pt idx="2">
                  <c:v>37932.362999999998</c:v>
                </c:pt>
              </c:numCache>
            </c:numRef>
          </c:val>
          <c:extLst>
            <c:ext xmlns:c16="http://schemas.microsoft.com/office/drawing/2014/chart" uri="{C3380CC4-5D6E-409C-BE32-E72D297353CC}">
              <c16:uniqueId val="{00000006-92AD-4A79-AB9C-B690A430C7A2}"/>
            </c:ext>
          </c:extLst>
        </c:ser>
        <c:dLbls>
          <c:showLegendKey val="0"/>
          <c:showVal val="1"/>
          <c:showCatName val="0"/>
          <c:showSerName val="0"/>
          <c:showPercent val="0"/>
          <c:showBubbleSize val="0"/>
          <c:showLeaderLines val="0"/>
        </c:dLbls>
        <c:firstSliceAng val="0"/>
        <c:holeSize val="38"/>
      </c:doughnutChart>
      <c:spPr>
        <a:noFill/>
        <a:ln>
          <a:noFill/>
        </a:ln>
        <a:effectLst/>
      </c:spPr>
    </c:plotArea>
    <c:legend>
      <c:legendPos val="b"/>
      <c:legendEntry>
        <c:idx val="1"/>
        <c:delete val="1"/>
      </c:legendEntry>
      <c:layout>
        <c:manualLayout>
          <c:xMode val="edge"/>
          <c:yMode val="edge"/>
          <c:x val="0.21247901223879631"/>
          <c:y val="0.88826790003212608"/>
          <c:w val="0.57504167903275583"/>
          <c:h val="0.1051192485581556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996727203748086"/>
          <c:y val="0.201291952678188"/>
          <c:w val="0.46757564808006735"/>
          <c:h val="0.65725244155982177"/>
        </c:manualLayout>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legend>
      <c:legendPos val="b"/>
      <c:layout>
        <c:manualLayout>
          <c:xMode val="edge"/>
          <c:yMode val="edge"/>
          <c:x val="4.3697205696897776E-4"/>
          <c:y val="0.8921465755928486"/>
          <c:w val="0.99337744059159627"/>
          <c:h val="0.107853424407151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chemeClr val="tx1">
                    <a:lumMod val="75000"/>
                    <a:lumOff val="25000"/>
                  </a:schemeClr>
                </a:solidFill>
              </a:defRPr>
            </a:pPr>
            <a:r>
              <a:rPr lang="en-US" sz="1000" b="1">
                <a:solidFill>
                  <a:schemeClr val="tx1">
                    <a:lumMod val="75000"/>
                    <a:lumOff val="25000"/>
                  </a:schemeClr>
                </a:solidFill>
              </a:rPr>
              <a:t>Cost by components</a:t>
            </a:r>
          </a:p>
        </c:rich>
      </c:tx>
      <c:layout>
        <c:manualLayout>
          <c:xMode val="edge"/>
          <c:yMode val="edge"/>
          <c:x val="0.32147319618776304"/>
          <c:y val="1.8374835060535676E-2"/>
        </c:manualLayout>
      </c:layout>
      <c:overlay val="0"/>
      <c:spPr>
        <a:ln>
          <a:noFill/>
        </a:ln>
      </c:spPr>
    </c:title>
    <c:autoTitleDeleted val="0"/>
    <c:plotArea>
      <c:layout>
        <c:manualLayout>
          <c:layoutTarget val="inner"/>
          <c:xMode val="edge"/>
          <c:yMode val="edge"/>
          <c:x val="0.31054254522875785"/>
          <c:y val="0.21013027284830713"/>
          <c:w val="0.41258826981992447"/>
          <c:h val="0.61393942277856606"/>
        </c:manualLayout>
      </c:layout>
      <c:doughnutChart>
        <c:varyColors val="1"/>
        <c:ser>
          <c:idx val="0"/>
          <c:order val="0"/>
          <c:tx>
            <c:v>"TotalDRCostByComponents"</c:v>
          </c:tx>
          <c:dPt>
            <c:idx val="0"/>
            <c:bubble3D val="0"/>
            <c:spPr>
              <a:solidFill>
                <a:srgbClr val="6DF9CA"/>
              </a:solidFill>
              <a:ln w="19050">
                <a:solidFill>
                  <a:schemeClr val="lt1"/>
                </a:solidFill>
              </a:ln>
              <a:effectLst/>
            </c:spPr>
            <c:extLst>
              <c:ext xmlns:c16="http://schemas.microsoft.com/office/drawing/2014/chart" uri="{C3380CC4-5D6E-409C-BE32-E72D297353CC}">
                <c16:uniqueId val="{00000001-03BB-4B12-AFE8-003178E37279}"/>
              </c:ext>
            </c:extLst>
          </c:dPt>
          <c:dPt>
            <c:idx val="1"/>
            <c:bubble3D val="0"/>
            <c:spPr>
              <a:solidFill>
                <a:srgbClr val="9751CB"/>
              </a:solidFill>
              <a:ln w="19050">
                <a:solidFill>
                  <a:schemeClr val="lt1"/>
                </a:solidFill>
              </a:ln>
              <a:effectLst/>
            </c:spPr>
            <c:extLst>
              <c:ext xmlns:c16="http://schemas.microsoft.com/office/drawing/2014/chart" uri="{C3380CC4-5D6E-409C-BE32-E72D297353CC}">
                <c16:uniqueId val="{00000003-03BB-4B12-AFE8-003178E37279}"/>
              </c:ext>
            </c:extLst>
          </c:dPt>
          <c:dPt>
            <c:idx val="2"/>
            <c:bubble3D val="0"/>
            <c:spPr>
              <a:solidFill>
                <a:srgbClr val="349EFE"/>
              </a:solidFill>
              <a:ln w="19050">
                <a:solidFill>
                  <a:schemeClr val="lt1"/>
                </a:solidFill>
              </a:ln>
              <a:effectLst/>
            </c:spPr>
            <c:extLst>
              <c:ext xmlns:c16="http://schemas.microsoft.com/office/drawing/2014/chart" uri="{C3380CC4-5D6E-409C-BE32-E72D297353CC}">
                <c16:uniqueId val="{00000005-03BB-4B12-AFE8-003178E37279}"/>
              </c:ext>
            </c:extLst>
          </c:dPt>
          <c:dPt>
            <c:idx val="3"/>
            <c:bubble3D val="0"/>
            <c:spPr>
              <a:solidFill>
                <a:srgbClr val="FF9900"/>
              </a:solidFill>
              <a:ln w="19050">
                <a:solidFill>
                  <a:schemeClr val="lt1"/>
                </a:solidFill>
              </a:ln>
              <a:effectLst/>
            </c:spPr>
            <c:extLst>
              <c:ext xmlns:c16="http://schemas.microsoft.com/office/drawing/2014/chart" uri="{C3380CC4-5D6E-409C-BE32-E72D297353CC}">
                <c16:uniqueId val="{00000007-03BB-4B12-AFE8-003178E37279}"/>
              </c:ext>
            </c:extLst>
          </c:dPt>
          <c:dLbls>
            <c:dLbl>
              <c:idx val="0"/>
              <c:layout>
                <c:manualLayout>
                  <c:x val="0.19745048489581526"/>
                  <c:y val="-9.2955764584036704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3BB-4B12-AFE8-003178E37279}"/>
                </c:ext>
              </c:extLst>
            </c:dLbl>
            <c:dLbl>
              <c:idx val="2"/>
              <c:layout>
                <c:manualLayout>
                  <c:x val="-0.18985635324516817"/>
                  <c:y val="-4.8820152323042196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3BB-4B12-AFE8-003178E37279}"/>
                </c:ext>
              </c:extLst>
            </c:dLbl>
            <c:dLbl>
              <c:idx val="3"/>
              <c:layout>
                <c:manualLayout>
                  <c:x val="-9.8064734476853391E-2"/>
                  <c:y val="-0.17334655421203304"/>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03BB-4B12-AFE8-003178E37279}"/>
                </c:ext>
              </c:extLst>
            </c:dLbl>
            <c:spPr>
              <a:noFill/>
              <a:ln>
                <a:noFill/>
              </a:ln>
              <a:effectLst/>
            </c:spPr>
            <c:showLegendKey val="0"/>
            <c:showVal val="1"/>
            <c:showCatName val="0"/>
            <c:showSerName val="0"/>
            <c:showPercent val="1"/>
            <c:showBubbleSize val="0"/>
            <c:showLeaderLines val="1"/>
            <c:extLst>
              <c:ext xmlns:c15="http://schemas.microsoft.com/office/drawing/2012/chart" uri="{CE6537A1-D6FC-4f65-9D91-7224C49458BB}"/>
            </c:extLst>
          </c:dLbls>
          <c:cat>
            <c:strRef>
              <c:f>'Cost Estimation'!$A$6:$A$9</c:f>
              <c:strCache>
                <c:ptCount val="4"/>
                <c:pt idx="0">
                  <c:v>Compute</c:v>
                </c:pt>
                <c:pt idx="1">
                  <c:v>Storage</c:v>
                </c:pt>
                <c:pt idx="2">
                  <c:v>Network</c:v>
                </c:pt>
                <c:pt idx="3">
                  <c:v>ASR License</c:v>
                </c:pt>
              </c:strCache>
            </c:strRef>
          </c:cat>
          <c:val>
            <c:numRef>
              <c:f>[0]!TotalDRCostByComponents</c:f>
              <c:numCache>
                <c:formatCode>#,##0</c:formatCode>
                <c:ptCount val="4"/>
                <c:pt idx="0">
                  <c:v>30921.40799999993</c:v>
                </c:pt>
                <c:pt idx="1">
                  <c:v>84583.75499999999</c:v>
                </c:pt>
                <c:pt idx="2">
                  <c:v>5232</c:v>
                </c:pt>
                <c:pt idx="3">
                  <c:v>25200</c:v>
                </c:pt>
              </c:numCache>
            </c:numRef>
          </c:val>
          <c:extLst>
            <c:ext xmlns:c16="http://schemas.microsoft.com/office/drawing/2014/chart" uri="{C3380CC4-5D6E-409C-BE32-E72D297353CC}">
              <c16:uniqueId val="{00000008-03BB-4B12-AFE8-003178E37279}"/>
            </c:ext>
          </c:extLst>
        </c:ser>
        <c:dLbls>
          <c:showLegendKey val="0"/>
          <c:showVal val="1"/>
          <c:showCatName val="0"/>
          <c:showSerName val="0"/>
          <c:showPercent val="0"/>
          <c:showBubbleSize val="0"/>
          <c:showLeaderLines val="1"/>
        </c:dLbls>
        <c:firstSliceAng val="0"/>
        <c:holeSize val="38"/>
      </c:doughnutChart>
      <c:spPr>
        <a:noFill/>
        <a:ln>
          <a:noFill/>
        </a:ln>
        <a:effectLst/>
      </c:spPr>
    </c:plotArea>
    <c:legend>
      <c:legendPos val="b"/>
      <c:layout>
        <c:manualLayout>
          <c:xMode val="edge"/>
          <c:yMode val="edge"/>
          <c:x val="5.0000049966405918E-2"/>
          <c:y val="0.8735770459657648"/>
          <c:w val="0.89999990006718811"/>
          <c:h val="0.1138328530259366"/>
        </c:manualLayout>
      </c:layout>
      <c:overlay val="0"/>
      <c:txPr>
        <a:bodyPr/>
        <a:lstStyle/>
        <a:p>
          <a:pPr>
            <a:defRPr sz="900" b="0">
              <a:solidFill>
                <a:schemeClr val="bg2">
                  <a:lumMod val="25000"/>
                </a:schemeClr>
              </a:solidFill>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4" dropStyle="combo" dx="16" fmlaLink="Data!$E$5" fmlaRange="Data!$D$11:$D$13" noThreeD="1" sel="1" val="0"/>
</file>

<file path=xl/ctrlProps/ctrlProp2.xml><?xml version="1.0" encoding="utf-8"?>
<formControlPr xmlns="http://schemas.microsoft.com/office/spreadsheetml/2009/9/main" objectType="Drop" dropLines="4" dropStyle="combo" dx="16" fmlaLink="'Cost Estimation'!$B$12" fmlaRange="Prices!$AI$3:$AI$4" noThreeD="1" sel="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chart" Target="../charts/chart8.xml"/><Relationship Id="rId3" Type="http://schemas.openxmlformats.org/officeDocument/2006/relationships/chart" Target="../charts/chart2.xml"/><Relationship Id="rId7" Type="http://schemas.openxmlformats.org/officeDocument/2006/relationships/image" Target="../media/image4.png"/><Relationship Id="rId12" Type="http://schemas.openxmlformats.org/officeDocument/2006/relationships/chart" Target="../charts/chart7.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chart" Target="../charts/chart6.xml"/><Relationship Id="rId5" Type="http://schemas.openxmlformats.org/officeDocument/2006/relationships/image" Target="../media/image3.png"/><Relationship Id="rId15" Type="http://schemas.openxmlformats.org/officeDocument/2006/relationships/chart" Target="../charts/chart10.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hart" Target="../charts/chart5.xml"/><Relationship Id="rId1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156883</xdr:colOff>
      <xdr:row>1</xdr:row>
      <xdr:rowOff>212912</xdr:rowOff>
    </xdr:from>
    <xdr:to>
      <xdr:col>1</xdr:col>
      <xdr:colOff>719866</xdr:colOff>
      <xdr:row>1</xdr:row>
      <xdr:rowOff>681228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762001" y="403412"/>
          <a:ext cx="562983" cy="4683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30</xdr:col>
      <xdr:colOff>13139</xdr:colOff>
      <xdr:row>102</xdr:row>
      <xdr:rowOff>95249</xdr:rowOff>
    </xdr:from>
    <xdr:to>
      <xdr:col>53</xdr:col>
      <xdr:colOff>78828</xdr:colOff>
      <xdr:row>117</xdr:row>
      <xdr:rowOff>105103</xdr:rowOff>
    </xdr:to>
    <xdr:graphicFrame macro="">
      <xdr:nvGraphicFramePr>
        <xdr:cNvPr id="51" name="Chart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82284</xdr:colOff>
      <xdr:row>1</xdr:row>
      <xdr:rowOff>89646</xdr:rowOff>
    </xdr:from>
    <xdr:to>
      <xdr:col>19</xdr:col>
      <xdr:colOff>31897</xdr:colOff>
      <xdr:row>5</xdr:row>
      <xdr:rowOff>60255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tretch>
          <a:fillRect/>
        </a:stretch>
      </xdr:blipFill>
      <xdr:spPr>
        <a:xfrm>
          <a:off x="1981682" y="218514"/>
          <a:ext cx="621966" cy="48608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73</xdr:col>
          <xdr:colOff>19050</xdr:colOff>
          <xdr:row>7</xdr:row>
          <xdr:rowOff>38100</xdr:rowOff>
        </xdr:from>
        <xdr:to>
          <xdr:col>79</xdr:col>
          <xdr:colOff>0</xdr:colOff>
          <xdr:row>8</xdr:row>
          <xdr:rowOff>152400</xdr:rowOff>
        </xdr:to>
        <xdr:sp macro="" textlink="">
          <xdr:nvSpPr>
            <xdr:cNvPr id="35841" name="Drop Down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5603</xdr:colOff>
      <xdr:row>68</xdr:row>
      <xdr:rowOff>5603</xdr:rowOff>
    </xdr:from>
    <xdr:to>
      <xdr:col>79</xdr:col>
      <xdr:colOff>0</xdr:colOff>
      <xdr:row>69</xdr:row>
      <xdr:rowOff>123264</xdr:rowOff>
    </xdr:to>
    <xdr:sp macro="[0]!AlertMessageforViolation" textlink="Data!A80">
      <xdr:nvSpPr>
        <xdr:cNvPr id="15" name="TextBox 14">
          <a:extLst>
            <a:ext uri="{FF2B5EF4-FFF2-40B4-BE49-F238E27FC236}">
              <a16:creationId xmlns:a16="http://schemas.microsoft.com/office/drawing/2014/main" id="{00000000-0008-0000-0400-00000F000000}"/>
            </a:ext>
          </a:extLst>
        </xdr:cNvPr>
        <xdr:cNvSpPr txBox="1"/>
      </xdr:nvSpPr>
      <xdr:spPr>
        <a:xfrm>
          <a:off x="672353" y="8820991"/>
          <a:ext cx="10257585" cy="246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B80A54-FBE7-46BC-872D-1E476229C902}" type="TxLink">
            <a:rPr lang="en-US" sz="1100" b="0" i="0" u="none" strike="noStrike">
              <a:solidFill>
                <a:srgbClr val="000000"/>
              </a:solidFill>
              <a:latin typeface="Calibri"/>
              <a:cs typeface="Calibri"/>
            </a:rPr>
            <a:pPr/>
            <a:t> </a:t>
          </a:fld>
          <a:endParaRPr lang="en-IN" sz="1200" b="1">
            <a:solidFill>
              <a:srgbClr val="FF0000"/>
            </a:solidFill>
          </a:endParaRPr>
        </a:p>
      </xdr:txBody>
    </xdr:sp>
    <xdr:clientData/>
  </xdr:twoCellAnchor>
  <xdr:twoCellAnchor>
    <xdr:from>
      <xdr:col>47</xdr:col>
      <xdr:colOff>56029</xdr:colOff>
      <xdr:row>51</xdr:row>
      <xdr:rowOff>78423</xdr:rowOff>
    </xdr:from>
    <xdr:to>
      <xdr:col>55</xdr:col>
      <xdr:colOff>82826</xdr:colOff>
      <xdr:row>53</xdr:row>
      <xdr:rowOff>98032</xdr:rowOff>
    </xdr:to>
    <xdr:sp macro="" textlink="">
      <xdr:nvSpPr>
        <xdr:cNvPr id="16" name="TextBox 15">
          <a:extLst>
            <a:ext uri="{FF2B5EF4-FFF2-40B4-BE49-F238E27FC236}">
              <a16:creationId xmlns:a16="http://schemas.microsoft.com/office/drawing/2014/main" id="{00000000-0008-0000-0400-000010000000}"/>
            </a:ext>
          </a:extLst>
        </xdr:cNvPr>
        <xdr:cNvSpPr txBox="1"/>
      </xdr:nvSpPr>
      <xdr:spPr>
        <a:xfrm>
          <a:off x="6718767" y="6707823"/>
          <a:ext cx="1093597" cy="27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solidFill>
            </a:rPr>
            <a:t>When bandwidth: is </a:t>
          </a:r>
        </a:p>
      </xdr:txBody>
    </xdr:sp>
    <xdr:clientData/>
  </xdr:twoCellAnchor>
  <xdr:twoCellAnchor>
    <xdr:from>
      <xdr:col>53</xdr:col>
      <xdr:colOff>70799</xdr:colOff>
      <xdr:row>51</xdr:row>
      <xdr:rowOff>65707</xdr:rowOff>
    </xdr:from>
    <xdr:to>
      <xdr:col>57</xdr:col>
      <xdr:colOff>105056</xdr:colOff>
      <xdr:row>53</xdr:row>
      <xdr:rowOff>103908</xdr:rowOff>
    </xdr:to>
    <xdr:sp macro="" textlink="Data!F3">
      <xdr:nvSpPr>
        <xdr:cNvPr id="17" name="TextBox 16">
          <a:extLst>
            <a:ext uri="{FF2B5EF4-FFF2-40B4-BE49-F238E27FC236}">
              <a16:creationId xmlns:a16="http://schemas.microsoft.com/office/drawing/2014/main" id="{00000000-0008-0000-0400-000011000000}"/>
            </a:ext>
          </a:extLst>
        </xdr:cNvPr>
        <xdr:cNvSpPr txBox="1"/>
      </xdr:nvSpPr>
      <xdr:spPr>
        <a:xfrm>
          <a:off x="7533637" y="6695107"/>
          <a:ext cx="567657" cy="295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C02F780-A92A-4295-8B38-0A4FC863FBDD}" type="TxLink">
            <a:rPr lang="en-US" sz="1100" b="1" i="0" u="none" strike="noStrike">
              <a:solidFill>
                <a:srgbClr val="000000"/>
              </a:solidFill>
              <a:latin typeface="Calibri"/>
              <a:cs typeface="Calibri"/>
            </a:rPr>
            <a:pPr algn="r"/>
            <a:t>756</a:t>
          </a:fld>
          <a:endParaRPr lang="en-US" sz="900" b="1" i="0">
            <a:solidFill>
              <a:schemeClr val="tx1"/>
            </a:solidFill>
          </a:endParaRPr>
        </a:p>
      </xdr:txBody>
    </xdr:sp>
    <xdr:clientData/>
  </xdr:twoCellAnchor>
  <xdr:twoCellAnchor>
    <xdr:from>
      <xdr:col>9</xdr:col>
      <xdr:colOff>129268</xdr:colOff>
      <xdr:row>56</xdr:row>
      <xdr:rowOff>35878</xdr:rowOff>
    </xdr:from>
    <xdr:to>
      <xdr:col>18</xdr:col>
      <xdr:colOff>74575</xdr:colOff>
      <xdr:row>60</xdr:row>
      <xdr:rowOff>81643</xdr:rowOff>
    </xdr:to>
    <xdr:sp macro="" textlink="Data!$D$3">
      <xdr:nvSpPr>
        <xdr:cNvPr id="18" name="TextBox 17">
          <a:extLst>
            <a:ext uri="{FF2B5EF4-FFF2-40B4-BE49-F238E27FC236}">
              <a16:creationId xmlns:a16="http://schemas.microsoft.com/office/drawing/2014/main" id="{00000000-0008-0000-0400-000012000000}"/>
            </a:ext>
          </a:extLst>
        </xdr:cNvPr>
        <xdr:cNvSpPr txBox="1"/>
      </xdr:nvSpPr>
      <xdr:spPr>
        <a:xfrm>
          <a:off x="1724706" y="7308216"/>
          <a:ext cx="1145457" cy="56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4EF2460-0432-4688-9F0A-C41711A993C6}" type="TxLink">
            <a:rPr lang="en-US" sz="2800" b="1" i="0" u="none" strike="noStrike">
              <a:solidFill>
                <a:schemeClr val="tx1">
                  <a:lumMod val="50000"/>
                  <a:lumOff val="50000"/>
                </a:schemeClr>
              </a:solidFill>
              <a:latin typeface="Calibri"/>
              <a:ea typeface="+mn-ea"/>
              <a:cs typeface="Calibri"/>
            </a:rPr>
            <a:pPr marL="0" indent="0" algn="r"/>
            <a:t>15</a:t>
          </a:fld>
          <a:endParaRPr lang="en-IN" sz="2800" b="1" i="0" u="none" strike="noStrike">
            <a:solidFill>
              <a:schemeClr val="tx1">
                <a:lumMod val="50000"/>
                <a:lumOff val="50000"/>
              </a:schemeClr>
            </a:solidFill>
            <a:latin typeface="Calibri"/>
            <a:ea typeface="+mn-ea"/>
            <a:cs typeface="Calibri"/>
          </a:endParaRPr>
        </a:p>
      </xdr:txBody>
    </xdr:sp>
    <xdr:clientData/>
  </xdr:twoCellAnchor>
  <xdr:twoCellAnchor>
    <xdr:from>
      <xdr:col>17</xdr:col>
      <xdr:colOff>57870</xdr:colOff>
      <xdr:row>58</xdr:row>
      <xdr:rowOff>812</xdr:rowOff>
    </xdr:from>
    <xdr:to>
      <xdr:col>27</xdr:col>
      <xdr:colOff>83847</xdr:colOff>
      <xdr:row>59</xdr:row>
      <xdr:rowOff>115157</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2720108" y="7530325"/>
          <a:ext cx="1359477" cy="242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chemeClr val="tx1">
                  <a:lumMod val="50000"/>
                  <a:lumOff val="50000"/>
                </a:schemeClr>
              </a:solidFill>
              <a:latin typeface="+mn-lt"/>
              <a:ea typeface="+mn-ea"/>
              <a:cs typeface="+mn-cs"/>
            </a:rPr>
            <a:t>minutes</a:t>
          </a:r>
          <a:r>
            <a:rPr lang="en-IN" sz="1000" b="0" baseline="0">
              <a:solidFill>
                <a:schemeClr val="tx1">
                  <a:lumMod val="50000"/>
                  <a:lumOff val="50000"/>
                </a:schemeClr>
              </a:solidFill>
              <a:latin typeface="+mn-lt"/>
              <a:ea typeface="+mn-ea"/>
              <a:cs typeface="+mn-cs"/>
            </a:rPr>
            <a:t> </a:t>
          </a:r>
          <a:r>
            <a:rPr lang="en-IN" sz="1000" b="0">
              <a:solidFill>
                <a:schemeClr val="tx1">
                  <a:lumMod val="50000"/>
                  <a:lumOff val="50000"/>
                </a:schemeClr>
              </a:solidFill>
              <a:latin typeface="+mn-lt"/>
              <a:ea typeface="+mn-ea"/>
              <a:cs typeface="+mn-cs"/>
            </a:rPr>
            <a:t>RPO</a:t>
          </a:r>
        </a:p>
      </xdr:txBody>
    </xdr:sp>
    <xdr:clientData/>
  </xdr:twoCellAnchor>
  <xdr:twoCellAnchor>
    <xdr:from>
      <xdr:col>10</xdr:col>
      <xdr:colOff>25977</xdr:colOff>
      <xdr:row>60</xdr:row>
      <xdr:rowOff>19629</xdr:rowOff>
    </xdr:from>
    <xdr:to>
      <xdr:col>18</xdr:col>
      <xdr:colOff>74575</xdr:colOff>
      <xdr:row>64</xdr:row>
      <xdr:rowOff>26431</xdr:rowOff>
    </xdr:to>
    <xdr:sp macro="" textlink="Data!$P3">
      <xdr:nvSpPr>
        <xdr:cNvPr id="20" name="TextBox 19">
          <a:extLst>
            <a:ext uri="{FF2B5EF4-FFF2-40B4-BE49-F238E27FC236}">
              <a16:creationId xmlns:a16="http://schemas.microsoft.com/office/drawing/2014/main" id="{00000000-0008-0000-0400-000014000000}"/>
            </a:ext>
          </a:extLst>
        </xdr:cNvPr>
        <xdr:cNvSpPr txBox="1"/>
      </xdr:nvSpPr>
      <xdr:spPr>
        <a:xfrm>
          <a:off x="1754765" y="7806317"/>
          <a:ext cx="1115398" cy="52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EA81C31-02C9-4AD4-8CB5-0780D4E04C97}" type="TxLink">
            <a:rPr lang="en-US" sz="2800" b="1" i="0" u="none" strike="noStrike">
              <a:solidFill>
                <a:schemeClr val="tx1">
                  <a:lumMod val="50000"/>
                  <a:lumOff val="50000"/>
                </a:schemeClr>
              </a:solidFill>
              <a:latin typeface="Calibri"/>
              <a:ea typeface="+mn-ea"/>
              <a:cs typeface="Calibri"/>
            </a:rPr>
            <a:pPr marL="0" indent="0" algn="r"/>
            <a:t>90%</a:t>
          </a:fld>
          <a:endParaRPr lang="en-IN" sz="2800" b="1" i="0" u="none" strike="noStrike">
            <a:solidFill>
              <a:schemeClr val="tx1">
                <a:lumMod val="50000"/>
                <a:lumOff val="50000"/>
              </a:schemeClr>
            </a:solidFill>
            <a:latin typeface="Calibri"/>
            <a:ea typeface="+mn-ea"/>
            <a:cs typeface="Calibri"/>
          </a:endParaRPr>
        </a:p>
      </xdr:txBody>
    </xdr:sp>
    <xdr:clientData/>
  </xdr:twoCellAnchor>
  <xdr:twoCellAnchor>
    <xdr:from>
      <xdr:col>17</xdr:col>
      <xdr:colOff>57870</xdr:colOff>
      <xdr:row>61</xdr:row>
      <xdr:rowOff>94148</xdr:rowOff>
    </xdr:from>
    <xdr:to>
      <xdr:col>27</xdr:col>
      <xdr:colOff>83847</xdr:colOff>
      <xdr:row>63</xdr:row>
      <xdr:rowOff>84572</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2720108" y="8009423"/>
          <a:ext cx="1359477" cy="247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chemeClr val="tx1">
                  <a:lumMod val="50000"/>
                  <a:lumOff val="50000"/>
                </a:schemeClr>
              </a:solidFill>
              <a:latin typeface="+mn-lt"/>
              <a:ea typeface="+mn-ea"/>
              <a:cs typeface="+mn-cs"/>
            </a:rPr>
            <a:t>of the time</a:t>
          </a:r>
        </a:p>
      </xdr:txBody>
    </xdr:sp>
    <xdr:clientData/>
  </xdr:twoCellAnchor>
  <xdr:twoCellAnchor>
    <xdr:from>
      <xdr:col>10</xdr:col>
      <xdr:colOff>88447</xdr:colOff>
      <xdr:row>63</xdr:row>
      <xdr:rowOff>121566</xdr:rowOff>
    </xdr:from>
    <xdr:to>
      <xdr:col>18</xdr:col>
      <xdr:colOff>74575</xdr:colOff>
      <xdr:row>67</xdr:row>
      <xdr:rowOff>115660</xdr:rowOff>
    </xdr:to>
    <xdr:sp macro="" textlink="Data!O3">
      <xdr:nvSpPr>
        <xdr:cNvPr id="22" name="TextBox 21">
          <a:extLst>
            <a:ext uri="{FF2B5EF4-FFF2-40B4-BE49-F238E27FC236}">
              <a16:creationId xmlns:a16="http://schemas.microsoft.com/office/drawing/2014/main" id="{00000000-0008-0000-0400-000016000000}"/>
            </a:ext>
          </a:extLst>
        </xdr:cNvPr>
        <xdr:cNvSpPr txBox="1"/>
      </xdr:nvSpPr>
      <xdr:spPr>
        <a:xfrm>
          <a:off x="1817235" y="8294016"/>
          <a:ext cx="1052928" cy="508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5851C28-1CF2-49DA-AC01-041FC85D917D}" type="TxLink">
            <a:rPr lang="en-US" sz="2800" b="1" i="0" u="none" strike="noStrike">
              <a:solidFill>
                <a:srgbClr val="742FFF"/>
              </a:solidFill>
              <a:latin typeface="Calibri"/>
              <a:ea typeface="+mn-ea"/>
              <a:cs typeface="Calibri"/>
            </a:rPr>
            <a:pPr marL="0" indent="0" algn="r"/>
            <a:t>6</a:t>
          </a:fld>
          <a:endParaRPr lang="en-IN" sz="2800" b="1" i="0" u="none" strike="noStrike">
            <a:solidFill>
              <a:srgbClr val="742FFF"/>
            </a:solidFill>
            <a:latin typeface="Calibri"/>
            <a:ea typeface="+mn-ea"/>
            <a:cs typeface="Calibri"/>
          </a:endParaRPr>
        </a:p>
      </xdr:txBody>
    </xdr:sp>
    <xdr:clientData/>
  </xdr:twoCellAnchor>
  <xdr:twoCellAnchor>
    <xdr:from>
      <xdr:col>17</xdr:col>
      <xdr:colOff>57870</xdr:colOff>
      <xdr:row>65</xdr:row>
      <xdr:rowOff>71846</xdr:rowOff>
    </xdr:from>
    <xdr:to>
      <xdr:col>27</xdr:col>
      <xdr:colOff>83847</xdr:colOff>
      <xdr:row>67</xdr:row>
      <xdr:rowOff>61951</xdr:rowOff>
    </xdr:to>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2720108" y="8501471"/>
          <a:ext cx="1359477" cy="24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rgbClr val="742FFF"/>
              </a:solidFill>
              <a:latin typeface="+mn-lt"/>
              <a:ea typeface="+mn-ea"/>
              <a:cs typeface="+mn-cs"/>
            </a:rPr>
            <a:t>RPO violations</a:t>
          </a:r>
        </a:p>
      </xdr:txBody>
    </xdr:sp>
    <xdr:clientData/>
  </xdr:twoCellAnchor>
  <xdr:twoCellAnchor>
    <xdr:from>
      <xdr:col>9</xdr:col>
      <xdr:colOff>20411</xdr:colOff>
      <xdr:row>52</xdr:row>
      <xdr:rowOff>25364</xdr:rowOff>
    </xdr:from>
    <xdr:to>
      <xdr:col>18</xdr:col>
      <xdr:colOff>74575</xdr:colOff>
      <xdr:row>56</xdr:row>
      <xdr:rowOff>68035</xdr:rowOff>
    </xdr:to>
    <xdr:sp macro="" textlink="Data!F3">
      <xdr:nvSpPr>
        <xdr:cNvPr id="24" name="TextBox 23">
          <a:extLst>
            <a:ext uri="{FF2B5EF4-FFF2-40B4-BE49-F238E27FC236}">
              <a16:creationId xmlns:a16="http://schemas.microsoft.com/office/drawing/2014/main" id="{00000000-0008-0000-0400-000018000000}"/>
            </a:ext>
          </a:extLst>
        </xdr:cNvPr>
        <xdr:cNvSpPr txBox="1"/>
      </xdr:nvSpPr>
      <xdr:spPr>
        <a:xfrm>
          <a:off x="1615849" y="6783352"/>
          <a:ext cx="1254314" cy="557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7A9B72C-20F6-457C-B49E-07F9CCB9EE73}" type="TxLink">
            <a:rPr lang="en-US" sz="2800" b="1" i="0" u="none" strike="noStrike">
              <a:solidFill>
                <a:srgbClr val="742FFF"/>
              </a:solidFill>
              <a:latin typeface="Calibri"/>
              <a:ea typeface="+mn-ea"/>
              <a:cs typeface="Calibri"/>
            </a:rPr>
            <a:pPr marL="0" indent="0" algn="r"/>
            <a:t>756</a:t>
          </a:fld>
          <a:endParaRPr lang="en-IN" sz="2800" b="1" i="0" u="none" strike="noStrike">
            <a:solidFill>
              <a:srgbClr val="742FFF"/>
            </a:solidFill>
            <a:latin typeface="Calibri"/>
            <a:ea typeface="+mn-ea"/>
            <a:cs typeface="Calibri"/>
          </a:endParaRPr>
        </a:p>
      </xdr:txBody>
    </xdr:sp>
    <xdr:clientData/>
  </xdr:twoCellAnchor>
  <xdr:twoCellAnchor>
    <xdr:from>
      <xdr:col>17</xdr:col>
      <xdr:colOff>57870</xdr:colOff>
      <xdr:row>53</xdr:row>
      <xdr:rowOff>100202</xdr:rowOff>
    </xdr:from>
    <xdr:to>
      <xdr:col>27</xdr:col>
      <xdr:colOff>83847</xdr:colOff>
      <xdr:row>55</xdr:row>
      <xdr:rowOff>90307</xdr:rowOff>
    </xdr:to>
    <xdr:sp macro="" textlink="">
      <xdr:nvSpPr>
        <xdr:cNvPr id="25" name="TextBox 24">
          <a:extLst>
            <a:ext uri="{FF2B5EF4-FFF2-40B4-BE49-F238E27FC236}">
              <a16:creationId xmlns:a16="http://schemas.microsoft.com/office/drawing/2014/main" id="{00000000-0008-0000-0400-000019000000}"/>
            </a:ext>
          </a:extLst>
        </xdr:cNvPr>
        <xdr:cNvSpPr txBox="1"/>
      </xdr:nvSpPr>
      <xdr:spPr>
        <a:xfrm>
          <a:off x="2720108" y="6986777"/>
          <a:ext cx="1359477" cy="24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rgbClr val="742FFF"/>
              </a:solidFill>
              <a:latin typeface="+mn-lt"/>
              <a:ea typeface="+mn-ea"/>
              <a:cs typeface="+mn-cs"/>
            </a:rPr>
            <a:t>Mbps</a:t>
          </a:r>
        </a:p>
      </xdr:txBody>
    </xdr:sp>
    <xdr:clientData/>
  </xdr:twoCellAnchor>
  <xdr:twoCellAnchor>
    <xdr:from>
      <xdr:col>10</xdr:col>
      <xdr:colOff>109472</xdr:colOff>
      <xdr:row>51</xdr:row>
      <xdr:rowOff>76549</xdr:rowOff>
    </xdr:from>
    <xdr:to>
      <xdr:col>22</xdr:col>
      <xdr:colOff>131884</xdr:colOff>
      <xdr:row>53</xdr:row>
      <xdr:rowOff>96158</xdr:rowOff>
    </xdr:to>
    <xdr:sp macro="" textlink="">
      <xdr:nvSpPr>
        <xdr:cNvPr id="26" name="TextBox 25">
          <a:extLst>
            <a:ext uri="{FF2B5EF4-FFF2-40B4-BE49-F238E27FC236}">
              <a16:creationId xmlns:a16="http://schemas.microsoft.com/office/drawing/2014/main" id="{00000000-0008-0000-0400-00001A000000}"/>
            </a:ext>
          </a:extLst>
        </xdr:cNvPr>
        <xdr:cNvSpPr txBox="1"/>
      </xdr:nvSpPr>
      <xdr:spPr>
        <a:xfrm>
          <a:off x="1838260" y="6705949"/>
          <a:ext cx="1622612" cy="27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If the bandwidth provided is</a:t>
          </a:r>
        </a:p>
      </xdr:txBody>
    </xdr:sp>
    <xdr:clientData/>
  </xdr:twoCellAnchor>
  <xdr:twoCellAnchor>
    <xdr:from>
      <xdr:col>10</xdr:col>
      <xdr:colOff>109472</xdr:colOff>
      <xdr:row>55</xdr:row>
      <xdr:rowOff>108725</xdr:rowOff>
    </xdr:from>
    <xdr:to>
      <xdr:col>22</xdr:col>
      <xdr:colOff>131884</xdr:colOff>
      <xdr:row>58</xdr:row>
      <xdr:rowOff>4095</xdr:rowOff>
    </xdr:to>
    <xdr:sp macro="" textlink="">
      <xdr:nvSpPr>
        <xdr:cNvPr id="27" name="TextBox 26">
          <a:extLst>
            <a:ext uri="{FF2B5EF4-FFF2-40B4-BE49-F238E27FC236}">
              <a16:creationId xmlns:a16="http://schemas.microsoft.com/office/drawing/2014/main" id="{00000000-0008-0000-0400-00001B000000}"/>
            </a:ext>
          </a:extLst>
        </xdr:cNvPr>
        <xdr:cNvSpPr txBox="1"/>
      </xdr:nvSpPr>
      <xdr:spPr>
        <a:xfrm>
          <a:off x="1838260" y="7252475"/>
          <a:ext cx="1622612" cy="281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you can achieve</a:t>
          </a:r>
        </a:p>
      </xdr:txBody>
    </xdr:sp>
    <xdr:clientData/>
  </xdr:twoCellAnchor>
  <xdr:twoCellAnchor>
    <xdr:from>
      <xdr:col>10</xdr:col>
      <xdr:colOff>109472</xdr:colOff>
      <xdr:row>59</xdr:row>
      <xdr:rowOff>99802</xdr:rowOff>
    </xdr:from>
    <xdr:to>
      <xdr:col>22</xdr:col>
      <xdr:colOff>131884</xdr:colOff>
      <xdr:row>61</xdr:row>
      <xdr:rowOff>119411</xdr:rowOff>
    </xdr:to>
    <xdr:sp macro="" textlink="">
      <xdr:nvSpPr>
        <xdr:cNvPr id="28" name="TextBox 27">
          <a:extLst>
            <a:ext uri="{FF2B5EF4-FFF2-40B4-BE49-F238E27FC236}">
              <a16:creationId xmlns:a16="http://schemas.microsoft.com/office/drawing/2014/main" id="{00000000-0008-0000-0400-00001C000000}"/>
            </a:ext>
          </a:extLst>
        </xdr:cNvPr>
        <xdr:cNvSpPr txBox="1"/>
      </xdr:nvSpPr>
      <xdr:spPr>
        <a:xfrm>
          <a:off x="1838260" y="7757902"/>
          <a:ext cx="1622612" cy="27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for</a:t>
          </a:r>
        </a:p>
      </xdr:txBody>
    </xdr:sp>
    <xdr:clientData/>
  </xdr:twoCellAnchor>
  <xdr:twoCellAnchor>
    <xdr:from>
      <xdr:col>10</xdr:col>
      <xdr:colOff>109472</xdr:colOff>
      <xdr:row>63</xdr:row>
      <xdr:rowOff>77500</xdr:rowOff>
    </xdr:from>
    <xdr:to>
      <xdr:col>22</xdr:col>
      <xdr:colOff>131884</xdr:colOff>
      <xdr:row>65</xdr:row>
      <xdr:rowOff>97109</xdr:rowOff>
    </xdr:to>
    <xdr:sp macro="" textlink="">
      <xdr:nvSpPr>
        <xdr:cNvPr id="29" name="TextBox 28">
          <a:extLst>
            <a:ext uri="{FF2B5EF4-FFF2-40B4-BE49-F238E27FC236}">
              <a16:creationId xmlns:a16="http://schemas.microsoft.com/office/drawing/2014/main" id="{00000000-0008-0000-0400-00001D000000}"/>
            </a:ext>
          </a:extLst>
        </xdr:cNvPr>
        <xdr:cNvSpPr txBox="1"/>
      </xdr:nvSpPr>
      <xdr:spPr>
        <a:xfrm>
          <a:off x="1838260" y="8249950"/>
          <a:ext cx="1622612" cy="27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and you will have</a:t>
          </a:r>
        </a:p>
      </xdr:txBody>
    </xdr:sp>
    <xdr:clientData/>
  </xdr:twoCellAnchor>
  <xdr:twoCellAnchor>
    <xdr:from>
      <xdr:col>3</xdr:col>
      <xdr:colOff>43295</xdr:colOff>
      <xdr:row>134</xdr:row>
      <xdr:rowOff>90190</xdr:rowOff>
    </xdr:from>
    <xdr:to>
      <xdr:col>80</xdr:col>
      <xdr:colOff>8659</xdr:colOff>
      <xdr:row>142</xdr:row>
      <xdr:rowOff>113804</xdr:rowOff>
    </xdr:to>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443345" y="17416165"/>
          <a:ext cx="10628602" cy="1052314"/>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Note:</a:t>
          </a:r>
        </a:p>
        <a:p>
          <a:r>
            <a:rPr lang="en-IN" sz="1100">
              <a:solidFill>
                <a:schemeClr val="dk1"/>
              </a:solidFill>
              <a:effectLst/>
              <a:latin typeface="+mn-lt"/>
              <a:ea typeface="+mn-ea"/>
              <a:cs typeface="+mn-cs"/>
              <a:sym typeface="Wingdings 2" panose="05020102010507070707" pitchFamily="18" charset="2"/>
            </a:rPr>
            <a:t></a:t>
          </a:r>
          <a:r>
            <a:rPr lang="en-IN" sz="1100">
              <a:solidFill>
                <a:schemeClr val="dk1"/>
              </a:solidFill>
              <a:effectLst/>
              <a:latin typeface="+mn-lt"/>
              <a:ea typeface="+mn-ea"/>
              <a:cs typeface="+mn-cs"/>
            </a:rPr>
            <a:t> Recommended</a:t>
          </a:r>
          <a:r>
            <a:rPr lang="en-IN" sz="1100" baseline="0">
              <a:solidFill>
                <a:schemeClr val="dk1"/>
              </a:solidFill>
              <a:effectLst/>
              <a:latin typeface="+mn-lt"/>
              <a:ea typeface="+mn-ea"/>
              <a:cs typeface="+mn-cs"/>
            </a:rPr>
            <a:t> network bandwidth should be dedicated for Azure Site Recovery replication</a:t>
          </a:r>
          <a:endParaRPr lang="en-IN">
            <a:effectLst/>
          </a:endParaRPr>
        </a:p>
        <a:p>
          <a:r>
            <a:rPr lang="en-IN" sz="1100" baseline="0">
              <a:solidFill>
                <a:schemeClr val="dk1"/>
              </a:solidFill>
              <a:effectLst/>
              <a:latin typeface="+mn-lt"/>
              <a:ea typeface="+mn-ea"/>
              <a:cs typeface="+mn-cs"/>
              <a:sym typeface="Wingdings 2" panose="05020102010507070707" pitchFamily="18" charset="2"/>
            </a:rPr>
            <a:t></a:t>
          </a:r>
          <a:r>
            <a:rPr lang="en-IN" sz="1100" baseline="0">
              <a:solidFill>
                <a:schemeClr val="dk1"/>
              </a:solidFill>
              <a:effectLst/>
              <a:latin typeface="+mn-lt"/>
              <a:ea typeface="+mn-ea"/>
              <a:cs typeface="+mn-cs"/>
            </a:rPr>
            <a:t> Desired RPO implies acceptable delay of data transfer from on-premises to Azure</a:t>
          </a:r>
          <a:endParaRPr lang="en-IN">
            <a:effectLst/>
          </a:endParaRPr>
        </a:p>
        <a:p>
          <a:r>
            <a:rPr lang="en-IN" sz="1100" baseline="0">
              <a:solidFill>
                <a:schemeClr val="dk1"/>
              </a:solidFill>
              <a:effectLst/>
              <a:latin typeface="+mn-lt"/>
              <a:ea typeface="+mn-ea"/>
              <a:cs typeface="+mn-cs"/>
              <a:sym typeface="Wingdings 2" panose="05020102010507070707" pitchFamily="18" charset="2"/>
            </a:rPr>
            <a:t></a:t>
          </a:r>
          <a:r>
            <a:rPr lang="en-IN" sz="1100" baseline="0">
              <a:solidFill>
                <a:schemeClr val="dk1"/>
              </a:solidFill>
              <a:effectLst/>
              <a:latin typeface="+mn-lt"/>
              <a:ea typeface="+mn-ea"/>
              <a:cs typeface="+mn-cs"/>
            </a:rPr>
            <a:t> Number of RPO violations identified are spread across the total duration of profiling days and not just for one day</a:t>
          </a:r>
          <a:endParaRPr lang="en-IN">
            <a:effectLst/>
          </a:endParaRPr>
        </a:p>
        <a:p>
          <a:pPr eaLnBrk="1" fontAlgn="auto" latinLnBrk="0" hangingPunct="1"/>
          <a:r>
            <a:rPr lang="en-IN" sz="1100" baseline="0">
              <a:solidFill>
                <a:schemeClr val="dk1"/>
              </a:solidFill>
              <a:effectLst/>
              <a:latin typeface="+mn-lt"/>
              <a:ea typeface="+mn-ea"/>
              <a:cs typeface="+mn-cs"/>
              <a:sym typeface="Wingdings 2" panose="05020102010507070707" pitchFamily="18" charset="2"/>
            </a:rPr>
            <a:t></a:t>
          </a:r>
          <a:r>
            <a:rPr lang="en-IN" sz="1100" baseline="0">
              <a:solidFill>
                <a:schemeClr val="dk1"/>
              </a:solidFill>
              <a:effectLst/>
              <a:latin typeface="+mn-lt"/>
              <a:ea typeface="+mn-ea"/>
              <a:cs typeface="+mn-cs"/>
            </a:rPr>
            <a:t> There may be multiple RPO violations occurred on a day - the RPO violations graph shows the peak RPO hit every day</a:t>
          </a:r>
          <a:endParaRPr lang="en-IN">
            <a:effectLst/>
          </a:endParaRPr>
        </a:p>
      </xdr:txBody>
    </xdr:sp>
    <xdr:clientData/>
  </xdr:twoCellAnchor>
  <xdr:twoCellAnchor>
    <xdr:from>
      <xdr:col>6</xdr:col>
      <xdr:colOff>11339</xdr:colOff>
      <xdr:row>28</xdr:row>
      <xdr:rowOff>77932</xdr:rowOff>
    </xdr:from>
    <xdr:to>
      <xdr:col>27</xdr:col>
      <xdr:colOff>113392</xdr:colOff>
      <xdr:row>44</xdr:row>
      <xdr:rowOff>22680</xdr:rowOff>
    </xdr:to>
    <xdr:graphicFrame macro="">
      <xdr:nvGraphicFramePr>
        <xdr:cNvPr id="31" name="Chart 30">
          <a:extLst>
            <a:ext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60</xdr:col>
      <xdr:colOff>30480</xdr:colOff>
      <xdr:row>27</xdr:row>
      <xdr:rowOff>82749</xdr:rowOff>
    </xdr:from>
    <xdr:ext cx="545753" cy="502580"/>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4"/>
        <a:stretch>
          <a:fillRect/>
        </a:stretch>
      </xdr:blipFill>
      <xdr:spPr>
        <a:xfrm>
          <a:off x="8426768" y="3626049"/>
          <a:ext cx="545753" cy="502580"/>
        </a:xfrm>
        <a:prstGeom prst="rect">
          <a:avLst/>
        </a:prstGeom>
      </xdr:spPr>
    </xdr:pic>
    <xdr:clientData/>
  </xdr:oneCellAnchor>
  <xdr:twoCellAnchor>
    <xdr:from>
      <xdr:col>64</xdr:col>
      <xdr:colOff>53006</xdr:colOff>
      <xdr:row>26</xdr:row>
      <xdr:rowOff>92026</xdr:rowOff>
    </xdr:from>
    <xdr:to>
      <xdr:col>78</xdr:col>
      <xdr:colOff>90487</xdr:colOff>
      <xdr:row>31</xdr:row>
      <xdr:rowOff>53438</xdr:rowOff>
    </xdr:to>
    <xdr:sp macro="" textlink="Data!B19">
      <xdr:nvSpPr>
        <xdr:cNvPr id="33" name="TextBox 32">
          <a:extLst>
            <a:ext uri="{FF2B5EF4-FFF2-40B4-BE49-F238E27FC236}">
              <a16:creationId xmlns:a16="http://schemas.microsoft.com/office/drawing/2014/main" id="{00000000-0008-0000-0400-000021000000}"/>
            </a:ext>
          </a:extLst>
        </xdr:cNvPr>
        <xdr:cNvSpPr txBox="1"/>
      </xdr:nvSpPr>
      <xdr:spPr>
        <a:xfrm>
          <a:off x="8982694" y="3506739"/>
          <a:ext cx="1904381" cy="604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865C9F6-2372-4F44-BF45-6F05D8DA9963}" type="TxLink">
            <a:rPr lang="en-US" sz="3600" b="1" i="0" u="none" strike="noStrike">
              <a:solidFill>
                <a:srgbClr val="00B0F0"/>
              </a:solidFill>
              <a:latin typeface="Calibri"/>
              <a:ea typeface="+mn-ea"/>
              <a:cs typeface="Calibri"/>
            </a:rPr>
            <a:pPr marL="0" indent="0" algn="l"/>
            <a:t>851</a:t>
          </a:fld>
          <a:endParaRPr lang="en-US" sz="3600" b="1" i="0" u="none" strike="noStrike">
            <a:solidFill>
              <a:srgbClr val="00B0F0"/>
            </a:solidFill>
            <a:latin typeface="Calibri"/>
            <a:ea typeface="+mn-ea"/>
            <a:cs typeface="Calibri"/>
          </a:endParaRPr>
        </a:p>
      </xdr:txBody>
    </xdr:sp>
    <xdr:clientData/>
  </xdr:twoCellAnchor>
  <xdr:twoCellAnchor editAs="oneCell">
    <xdr:from>
      <xdr:col>55</xdr:col>
      <xdr:colOff>41337</xdr:colOff>
      <xdr:row>32</xdr:row>
      <xdr:rowOff>105223</xdr:rowOff>
    </xdr:from>
    <xdr:to>
      <xdr:col>57</xdr:col>
      <xdr:colOff>50996</xdr:colOff>
      <xdr:row>35</xdr:row>
      <xdr:rowOff>51955</xdr:rowOff>
    </xdr:to>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770875" y="4291461"/>
          <a:ext cx="276359" cy="332494"/>
        </a:xfrm>
        <a:prstGeom prst="rect">
          <a:avLst/>
        </a:prstGeom>
      </xdr:spPr>
    </xdr:pic>
    <xdr:clientData/>
  </xdr:twoCellAnchor>
  <xdr:twoCellAnchor>
    <xdr:from>
      <xdr:col>56</xdr:col>
      <xdr:colOff>83025</xdr:colOff>
      <xdr:row>51</xdr:row>
      <xdr:rowOff>99834</xdr:rowOff>
    </xdr:from>
    <xdr:to>
      <xdr:col>60</xdr:col>
      <xdr:colOff>33918</xdr:colOff>
      <xdr:row>53</xdr:row>
      <xdr:rowOff>119443</xdr:rowOff>
    </xdr:to>
    <xdr:sp macro="" textlink="">
      <xdr:nvSpPr>
        <xdr:cNvPr id="36" name="TextBox 35">
          <a:extLst>
            <a:ext uri="{FF2B5EF4-FFF2-40B4-BE49-F238E27FC236}">
              <a16:creationId xmlns:a16="http://schemas.microsoft.com/office/drawing/2014/main" id="{00000000-0008-0000-0400-000024000000}"/>
            </a:ext>
          </a:extLst>
        </xdr:cNvPr>
        <xdr:cNvSpPr txBox="1"/>
      </xdr:nvSpPr>
      <xdr:spPr>
        <a:xfrm>
          <a:off x="7945913" y="6729234"/>
          <a:ext cx="484293" cy="27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tx1"/>
              </a:solidFill>
            </a:rPr>
            <a:t>Mbps</a:t>
          </a:r>
        </a:p>
      </xdr:txBody>
    </xdr:sp>
    <xdr:clientData/>
  </xdr:twoCellAnchor>
  <xdr:twoCellAnchor>
    <xdr:from>
      <xdr:col>29</xdr:col>
      <xdr:colOff>120362</xdr:colOff>
      <xdr:row>51</xdr:row>
      <xdr:rowOff>3574</xdr:rowOff>
    </xdr:from>
    <xdr:to>
      <xdr:col>78</xdr:col>
      <xdr:colOff>2722</xdr:colOff>
      <xdr:row>68</xdr:row>
      <xdr:rowOff>10376</xdr:rowOff>
    </xdr:to>
    <xdr:graphicFrame macro="">
      <xdr:nvGraphicFramePr>
        <xdr:cNvPr id="37" name="Chart 36">
          <a:extLst>
            <a:ext uri="{FF2B5EF4-FFF2-40B4-BE49-F238E27FC236}">
              <a16:creationId xmlns:a16="http://schemas.microsoft.com/office/drawing/2014/main" id="{00000000-0008-0000-04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xdr:col>
      <xdr:colOff>58306</xdr:colOff>
      <xdr:row>45</xdr:row>
      <xdr:rowOff>12851</xdr:rowOff>
    </xdr:from>
    <xdr:to>
      <xdr:col>7</xdr:col>
      <xdr:colOff>14030</xdr:colOff>
      <xdr:row>46</xdr:row>
      <xdr:rowOff>116294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5056" y="5870726"/>
          <a:ext cx="234751" cy="232030"/>
        </a:xfrm>
        <a:prstGeom prst="rect">
          <a:avLst/>
        </a:prstGeom>
      </xdr:spPr>
    </xdr:pic>
    <xdr:clientData/>
  </xdr:twoCellAnchor>
  <xdr:twoCellAnchor>
    <xdr:from>
      <xdr:col>31</xdr:col>
      <xdr:colOff>1293</xdr:colOff>
      <xdr:row>24</xdr:row>
      <xdr:rowOff>76200</xdr:rowOff>
    </xdr:from>
    <xdr:to>
      <xdr:col>52</xdr:col>
      <xdr:colOff>117885</xdr:colOff>
      <xdr:row>44</xdr:row>
      <xdr:rowOff>30480</xdr:rowOff>
    </xdr:to>
    <xdr:graphicFrame macro="">
      <xdr:nvGraphicFramePr>
        <xdr:cNvPr id="40" name="Chart 39">
          <a:extLst>
            <a:ext uri="{FF2B5EF4-FFF2-40B4-BE49-F238E27FC236}">
              <a16:creationId xmlns:a16="http://schemas.microsoft.com/office/drawing/2014/main" id="{00000000-0008-0000-04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30</xdr:col>
      <xdr:colOff>53544</xdr:colOff>
      <xdr:row>45</xdr:row>
      <xdr:rowOff>12996</xdr:rowOff>
    </xdr:from>
    <xdr:to>
      <xdr:col>32</xdr:col>
      <xdr:colOff>18875</xdr:colOff>
      <xdr:row>46</xdr:row>
      <xdr:rowOff>113877</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449332" y="5870871"/>
          <a:ext cx="232030" cy="22946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73</xdr:col>
          <xdr:colOff>0</xdr:colOff>
          <xdr:row>95</xdr:row>
          <xdr:rowOff>38100</xdr:rowOff>
        </xdr:from>
        <xdr:to>
          <xdr:col>78</xdr:col>
          <xdr:colOff>0</xdr:colOff>
          <xdr:row>96</xdr:row>
          <xdr:rowOff>114300</xdr:rowOff>
        </xdr:to>
        <xdr:sp macro="" textlink="">
          <xdr:nvSpPr>
            <xdr:cNvPr id="35842" name="Drop Down 2" hidden="1">
              <a:extLst>
                <a:ext uri="{63B3BB69-23CF-44E3-9099-C40C66FF867C}">
                  <a14:compatExt spid="_x0000_s35842"/>
                </a:ext>
                <a:ext uri="{FF2B5EF4-FFF2-40B4-BE49-F238E27FC236}">
                  <a16:creationId xmlns:a16="http://schemas.microsoft.com/office/drawing/2014/main" id="{00000000-0008-0000-0400-00000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30</xdr:col>
      <xdr:colOff>13139</xdr:colOff>
      <xdr:row>102</xdr:row>
      <xdr:rowOff>28013</xdr:rowOff>
    </xdr:from>
    <xdr:to>
      <xdr:col>53</xdr:col>
      <xdr:colOff>78828</xdr:colOff>
      <xdr:row>117</xdr:row>
      <xdr:rowOff>105102</xdr:rowOff>
    </xdr:to>
    <xdr:graphicFrame macro="">
      <xdr:nvGraphicFramePr>
        <xdr:cNvPr id="46" name="Chart 45">
          <a:extLst>
            <a:ext uri="{FF2B5EF4-FFF2-40B4-BE49-F238E27FC236}">
              <a16:creationId xmlns:a16="http://schemas.microsoft.com/office/drawing/2014/main" id="{00000000-0008-0000-04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5</xdr:col>
      <xdr:colOff>37006</xdr:colOff>
      <xdr:row>118</xdr:row>
      <xdr:rowOff>96565</xdr:rowOff>
    </xdr:from>
    <xdr:to>
      <xdr:col>7</xdr:col>
      <xdr:colOff>41262</xdr:colOff>
      <xdr:row>121</xdr:row>
      <xdr:rowOff>48486</xdr:rowOff>
    </xdr:to>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756" y="15365140"/>
          <a:ext cx="283283" cy="337688"/>
        </a:xfrm>
        <a:prstGeom prst="rect">
          <a:avLst/>
        </a:prstGeom>
      </xdr:spPr>
    </xdr:pic>
    <xdr:clientData/>
  </xdr:twoCellAnchor>
  <xdr:twoCellAnchor>
    <xdr:from>
      <xdr:col>58</xdr:col>
      <xdr:colOff>7327</xdr:colOff>
      <xdr:row>39</xdr:row>
      <xdr:rowOff>70246</xdr:rowOff>
    </xdr:from>
    <xdr:to>
      <xdr:col>67</xdr:col>
      <xdr:colOff>41413</xdr:colOff>
      <xdr:row>44</xdr:row>
      <xdr:rowOff>40914</xdr:rowOff>
    </xdr:to>
    <xdr:sp macro="" textlink="Data!M51">
      <xdr:nvSpPr>
        <xdr:cNvPr id="56" name="TextBox 55">
          <a:extLst>
            <a:ext uri="{FF2B5EF4-FFF2-40B4-BE49-F238E27FC236}">
              <a16:creationId xmlns:a16="http://schemas.microsoft.com/office/drawing/2014/main" id="{00000000-0008-0000-0400-000038000000}"/>
            </a:ext>
          </a:extLst>
        </xdr:cNvPr>
        <xdr:cNvSpPr txBox="1"/>
      </xdr:nvSpPr>
      <xdr:spPr>
        <a:xfrm>
          <a:off x="7714295" y="5147485"/>
          <a:ext cx="1226781" cy="612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8FFBD88-898D-4E2A-9586-71AA43843717}" type="TxLink">
            <a:rPr lang="en-US" sz="3200" b="1" i="0" u="none" strike="noStrike">
              <a:solidFill>
                <a:srgbClr val="00B0F0"/>
              </a:solidFill>
              <a:latin typeface="Calibri"/>
              <a:ea typeface="+mn-ea"/>
              <a:cs typeface="Calibri"/>
            </a:rPr>
            <a:pPr marL="0" indent="0" algn="l"/>
            <a:t>496.79</a:t>
          </a:fld>
          <a:endParaRPr lang="en-US" sz="3200" b="1" i="0" u="none" strike="noStrike">
            <a:solidFill>
              <a:srgbClr val="00B0F0"/>
            </a:solidFill>
            <a:latin typeface="Calibri"/>
            <a:ea typeface="+mn-ea"/>
            <a:cs typeface="Calibri"/>
          </a:endParaRPr>
        </a:p>
      </xdr:txBody>
    </xdr:sp>
    <xdr:clientData/>
  </xdr:twoCellAnchor>
  <xdr:twoCellAnchor>
    <xdr:from>
      <xdr:col>6</xdr:col>
      <xdr:colOff>102053</xdr:colOff>
      <xdr:row>86</xdr:row>
      <xdr:rowOff>45367</xdr:rowOff>
    </xdr:from>
    <xdr:to>
      <xdr:col>26</xdr:col>
      <xdr:colOff>102053</xdr:colOff>
      <xdr:row>89</xdr:row>
      <xdr:rowOff>111047</xdr:rowOff>
    </xdr:to>
    <xdr:sp macro="" textlink="">
      <xdr:nvSpPr>
        <xdr:cNvPr id="61" name="TextBox 60">
          <a:extLst>
            <a:ext uri="{FF2B5EF4-FFF2-40B4-BE49-F238E27FC236}">
              <a16:creationId xmlns:a16="http://schemas.microsoft.com/office/drawing/2014/main" id="{00000000-0008-0000-0400-00003D000000}"/>
            </a:ext>
          </a:extLst>
        </xdr:cNvPr>
        <xdr:cNvSpPr txBox="1"/>
      </xdr:nvSpPr>
      <xdr:spPr>
        <a:xfrm>
          <a:off x="918482" y="11230438"/>
          <a:ext cx="2735035" cy="453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aseline="0">
              <a:solidFill>
                <a:schemeClr val="tx1"/>
              </a:solidFill>
            </a:rPr>
            <a:t>Number of batches in which VMs to be protected </a:t>
          </a:r>
          <a:endParaRPr lang="en-US" sz="900">
            <a:solidFill>
              <a:schemeClr val="tx1"/>
            </a:solidFill>
          </a:endParaRPr>
        </a:p>
      </xdr:txBody>
    </xdr:sp>
    <xdr:clientData/>
  </xdr:twoCellAnchor>
  <xdr:twoCellAnchor>
    <xdr:from>
      <xdr:col>11</xdr:col>
      <xdr:colOff>102372</xdr:colOff>
      <xdr:row>83</xdr:row>
      <xdr:rowOff>16552</xdr:rowOff>
    </xdr:from>
    <xdr:to>
      <xdr:col>20</xdr:col>
      <xdr:colOff>103845</xdr:colOff>
      <xdr:row>87</xdr:row>
      <xdr:rowOff>23355</xdr:rowOff>
    </xdr:to>
    <xdr:sp macro="" textlink="Data!F51">
      <xdr:nvSpPr>
        <xdr:cNvPr id="73" name="TextBox 72">
          <a:extLst>
            <a:ext uri="{FF2B5EF4-FFF2-40B4-BE49-F238E27FC236}">
              <a16:creationId xmlns:a16="http://schemas.microsoft.com/office/drawing/2014/main" id="{00000000-0008-0000-0400-000049000000}"/>
            </a:ext>
          </a:extLst>
        </xdr:cNvPr>
        <xdr:cNvSpPr txBox="1"/>
      </xdr:nvSpPr>
      <xdr:spPr>
        <a:xfrm>
          <a:off x="1612765" y="10813821"/>
          <a:ext cx="1226116" cy="523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94F9696-4CB4-4C86-9021-6719271977C8}" type="TxLink">
            <a:rPr lang="en-US" sz="2800" b="1" i="0" u="none" strike="noStrike">
              <a:solidFill>
                <a:srgbClr val="2B0082"/>
              </a:solidFill>
              <a:latin typeface="Calibri"/>
              <a:ea typeface="+mn-ea"/>
              <a:cs typeface="Calibri"/>
            </a:rPr>
            <a:pPr marL="0" indent="0" algn="ctr"/>
            <a:t>19</a:t>
          </a:fld>
          <a:endParaRPr lang="en-IN" sz="2800" b="1" i="0" u="none" strike="noStrike">
            <a:solidFill>
              <a:srgbClr val="2B0082"/>
            </a:solidFill>
            <a:latin typeface="Calibri"/>
            <a:ea typeface="+mn-ea"/>
            <a:cs typeface="Calibri"/>
          </a:endParaRPr>
        </a:p>
      </xdr:txBody>
    </xdr:sp>
    <xdr:clientData/>
  </xdr:twoCellAnchor>
  <xdr:twoCellAnchor>
    <xdr:from>
      <xdr:col>17</xdr:col>
      <xdr:colOff>51124</xdr:colOff>
      <xdr:row>77</xdr:row>
      <xdr:rowOff>63451</xdr:rowOff>
    </xdr:from>
    <xdr:to>
      <xdr:col>22</xdr:col>
      <xdr:colOff>47626</xdr:colOff>
      <xdr:row>79</xdr:row>
      <xdr:rowOff>54428</xdr:rowOff>
    </xdr:to>
    <xdr:sp macro="" textlink="Data!H51">
      <xdr:nvSpPr>
        <xdr:cNvPr id="76" name="TextBox 75">
          <a:extLst>
            <a:ext uri="{FF2B5EF4-FFF2-40B4-BE49-F238E27FC236}">
              <a16:creationId xmlns:a16="http://schemas.microsoft.com/office/drawing/2014/main" id="{00000000-0008-0000-0400-00004C000000}"/>
            </a:ext>
          </a:extLst>
        </xdr:cNvPr>
        <xdr:cNvSpPr txBox="1"/>
      </xdr:nvSpPr>
      <xdr:spPr>
        <a:xfrm>
          <a:off x="2377945" y="10085112"/>
          <a:ext cx="676860" cy="249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F330A14-2E2B-4421-A140-96AB59C98787}" type="TxLink">
            <a:rPr lang="en-US" sz="1000" b="0" i="0" u="none" strike="noStrike">
              <a:solidFill>
                <a:srgbClr val="2B0082"/>
              </a:solidFill>
              <a:latin typeface="Calibri"/>
              <a:ea typeface="+mn-ea"/>
              <a:cs typeface="Calibri"/>
            </a:rPr>
            <a:pPr marL="0" indent="0" algn="l"/>
            <a:t>Mbps</a:t>
          </a:fld>
          <a:endParaRPr lang="en-IN" sz="1000" b="0" i="0" u="none" strike="noStrike">
            <a:solidFill>
              <a:srgbClr val="2B0082"/>
            </a:solidFill>
            <a:latin typeface="Calibri"/>
            <a:ea typeface="+mn-ea"/>
            <a:cs typeface="Calibri"/>
          </a:endParaRPr>
        </a:p>
      </xdr:txBody>
    </xdr:sp>
    <xdr:clientData/>
  </xdr:twoCellAnchor>
  <xdr:twoCellAnchor>
    <xdr:from>
      <xdr:col>6</xdr:col>
      <xdr:colOff>112060</xdr:colOff>
      <xdr:row>79</xdr:row>
      <xdr:rowOff>36863</xdr:rowOff>
    </xdr:from>
    <xdr:to>
      <xdr:col>26</xdr:col>
      <xdr:colOff>112060</xdr:colOff>
      <xdr:row>83</xdr:row>
      <xdr:rowOff>71545</xdr:rowOff>
    </xdr:to>
    <xdr:sp macro="" textlink="">
      <xdr:nvSpPr>
        <xdr:cNvPr id="80" name="TextBox 79">
          <a:extLst>
            <a:ext uri="{FF2B5EF4-FFF2-40B4-BE49-F238E27FC236}">
              <a16:creationId xmlns:a16="http://schemas.microsoft.com/office/drawing/2014/main" id="{00000000-0008-0000-0400-000050000000}"/>
            </a:ext>
          </a:extLst>
        </xdr:cNvPr>
        <xdr:cNvSpPr txBox="1"/>
      </xdr:nvSpPr>
      <xdr:spPr>
        <a:xfrm>
          <a:off x="859406" y="9950190"/>
          <a:ext cx="2513135" cy="532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Minimum bandwidth</a:t>
          </a:r>
          <a:r>
            <a:rPr lang="en-US" sz="900" baseline="0">
              <a:solidFill>
                <a:schemeClr val="tx1"/>
              </a:solidFill>
            </a:rPr>
            <a:t> required</a:t>
          </a:r>
        </a:p>
      </xdr:txBody>
    </xdr:sp>
    <xdr:clientData/>
  </xdr:twoCellAnchor>
  <xdr:twoCellAnchor editAs="oneCell">
    <xdr:from>
      <xdr:col>55</xdr:col>
      <xdr:colOff>58615</xdr:colOff>
      <xdr:row>40</xdr:row>
      <xdr:rowOff>117232</xdr:rowOff>
    </xdr:from>
    <xdr:to>
      <xdr:col>58</xdr:col>
      <xdr:colOff>69312</xdr:colOff>
      <xdr:row>43</xdr:row>
      <xdr:rowOff>58617</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0"/>
        <a:stretch>
          <a:fillRect/>
        </a:stretch>
      </xdr:blipFill>
      <xdr:spPr>
        <a:xfrm>
          <a:off x="6931269" y="5172809"/>
          <a:ext cx="384370" cy="315057"/>
        </a:xfrm>
        <a:prstGeom prst="rect">
          <a:avLst/>
        </a:prstGeom>
      </xdr:spPr>
    </xdr:pic>
    <xdr:clientData/>
  </xdr:twoCellAnchor>
  <xdr:oneCellAnchor>
    <xdr:from>
      <xdr:col>5</xdr:col>
      <xdr:colOff>67674</xdr:colOff>
      <xdr:row>92</xdr:row>
      <xdr:rowOff>19799</xdr:rowOff>
    </xdr:from>
    <xdr:ext cx="237474" cy="230147"/>
    <xdr:pic>
      <xdr:nvPicPr>
        <xdr:cNvPr id="65" name="Picture 64">
          <a:extLst>
            <a:ext uri="{FF2B5EF4-FFF2-40B4-BE49-F238E27FC236}">
              <a16:creationId xmlns:a16="http://schemas.microsoft.com/office/drawing/2014/main" id="{00000000-0008-0000-0400-00004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90462" y="11552376"/>
          <a:ext cx="237474" cy="230147"/>
        </a:xfrm>
        <a:prstGeom prst="rect">
          <a:avLst/>
        </a:prstGeom>
      </xdr:spPr>
    </xdr:pic>
    <xdr:clientData/>
  </xdr:oneCellAnchor>
  <xdr:twoCellAnchor>
    <xdr:from>
      <xdr:col>7</xdr:col>
      <xdr:colOff>34018</xdr:colOff>
      <xdr:row>75</xdr:row>
      <xdr:rowOff>77783</xdr:rowOff>
    </xdr:from>
    <xdr:to>
      <xdr:col>18</xdr:col>
      <xdr:colOff>33192</xdr:colOff>
      <xdr:row>79</xdr:row>
      <xdr:rowOff>84585</xdr:rowOff>
    </xdr:to>
    <xdr:sp macro="" textlink="Data!G51">
      <xdr:nvSpPr>
        <xdr:cNvPr id="67" name="TextBox 66">
          <a:extLst>
            <a:ext uri="{FF2B5EF4-FFF2-40B4-BE49-F238E27FC236}">
              <a16:creationId xmlns:a16="http://schemas.microsoft.com/office/drawing/2014/main" id="{00000000-0008-0000-0400-000043000000}"/>
            </a:ext>
          </a:extLst>
        </xdr:cNvPr>
        <xdr:cNvSpPr txBox="1"/>
      </xdr:nvSpPr>
      <xdr:spPr>
        <a:xfrm>
          <a:off x="1000125" y="9840909"/>
          <a:ext cx="1495960" cy="523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7CE9B66-6202-40C0-80FF-A52AB9EFE958}" type="TxLink">
            <a:rPr lang="en-US" sz="2800" b="1" i="0" u="none" strike="noStrike">
              <a:solidFill>
                <a:srgbClr val="2B0082"/>
              </a:solidFill>
              <a:latin typeface="Calibri"/>
              <a:ea typeface="+mn-ea"/>
              <a:cs typeface="Calibri"/>
            </a:rPr>
            <a:pPr marL="0" indent="0" algn="r"/>
            <a:t>959.0</a:t>
          </a:fld>
          <a:endParaRPr lang="en-IN" sz="2800" b="1" i="0" u="none" strike="noStrike">
            <a:solidFill>
              <a:srgbClr val="2B0082"/>
            </a:solidFill>
            <a:latin typeface="Calibri"/>
            <a:ea typeface="+mn-ea"/>
            <a:cs typeface="Calibri"/>
          </a:endParaRPr>
        </a:p>
      </xdr:txBody>
    </xdr:sp>
    <xdr:clientData/>
  </xdr:twoCellAnchor>
  <xdr:twoCellAnchor>
    <xdr:from>
      <xdr:col>68</xdr:col>
      <xdr:colOff>14652</xdr:colOff>
      <xdr:row>39</xdr:row>
      <xdr:rowOff>122756</xdr:rowOff>
    </xdr:from>
    <xdr:to>
      <xdr:col>75</xdr:col>
      <xdr:colOff>22385</xdr:colOff>
      <xdr:row>43</xdr:row>
      <xdr:rowOff>105007</xdr:rowOff>
    </xdr:to>
    <xdr:sp macro="" textlink="Data!J51">
      <xdr:nvSpPr>
        <xdr:cNvPr id="70" name="TextBox 69">
          <a:extLst>
            <a:ext uri="{FF2B5EF4-FFF2-40B4-BE49-F238E27FC236}">
              <a16:creationId xmlns:a16="http://schemas.microsoft.com/office/drawing/2014/main" id="{00000000-0008-0000-0400-000046000000}"/>
            </a:ext>
          </a:extLst>
        </xdr:cNvPr>
        <xdr:cNvSpPr txBox="1"/>
      </xdr:nvSpPr>
      <xdr:spPr>
        <a:xfrm>
          <a:off x="8506556" y="5053775"/>
          <a:ext cx="879637" cy="480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C43C7ED-97AD-4721-830A-CF80EBFFFEED}" type="TxLink">
            <a:rPr lang="en-US" sz="3200" b="1" i="0" u="none" strike="noStrike">
              <a:solidFill>
                <a:srgbClr val="00B0F0"/>
              </a:solidFill>
              <a:latin typeface="Calibri"/>
              <a:ea typeface="+mn-ea"/>
              <a:cs typeface="Calibri"/>
            </a:rPr>
            <a:pPr marL="0" indent="0" algn="r"/>
            <a:t>5</a:t>
          </a:fld>
          <a:endParaRPr lang="en-IN" sz="3200" b="1" i="0" u="none" strike="noStrike">
            <a:solidFill>
              <a:srgbClr val="00B0F0"/>
            </a:solidFill>
            <a:latin typeface="Calibri"/>
            <a:ea typeface="+mn-ea"/>
            <a:cs typeface="Calibri"/>
          </a:endParaRPr>
        </a:p>
      </xdr:txBody>
    </xdr:sp>
    <xdr:clientData/>
  </xdr:twoCellAnchor>
  <xdr:twoCellAnchor>
    <xdr:from>
      <xdr:col>73</xdr:col>
      <xdr:colOff>116486</xdr:colOff>
      <xdr:row>41</xdr:row>
      <xdr:rowOff>63568</xdr:rowOff>
    </xdr:from>
    <xdr:to>
      <xdr:col>79</xdr:col>
      <xdr:colOff>40821</xdr:colOff>
      <xdr:row>43</xdr:row>
      <xdr:rowOff>13608</xdr:rowOff>
    </xdr:to>
    <xdr:sp macro="" textlink="Data!K51">
      <xdr:nvSpPr>
        <xdr:cNvPr id="71" name="TextBox 70">
          <a:extLst>
            <a:ext uri="{FF2B5EF4-FFF2-40B4-BE49-F238E27FC236}">
              <a16:creationId xmlns:a16="http://schemas.microsoft.com/office/drawing/2014/main" id="{00000000-0008-0000-0400-000047000000}"/>
            </a:ext>
          </a:extLst>
        </xdr:cNvPr>
        <xdr:cNvSpPr txBox="1"/>
      </xdr:nvSpPr>
      <xdr:spPr>
        <a:xfrm>
          <a:off x="9083593" y="5166247"/>
          <a:ext cx="659121" cy="194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8792617-2DB4-4D97-89E5-195C806D373D}" type="TxLink">
            <a:rPr lang="en-US" sz="1100" b="0" i="0" u="none" strike="noStrike">
              <a:solidFill>
                <a:srgbClr val="00B0F0"/>
              </a:solidFill>
              <a:latin typeface="Calibri"/>
              <a:ea typeface="+mn-ea"/>
              <a:cs typeface="Calibri"/>
            </a:rPr>
            <a:pPr marL="0" indent="0" algn="r"/>
            <a:t>Minutes</a:t>
          </a:fld>
          <a:endParaRPr lang="en-IN" sz="1100" b="0" i="0" u="none" strike="noStrike">
            <a:solidFill>
              <a:srgbClr val="00B0F0"/>
            </a:solidFill>
            <a:latin typeface="Calibri"/>
            <a:ea typeface="+mn-ea"/>
            <a:cs typeface="Calibri"/>
          </a:endParaRPr>
        </a:p>
      </xdr:txBody>
    </xdr:sp>
    <xdr:clientData/>
  </xdr:twoCellAnchor>
  <xdr:oneCellAnchor>
    <xdr:from>
      <xdr:col>55</xdr:col>
      <xdr:colOff>82328</xdr:colOff>
      <xdr:row>45</xdr:row>
      <xdr:rowOff>12473</xdr:rowOff>
    </xdr:from>
    <xdr:ext cx="237474" cy="230147"/>
    <xdr:pic>
      <xdr:nvPicPr>
        <xdr:cNvPr id="74" name="Picture 73">
          <a:extLst>
            <a:ext uri="{FF2B5EF4-FFF2-40B4-BE49-F238E27FC236}">
              <a16:creationId xmlns:a16="http://schemas.microsoft.com/office/drawing/2014/main" id="{00000000-0008-0000-0400-00004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954982" y="5690838"/>
          <a:ext cx="237474" cy="230147"/>
        </a:xfrm>
        <a:prstGeom prst="rect">
          <a:avLst/>
        </a:prstGeom>
      </xdr:spPr>
    </xdr:pic>
    <xdr:clientData/>
  </xdr:oneCellAnchor>
  <xdr:oneCellAnchor>
    <xdr:from>
      <xdr:col>67</xdr:col>
      <xdr:colOff>60347</xdr:colOff>
      <xdr:row>45</xdr:row>
      <xdr:rowOff>12473</xdr:rowOff>
    </xdr:from>
    <xdr:ext cx="237474" cy="230147"/>
    <xdr:pic>
      <xdr:nvPicPr>
        <xdr:cNvPr id="77" name="Picture 76">
          <a:extLst>
            <a:ext uri="{FF2B5EF4-FFF2-40B4-BE49-F238E27FC236}">
              <a16:creationId xmlns:a16="http://schemas.microsoft.com/office/drawing/2014/main" id="{00000000-0008-0000-0400-00004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27693" y="5690838"/>
          <a:ext cx="237474" cy="230147"/>
        </a:xfrm>
        <a:prstGeom prst="rect">
          <a:avLst/>
        </a:prstGeom>
      </xdr:spPr>
    </xdr:pic>
    <xdr:clientData/>
  </xdr:oneCellAnchor>
  <xdr:twoCellAnchor>
    <xdr:from>
      <xdr:col>30</xdr:col>
      <xdr:colOff>125865</xdr:colOff>
      <xdr:row>71</xdr:row>
      <xdr:rowOff>40821</xdr:rowOff>
    </xdr:from>
    <xdr:to>
      <xdr:col>77</xdr:col>
      <xdr:colOff>95250</xdr:colOff>
      <xdr:row>92</xdr:row>
      <xdr:rowOff>115659</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54</xdr:col>
      <xdr:colOff>104054</xdr:colOff>
      <xdr:row>98</xdr:row>
      <xdr:rowOff>16329</xdr:rowOff>
    </xdr:from>
    <xdr:to>
      <xdr:col>78</xdr:col>
      <xdr:colOff>14407</xdr:colOff>
      <xdr:row>117</xdr:row>
      <xdr:rowOff>122464</xdr:rowOff>
    </xdr:to>
    <xdr:graphicFrame macro="">
      <xdr:nvGraphicFramePr>
        <xdr:cNvPr id="50" name="Chart 49">
          <a:extLst>
            <a:ext uri="{FF2B5EF4-FFF2-40B4-BE49-F238E27FC236}">
              <a16:creationId xmlns:a16="http://schemas.microsoft.com/office/drawing/2014/main" id="{00000000-0008-0000-04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55</xdr:col>
      <xdr:colOff>54428</xdr:colOff>
      <xdr:row>98</xdr:row>
      <xdr:rowOff>48985</xdr:rowOff>
    </xdr:from>
    <xdr:to>
      <xdr:col>77</xdr:col>
      <xdr:colOff>79075</xdr:colOff>
      <xdr:row>100</xdr:row>
      <xdr:rowOff>10885</xdr:rowOff>
    </xdr:to>
    <xdr:sp macro="" textlink="">
      <xdr:nvSpPr>
        <xdr:cNvPr id="55" name="TextBox 54">
          <a:extLst>
            <a:ext uri="{FF2B5EF4-FFF2-40B4-BE49-F238E27FC236}">
              <a16:creationId xmlns:a16="http://schemas.microsoft.com/office/drawing/2014/main" id="{00000000-0008-0000-0400-000037000000}"/>
            </a:ext>
          </a:extLst>
        </xdr:cNvPr>
        <xdr:cNvSpPr txBox="1"/>
      </xdr:nvSpPr>
      <xdr:spPr>
        <a:xfrm>
          <a:off x="7417253" y="12721998"/>
          <a:ext cx="2958347"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b="1"/>
            <a:t>Azure Storage </a:t>
          </a:r>
          <a:r>
            <a:rPr lang="en-US" b="1">
              <a:solidFill>
                <a:schemeClr val="tx1">
                  <a:lumMod val="85000"/>
                  <a:lumOff val="15000"/>
                </a:schemeClr>
              </a:solidFill>
            </a:rPr>
            <a:t>Cost</a:t>
          </a:r>
          <a:r>
            <a:rPr lang="en-US" b="1"/>
            <a:t> per Month</a:t>
          </a:r>
          <a:endParaRPr lang="en-US" sz="1100" b="1">
            <a:solidFill>
              <a:schemeClr val="tx1">
                <a:lumMod val="85000"/>
                <a:lumOff val="15000"/>
              </a:schemeClr>
            </a:solidFill>
          </a:endParaRPr>
        </a:p>
      </xdr:txBody>
    </xdr:sp>
    <xdr:clientData/>
  </xdr:twoCellAnchor>
  <xdr:twoCellAnchor>
    <xdr:from>
      <xdr:col>60</xdr:col>
      <xdr:colOff>9295</xdr:colOff>
      <xdr:row>99</xdr:row>
      <xdr:rowOff>125450</xdr:rowOff>
    </xdr:from>
    <xdr:to>
      <xdr:col>73</xdr:col>
      <xdr:colOff>27879</xdr:colOff>
      <xdr:row>101</xdr:row>
      <xdr:rowOff>32522</xdr:rowOff>
    </xdr:to>
    <xdr:sp macro="" textlink="Prices!AM3">
      <xdr:nvSpPr>
        <xdr:cNvPr id="57" name="TextBox 56">
          <a:extLst>
            <a:ext uri="{FF2B5EF4-FFF2-40B4-BE49-F238E27FC236}">
              <a16:creationId xmlns:a16="http://schemas.microsoft.com/office/drawing/2014/main" id="{00000000-0008-0000-0400-000039000000}"/>
            </a:ext>
          </a:extLst>
        </xdr:cNvPr>
        <xdr:cNvSpPr txBox="1"/>
      </xdr:nvSpPr>
      <xdr:spPr>
        <a:xfrm>
          <a:off x="8038870" y="12927050"/>
          <a:ext cx="1752134" cy="188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5FF2A9-ED5F-4BA5-A2A9-3DF24DEEF88C}" type="TxLink">
            <a:rPr lang="en-US" sz="1100" b="0" i="0" u="none" strike="noStrike">
              <a:solidFill>
                <a:schemeClr val="tx1">
                  <a:lumMod val="85000"/>
                  <a:lumOff val="15000"/>
                </a:schemeClr>
              </a:solidFill>
              <a:latin typeface="Calibri"/>
              <a:cs typeface="Calibri"/>
            </a:rPr>
            <a:pPr algn="ctr"/>
            <a:t>US Dollar ($)</a:t>
          </a:fld>
          <a:endParaRPr lang="en-US" sz="900">
            <a:solidFill>
              <a:schemeClr val="tx1">
                <a:lumMod val="85000"/>
                <a:lumOff val="15000"/>
              </a:schemeClr>
            </a:solidFill>
          </a:endParaRPr>
        </a:p>
      </xdr:txBody>
    </xdr:sp>
    <xdr:clientData/>
  </xdr:twoCellAnchor>
  <xdr:twoCellAnchor>
    <xdr:from>
      <xdr:col>29</xdr:col>
      <xdr:colOff>39220</xdr:colOff>
      <xdr:row>102</xdr:row>
      <xdr:rowOff>89647</xdr:rowOff>
    </xdr:from>
    <xdr:to>
      <xdr:col>54</xdr:col>
      <xdr:colOff>50254</xdr:colOff>
      <xdr:row>118</xdr:row>
      <xdr:rowOff>16809</xdr:rowOff>
    </xdr:to>
    <xdr:graphicFrame macro="">
      <xdr:nvGraphicFramePr>
        <xdr:cNvPr id="52" name="Chart 51">
          <a:extLst>
            <a:ext uri="{FF2B5EF4-FFF2-40B4-BE49-F238E27FC236}">
              <a16:creationId xmlns:a16="http://schemas.microsoft.com/office/drawing/2014/main" id="{00000000-0008-0000-04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13139</xdr:colOff>
      <xdr:row>102</xdr:row>
      <xdr:rowOff>95249</xdr:rowOff>
    </xdr:from>
    <xdr:to>
      <xdr:col>53</xdr:col>
      <xdr:colOff>78828</xdr:colOff>
      <xdr:row>117</xdr:row>
      <xdr:rowOff>105103</xdr:rowOff>
    </xdr:to>
    <xdr:graphicFrame macro="">
      <xdr:nvGraphicFramePr>
        <xdr:cNvPr id="53" name="Chart 52">
          <a:extLst>
            <a:ext uri="{FF2B5EF4-FFF2-40B4-BE49-F238E27FC236}">
              <a16:creationId xmlns:a16="http://schemas.microsoft.com/office/drawing/2014/main" id="{00000000-0008-0000-04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90489</xdr:colOff>
      <xdr:row>102</xdr:row>
      <xdr:rowOff>78440</xdr:rowOff>
    </xdr:from>
    <xdr:to>
      <xdr:col>28</xdr:col>
      <xdr:colOff>117661</xdr:colOff>
      <xdr:row>118</xdr:row>
      <xdr:rowOff>34016</xdr:rowOff>
    </xdr:to>
    <xdr:graphicFrame macro="">
      <xdr:nvGraphicFramePr>
        <xdr:cNvPr id="58" name="Chart 57">
          <a:extLst>
            <a:ext uri="{FF2B5EF4-FFF2-40B4-BE49-F238E27FC236}">
              <a16:creationId xmlns:a16="http://schemas.microsoft.com/office/drawing/2014/main" id="{00000000-0008-0000-04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0.22821</cdr:x>
      <cdr:y>0.16023</cdr:y>
    </cdr:from>
    <cdr:to>
      <cdr:x>0.53918</cdr:x>
      <cdr:y>0.24876</cdr:y>
    </cdr:to>
    <cdr:sp macro="" textlink="">
      <cdr:nvSpPr>
        <cdr:cNvPr id="2" name="TextBox 1">
          <a:extLst xmlns:a="http://schemas.openxmlformats.org/drawingml/2006/main">
            <a:ext uri="{FF2B5EF4-FFF2-40B4-BE49-F238E27FC236}">
              <a16:creationId xmlns:a16="http://schemas.microsoft.com/office/drawing/2014/main" id="{4EF235FB-4E78-4630-ABAB-FE568F59A21B}"/>
            </a:ext>
          </a:extLst>
        </cdr:cNvPr>
        <cdr:cNvSpPr txBox="1"/>
      </cdr:nvSpPr>
      <cdr:spPr>
        <a:xfrm xmlns:a="http://schemas.openxmlformats.org/drawingml/2006/main">
          <a:off x="671060" y="405653"/>
          <a:ext cx="914400" cy="22411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0.34899</cdr:x>
      <cdr:y>0.07743</cdr:y>
    </cdr:from>
    <cdr:to>
      <cdr:x>0.54833</cdr:x>
      <cdr:y>0.1793</cdr:y>
    </cdr:to>
    <cdr:sp macro="" textlink="">
      <cdr:nvSpPr>
        <cdr:cNvPr id="4" name="TextBox 3">
          <a:extLst xmlns:a="http://schemas.openxmlformats.org/drawingml/2006/main">
            <a:ext uri="{FF2B5EF4-FFF2-40B4-BE49-F238E27FC236}">
              <a16:creationId xmlns:a16="http://schemas.microsoft.com/office/drawing/2014/main" id="{E8D9D21E-E2C2-40F3-A372-C9F57430D6EA}"/>
            </a:ext>
          </a:extLst>
        </cdr:cNvPr>
        <cdr:cNvSpPr txBox="1"/>
      </cdr:nvSpPr>
      <cdr:spPr>
        <a:xfrm xmlns:a="http://schemas.openxmlformats.org/drawingml/2006/main">
          <a:off x="951207" y="188847"/>
          <a:ext cx="543329" cy="2484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b="1"/>
            <a:t>Total:</a:t>
          </a:r>
        </a:p>
      </cdr:txBody>
    </cdr:sp>
  </cdr:relSizeAnchor>
  <cdr:relSizeAnchor xmlns:cdr="http://schemas.openxmlformats.org/drawingml/2006/chartDrawing">
    <cdr:from>
      <cdr:x>0.49143</cdr:x>
      <cdr:y>0.07743</cdr:y>
    </cdr:from>
    <cdr:to>
      <cdr:x>0.70999</cdr:x>
      <cdr:y>0.18219</cdr:y>
    </cdr:to>
    <cdr:sp macro="" textlink="Data!$B$18">
      <cdr:nvSpPr>
        <cdr:cNvPr id="5" name="TextBox 1">
          <a:extLst xmlns:a="http://schemas.openxmlformats.org/drawingml/2006/main">
            <a:ext uri="{FF2B5EF4-FFF2-40B4-BE49-F238E27FC236}">
              <a16:creationId xmlns:a16="http://schemas.microsoft.com/office/drawing/2014/main" id="{219F6831-25EF-4661-9E60-D4309253A176}"/>
            </a:ext>
          </a:extLst>
        </cdr:cNvPr>
        <cdr:cNvSpPr txBox="1"/>
      </cdr:nvSpPr>
      <cdr:spPr>
        <a:xfrm xmlns:a="http://schemas.openxmlformats.org/drawingml/2006/main">
          <a:off x="1321121" y="186099"/>
          <a:ext cx="587564" cy="2517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39A662B-64C2-4995-92BE-12C90C42BBBA}" type="TxLink">
            <a:rPr lang="en-US" sz="1100" b="1" i="0" u="none" strike="noStrike">
              <a:solidFill>
                <a:srgbClr val="000000"/>
              </a:solidFill>
              <a:latin typeface="Calibri"/>
              <a:cs typeface="Calibri"/>
            </a:rPr>
            <a:pPr algn="l"/>
            <a:t>3</a:t>
          </a:fld>
          <a:endParaRPr lang="en-IN" sz="1100" b="1"/>
        </a:p>
      </cdr:txBody>
    </cdr:sp>
  </cdr:relSizeAnchor>
  <cdr:relSizeAnchor xmlns:cdr="http://schemas.openxmlformats.org/drawingml/2006/chartDrawing">
    <cdr:from>
      <cdr:x>0.07267</cdr:x>
      <cdr:y>0</cdr:y>
    </cdr:from>
    <cdr:to>
      <cdr:x>1</cdr:x>
      <cdr:y>0.11724</cdr:y>
    </cdr:to>
    <cdr:sp macro="" textlink="">
      <cdr:nvSpPr>
        <cdr:cNvPr id="6" name="TextBox 59">
          <a:extLst xmlns:a="http://schemas.openxmlformats.org/drawingml/2006/main">
            <a:ext uri="{FF2B5EF4-FFF2-40B4-BE49-F238E27FC236}">
              <a16:creationId xmlns:a16="http://schemas.microsoft.com/office/drawing/2014/main" id="{00000000-0008-0000-0300-00003C000000}"/>
            </a:ext>
          </a:extLst>
        </cdr:cNvPr>
        <cdr:cNvSpPr txBox="1"/>
      </cdr:nvSpPr>
      <cdr:spPr>
        <a:xfrm xmlns:a="http://schemas.openxmlformats.org/drawingml/2006/main">
          <a:off x="195365" y="0"/>
          <a:ext cx="2492977" cy="28178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b="1">
              <a:solidFill>
                <a:schemeClr val="tx1">
                  <a:lumMod val="85000"/>
                  <a:lumOff val="15000"/>
                </a:schemeClr>
              </a:solidFill>
            </a:rPr>
            <a:t>Required Azure Storage Accounts</a:t>
          </a:r>
        </a:p>
      </cdr:txBody>
    </cdr:sp>
  </cdr:relSizeAnchor>
</c:userShapes>
</file>

<file path=xl/drawings/drawing4.xml><?xml version="1.0" encoding="utf-8"?>
<c:userShapes xmlns:c="http://schemas.openxmlformats.org/drawingml/2006/chart">
  <cdr:relSizeAnchor xmlns:cdr="http://schemas.openxmlformats.org/drawingml/2006/chartDrawing">
    <cdr:from>
      <cdr:x>0.22821</cdr:x>
      <cdr:y>0.16023</cdr:y>
    </cdr:from>
    <cdr:to>
      <cdr:x>0.53918</cdr:x>
      <cdr:y>0.24876</cdr:y>
    </cdr:to>
    <cdr:sp macro="" textlink="">
      <cdr:nvSpPr>
        <cdr:cNvPr id="2" name="TextBox 1">
          <a:extLst xmlns:a="http://schemas.openxmlformats.org/drawingml/2006/main">
            <a:ext uri="{FF2B5EF4-FFF2-40B4-BE49-F238E27FC236}">
              <a16:creationId xmlns:a16="http://schemas.microsoft.com/office/drawing/2014/main" id="{4EF235FB-4E78-4630-ABAB-FE568F59A21B}"/>
            </a:ext>
          </a:extLst>
        </cdr:cNvPr>
        <cdr:cNvSpPr txBox="1"/>
      </cdr:nvSpPr>
      <cdr:spPr>
        <a:xfrm xmlns:a="http://schemas.openxmlformats.org/drawingml/2006/main">
          <a:off x="671060" y="405653"/>
          <a:ext cx="914400" cy="22411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0</xdr:col>
      <xdr:colOff>1502122</xdr:colOff>
      <xdr:row>0</xdr:row>
      <xdr:rowOff>134844</xdr:rowOff>
    </xdr:from>
    <xdr:to>
      <xdr:col>1</xdr:col>
      <xdr:colOff>126114</xdr:colOff>
      <xdr:row>0</xdr:row>
      <xdr:rowOff>601800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502122" y="134844"/>
          <a:ext cx="605192" cy="466956"/>
        </a:xfrm>
        <a:prstGeom prst="rect">
          <a:avLst/>
        </a:prstGeom>
      </xdr:spPr>
    </xdr:pic>
    <xdr:clientData/>
  </xdr:twoCellAnchor>
  <xdr:twoCellAnchor editAs="oneCell">
    <xdr:from>
      <xdr:col>0</xdr:col>
      <xdr:colOff>1502122</xdr:colOff>
      <xdr:row>0</xdr:row>
      <xdr:rowOff>134844</xdr:rowOff>
    </xdr:from>
    <xdr:to>
      <xdr:col>1</xdr:col>
      <xdr:colOff>126114</xdr:colOff>
      <xdr:row>0</xdr:row>
      <xdr:rowOff>601800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1502122" y="134844"/>
          <a:ext cx="748067" cy="46695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731158</xdr:colOff>
      <xdr:row>0</xdr:row>
      <xdr:rowOff>90021</xdr:rowOff>
    </xdr:from>
    <xdr:to>
      <xdr:col>1</xdr:col>
      <xdr:colOff>1336350</xdr:colOff>
      <xdr:row>0</xdr:row>
      <xdr:rowOff>556977</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712358" y="90021"/>
          <a:ext cx="605192" cy="46695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731158</xdr:colOff>
      <xdr:row>0</xdr:row>
      <xdr:rowOff>90021</xdr:rowOff>
    </xdr:from>
    <xdr:to>
      <xdr:col>1</xdr:col>
      <xdr:colOff>1336350</xdr:colOff>
      <xdr:row>0</xdr:row>
      <xdr:rowOff>556977</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712358" y="90021"/>
          <a:ext cx="605192" cy="46695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731158</xdr:colOff>
      <xdr:row>0</xdr:row>
      <xdr:rowOff>90021</xdr:rowOff>
    </xdr:from>
    <xdr:to>
      <xdr:col>1</xdr:col>
      <xdr:colOff>1336350</xdr:colOff>
      <xdr:row>0</xdr:row>
      <xdr:rowOff>556977</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712358" y="90021"/>
          <a:ext cx="605192" cy="46695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1657350</xdr:colOff>
          <xdr:row>35</xdr:row>
          <xdr:rowOff>57150</xdr:rowOff>
        </xdr:from>
        <xdr:to>
          <xdr:col>1</xdr:col>
          <xdr:colOff>1028700</xdr:colOff>
          <xdr:row>35</xdr:row>
          <xdr:rowOff>247650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C00-000003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Re-calculate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35</xdr:row>
          <xdr:rowOff>57150</xdr:rowOff>
        </xdr:from>
        <xdr:to>
          <xdr:col>0</xdr:col>
          <xdr:colOff>1504950</xdr:colOff>
          <xdr:row>35</xdr:row>
          <xdr:rowOff>247650</xdr:rowOff>
        </xdr:to>
        <xdr:sp macro="" textlink="">
          <xdr:nvSpPr>
            <xdr:cNvPr id="34837" name="Button 21" hidden="1">
              <a:extLst>
                <a:ext uri="{63B3BB69-23CF-44E3-9099-C40C66FF867C}">
                  <a14:compatExt spid="_x0000_s34837"/>
                </a:ext>
                <a:ext uri="{FF2B5EF4-FFF2-40B4-BE49-F238E27FC236}">
                  <a16:creationId xmlns:a16="http://schemas.microsoft.com/office/drawing/2014/main" id="{00000000-0008-0000-0C00-000015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Insert row</a:t>
              </a:r>
            </a:p>
          </xdr:txBody>
        </xdr:sp>
        <xdr:clientData fPrintsWithSheet="0"/>
      </xdr:twoCellAnchor>
    </mc:Choice>
    <mc:Fallback/>
  </mc:AlternateContent>
  <xdr:twoCellAnchor editAs="oneCell">
    <xdr:from>
      <xdr:col>1</xdr:col>
      <xdr:colOff>86447</xdr:colOff>
      <xdr:row>0</xdr:row>
      <xdr:rowOff>176893</xdr:rowOff>
    </xdr:from>
    <xdr:to>
      <xdr:col>1</xdr:col>
      <xdr:colOff>708413</xdr:colOff>
      <xdr:row>0</xdr:row>
      <xdr:rowOff>662973</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1"/>
        <a:stretch>
          <a:fillRect/>
        </a:stretch>
      </xdr:blipFill>
      <xdr:spPr>
        <a:xfrm>
          <a:off x="2141126" y="176893"/>
          <a:ext cx="621966" cy="486080"/>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904875</xdr:colOff>
          <xdr:row>38</xdr:row>
          <xdr:rowOff>9525</xdr:rowOff>
        </xdr:from>
        <xdr:to>
          <xdr:col>11</xdr:col>
          <xdr:colOff>0</xdr:colOff>
          <xdr:row>38</xdr:row>
          <xdr:rowOff>171450</xdr:rowOff>
        </xdr:to>
        <xdr:sp macro="" textlink="">
          <xdr:nvSpPr>
            <xdr:cNvPr id="34840" name="Button 24" hidden="1">
              <a:extLst>
                <a:ext uri="{63B3BB69-23CF-44E3-9099-C40C66FF867C}">
                  <a14:compatExt spid="_x0000_s34840"/>
                </a:ext>
                <a:ext uri="{FF2B5EF4-FFF2-40B4-BE49-F238E27FC236}">
                  <a16:creationId xmlns:a16="http://schemas.microsoft.com/office/drawing/2014/main" id="{00000000-0008-0000-0C00-000018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cs typeface="Calibri"/>
                </a:rPr>
                <a:t>Apply to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733425</xdr:colOff>
          <xdr:row>38</xdr:row>
          <xdr:rowOff>9525</xdr:rowOff>
        </xdr:from>
        <xdr:to>
          <xdr:col>7</xdr:col>
          <xdr:colOff>9525</xdr:colOff>
          <xdr:row>39</xdr:row>
          <xdr:rowOff>0</xdr:rowOff>
        </xdr:to>
        <xdr:sp macro="" textlink="">
          <xdr:nvSpPr>
            <xdr:cNvPr id="34841" name="Button 25" hidden="1">
              <a:extLst>
                <a:ext uri="{63B3BB69-23CF-44E3-9099-C40C66FF867C}">
                  <a14:compatExt spid="_x0000_s34841"/>
                </a:ext>
                <a:ext uri="{FF2B5EF4-FFF2-40B4-BE49-F238E27FC236}">
                  <a16:creationId xmlns:a16="http://schemas.microsoft.com/office/drawing/2014/main" id="{00000000-0008-0000-0C00-000019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cs typeface="Calibri"/>
                </a:rPr>
                <a:t>Apply to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714375</xdr:colOff>
          <xdr:row>38</xdr:row>
          <xdr:rowOff>9525</xdr:rowOff>
        </xdr:from>
        <xdr:to>
          <xdr:col>7</xdr:col>
          <xdr:colOff>1476375</xdr:colOff>
          <xdr:row>39</xdr:row>
          <xdr:rowOff>0</xdr:rowOff>
        </xdr:to>
        <xdr:sp macro="" textlink="">
          <xdr:nvSpPr>
            <xdr:cNvPr id="34842" name="Button 26" hidden="1">
              <a:extLst>
                <a:ext uri="{63B3BB69-23CF-44E3-9099-C40C66FF867C}">
                  <a14:compatExt spid="_x0000_s34842"/>
                </a:ext>
                <a:ext uri="{FF2B5EF4-FFF2-40B4-BE49-F238E27FC236}">
                  <a16:creationId xmlns:a16="http://schemas.microsoft.com/office/drawing/2014/main" id="{00000000-0008-0000-0C00-00001A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cs typeface="Calibri"/>
                </a:rPr>
                <a:t>Apply to all VMs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714375</xdr:colOff>
          <xdr:row>38</xdr:row>
          <xdr:rowOff>9525</xdr:rowOff>
        </xdr:from>
        <xdr:to>
          <xdr:col>10</xdr:col>
          <xdr:colOff>9525</xdr:colOff>
          <xdr:row>39</xdr:row>
          <xdr:rowOff>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C00-00001C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cs typeface="Calibri"/>
                </a:rPr>
                <a:t>Apply to all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Table269" displayName="Table269" ref="A1:H3" totalsRowShown="0" headerRowDxfId="61" tableBorderDxfId="60" totalsRowBorderDxfId="59">
  <autoFilter ref="A1:H3" xr:uid="{00000000-0009-0000-0100-000008000000}"/>
  <tableColumns count="8">
    <tableColumn id="1" xr3:uid="{00000000-0010-0000-0000-000001000000}" name="Replication Storage Type" dataDxfId="58"/>
    <tableColumn id="2" xr3:uid="{00000000-0010-0000-0000-000002000000}" name="Suggested Prefix " dataDxfId="57"/>
    <tableColumn id="3" xr3:uid="{00000000-0010-0000-0000-000003000000}" name="Suggested Account Name" dataDxfId="56"/>
    <tableColumn id="5" xr3:uid="{00000000-0010-0000-0000-000005000000}" name="Log Storage Account Type" dataDxfId="55"/>
    <tableColumn id="6" xr3:uid="{00000000-0010-0000-0000-000006000000}" name="Suggested Prefix" dataDxfId="54"/>
    <tableColumn id="7" xr3:uid="{00000000-0010-0000-0000-000007000000}" name="Suggested Log Account  Name" dataDxfId="53"/>
    <tableColumn id="8" xr3:uid="{00000000-0010-0000-0000-000008000000}" name="Placement Summary" dataDxfId="52"/>
    <tableColumn id="4" xr3:uid="{00000000-0010-0000-0000-000004000000}" name="VMs to Place"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A1:N504" totalsRowShown="0" headerRowDxfId="50" tableBorderDxfId="49" headerRowCellStyle="Normal 2">
  <autoFilter ref="A1:N504" xr:uid="{00000000-0009-0000-0100-000002000000}"/>
  <tableColumns count="14">
    <tableColumn id="1" xr3:uid="{00000000-0010-0000-0100-000001000000}" name="VM Name" dataDxfId="48"/>
    <tableColumn id="2" xr3:uid="{00000000-0010-0000-0100-000002000000}" name="VM Compatibility" dataDxfId="47"/>
    <tableColumn id="3" xr3:uid="{00000000-0010-0000-0100-000003000000}" name="Storage Type" dataDxfId="46" dataCellStyle="Normal 2"/>
    <tableColumn id="4" xr3:uid="{00000000-0010-0000-0100-000004000000}" name="Suggested Prefix" dataDxfId="45"/>
    <tableColumn id="5" xr3:uid="{00000000-0010-0000-0100-000005000000}" name="Storage Account" dataDxfId="44"/>
    <tableColumn id="6" xr3:uid="{00000000-0010-0000-0100-000006000000}" name="Peak R/W IOPS (with Growth Factor)" dataDxfId="43"/>
    <tableColumn id="17" xr3:uid="{00000000-0010-0000-0100-000011000000}" name="Peak Data Churn (MBps) (with Growth Factor)" dataDxfId="42"/>
    <tableColumn id="9" xr3:uid="{00000000-0010-0000-0100-000009000000}" name="_x000a_Azure VM Size"/>
    <tableColumn id="10" xr3:uid="{00000000-0010-0000-0100-00000A000000}" name="Number of Disks " dataDxfId="41"/>
    <tableColumn id="11" xr3:uid="{00000000-0010-0000-0100-00000B000000}" name="Disk Size (GB)" dataDxfId="40"/>
    <tableColumn id="12" xr3:uid="{00000000-0010-0000-0100-00000C000000}" name="Cores" dataDxfId="39"/>
    <tableColumn id="13" xr3:uid="{00000000-0010-0000-0100-00000D000000}" name="Memory (MB)" dataDxfId="38"/>
    <tableColumn id="8" xr3:uid="{00000000-0010-0000-0100-000008000000}" name="NICs" dataDxfId="37" dataCellStyle="Normal 2"/>
    <tableColumn id="7" xr3:uid="{00000000-0010-0000-0100-000007000000}" name="Boot Type" dataDxfId="36"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32" displayName="Table132" ref="A1:J23" totalsRowShown="0" headerRowDxfId="35" tableBorderDxfId="34" headerRowCellStyle="Normal 2">
  <autoFilter ref="A1:J23" xr:uid="{00000000-0009-0000-0100-000001000000}"/>
  <tableColumns count="10">
    <tableColumn id="1" xr3:uid="{00000000-0010-0000-0200-000001000000}" name="VM Name" dataDxfId="33"/>
    <tableColumn id="2" xr3:uid="{00000000-0010-0000-0200-000002000000}" name="VM Compatibility" dataDxfId="32"/>
    <tableColumn id="6" xr3:uid="{00000000-0010-0000-0200-000006000000}" name="Peak R/W IOPS (with Growth Factor)" dataDxfId="31"/>
    <tableColumn id="17" xr3:uid="{00000000-0010-0000-0200-000011000000}" name="Peak Data Churn (MBps) (with Growth Factor)" dataDxfId="30"/>
    <tableColumn id="10" xr3:uid="{00000000-0010-0000-0200-00000A000000}" name="Number of Disks " dataDxfId="29"/>
    <tableColumn id="11" xr3:uid="{00000000-0010-0000-0200-00000B000000}" name="Disk Size (GB)" dataDxfId="28"/>
    <tableColumn id="12" xr3:uid="{00000000-0010-0000-0200-00000C000000}" name=" Cores" dataDxfId="27"/>
    <tableColumn id="13" xr3:uid="{00000000-0010-0000-0200-00000D000000}" name="Memory (MB)" dataDxfId="26"/>
    <tableColumn id="3" xr3:uid="{00000000-0010-0000-0200-000003000000}" name="NICs" dataDxfId="25" dataCellStyle="Normal 2"/>
    <tableColumn id="4" xr3:uid="{00000000-0010-0000-0200-000004000000}" name="Boot Type"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hyperlink" Target="https://aka.ms/dp-config-file" TargetMode="External"/><Relationship Id="rId7" Type="http://schemas.openxmlformats.org/officeDocument/2006/relationships/printerSettings" Target="../printerSettings/printerSettings5.bin"/><Relationship Id="rId2" Type="http://schemas.openxmlformats.org/officeDocument/2006/relationships/hyperlink" Target="https://aka.ms/expressroute" TargetMode="External"/><Relationship Id="rId1" Type="http://schemas.openxmlformats.org/officeDocument/2006/relationships/hyperlink" Target="https://aka.ms/azure-subscription-limits" TargetMode="External"/><Relationship Id="rId6" Type="http://schemas.openxmlformats.org/officeDocument/2006/relationships/hyperlink" Target="https://aka.ms/asr-dp-h2a-config-file" TargetMode="External"/><Relationship Id="rId11" Type="http://schemas.openxmlformats.org/officeDocument/2006/relationships/ctrlProp" Target="../ctrlProps/ctrlProp2.xml"/><Relationship Id="rId5" Type="http://schemas.openxmlformats.org/officeDocument/2006/relationships/hyperlink" Target="https://aka.ms/asr-dp-h2a-cf" TargetMode="External"/><Relationship Id="rId10" Type="http://schemas.openxmlformats.org/officeDocument/2006/relationships/ctrlProp" Target="../ctrlProps/ctrlProp1.xml"/><Relationship Id="rId4" Type="http://schemas.openxmlformats.org/officeDocument/2006/relationships/hyperlink" Target="https://aka.ms/asr-dp-h2a-growth-factor" TargetMode="External"/><Relationship Id="rId9"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8" Type="http://schemas.openxmlformats.org/officeDocument/2006/relationships/hyperlink" Target="https://aka.ms/azure-storage-scalbility-performance" TargetMode="External"/><Relationship Id="rId3" Type="http://schemas.openxmlformats.org/officeDocument/2006/relationships/hyperlink" Target="https://aka.ms/storage-performance-checklist" TargetMode="External"/><Relationship Id="rId7" Type="http://schemas.openxmlformats.org/officeDocument/2006/relationships/hyperlink" Target="https://aka.ms/premium-storage-workload" TargetMode="External"/><Relationship Id="rId12" Type="http://schemas.openxmlformats.org/officeDocument/2006/relationships/table" Target="../tables/table1.xml"/><Relationship Id="rId2" Type="http://schemas.openxmlformats.org/officeDocument/2006/relationships/hyperlink" Target="https://aka.ms/asr-dp-vm-storage-placement" TargetMode="External"/><Relationship Id="rId1" Type="http://schemas.openxmlformats.org/officeDocument/2006/relationships/hyperlink" Target="https://aka.ms/guidance-naming-conventions" TargetMode="External"/><Relationship Id="rId6" Type="http://schemas.openxmlformats.org/officeDocument/2006/relationships/hyperlink" Target="https://aka.ms/azure-sql-workload" TargetMode="External"/><Relationship Id="rId11" Type="http://schemas.openxmlformats.org/officeDocument/2006/relationships/printerSettings" Target="../printerSettings/printerSettings6.bin"/><Relationship Id="rId5" Type="http://schemas.openxmlformats.org/officeDocument/2006/relationships/hyperlink" Target="https://aka.ms/azure-vm-supported-workloads" TargetMode="External"/><Relationship Id="rId10" Type="http://schemas.openxmlformats.org/officeDocument/2006/relationships/hyperlink" Target="https://aka.ms/asr-dp-managed-disk" TargetMode="External"/><Relationship Id="rId4" Type="http://schemas.openxmlformats.org/officeDocument/2006/relationships/hyperlink" Target="https://aka.ms/guidance-naming-conventions" TargetMode="External"/><Relationship Id="rId9" Type="http://schemas.openxmlformats.org/officeDocument/2006/relationships/hyperlink" Target="https://aka.ms/guidance-naming-convention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aka.ms/asr-dp-h2a-on-prem-storage-requirement"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0.bin"/><Relationship Id="rId1" Type="http://schemas.openxmlformats.org/officeDocument/2006/relationships/hyperlink" Target="https://aka.ms/asr-dp-h2a-ir-batching"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aka.ms/asr-dp-h2a-ir-batching"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aka.ms/asr-dp-h2a-ir-batching" TargetMode="Externa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9.xml"/><Relationship Id="rId7" Type="http://schemas.openxmlformats.org/officeDocument/2006/relationships/ctrlProp" Target="../ctrlProps/ctrlProp5.xml"/><Relationship Id="rId2" Type="http://schemas.openxmlformats.org/officeDocument/2006/relationships/printerSettings" Target="../printerSettings/printerSettings13.bin"/><Relationship Id="rId1" Type="http://schemas.openxmlformats.org/officeDocument/2006/relationships/hyperlink" Target="https://aka.ms/asr-dp-pricing" TargetMode="Externa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T22"/>
  <sheetViews>
    <sheetView zoomScale="70" zoomScaleNormal="70" workbookViewId="0">
      <selection activeCell="A3" sqref="A3"/>
    </sheetView>
  </sheetViews>
  <sheetFormatPr defaultColWidth="9.1328125" defaultRowHeight="14.25"/>
  <cols>
    <col min="1" max="1" width="16.86328125" style="407" customWidth="1"/>
    <col min="2" max="2" width="20.59765625" style="407" customWidth="1"/>
    <col min="3" max="3" width="20.3984375" style="407" customWidth="1"/>
    <col min="4" max="4" width="19" style="407" customWidth="1"/>
    <col min="5" max="5" width="14.1328125" style="407" customWidth="1"/>
    <col min="6" max="6" width="18.59765625" style="407" customWidth="1"/>
    <col min="7" max="7" width="23.265625" style="407" customWidth="1"/>
    <col min="8" max="8" width="21" style="407" customWidth="1"/>
    <col min="9" max="9" width="16" style="407" customWidth="1"/>
    <col min="10" max="10" width="9.1328125" style="407"/>
    <col min="11" max="11" width="17.265625" style="407" customWidth="1"/>
    <col min="12" max="12" width="21.73046875" style="407" customWidth="1"/>
    <col min="13" max="13" width="20.86328125" style="407" customWidth="1"/>
    <col min="14" max="14" width="14" style="407" customWidth="1"/>
    <col min="15" max="15" width="9.1328125" style="407"/>
    <col min="16" max="16" width="12" style="407" customWidth="1"/>
    <col min="17" max="17" width="21" style="407" customWidth="1"/>
    <col min="18" max="18" width="20.73046875" style="407" customWidth="1"/>
    <col min="19" max="19" width="16.265625" style="407" customWidth="1"/>
    <col min="20" max="16384" width="9.1328125" style="407"/>
  </cols>
  <sheetData>
    <row r="1" spans="1:20">
      <c r="A1" s="529" t="str">
        <f>_xlfn.CONCAT("Number of batches for ",Data!D11, " mins RPO")</f>
        <v>Number of batches for 15 mins RPO</v>
      </c>
      <c r="B1" s="530"/>
      <c r="C1" s="530"/>
      <c r="D1" s="530"/>
      <c r="F1" s="531" t="str">
        <f>_xlfn.CONCAT("Number of batches for ",Data!D12, " mins RPO")</f>
        <v>Number of batches for 30 mins RPO</v>
      </c>
      <c r="G1" s="532"/>
      <c r="H1" s="532"/>
      <c r="I1" s="533"/>
      <c r="K1" s="531" t="str">
        <f>_xlfn.CONCAT("Number of batches for ",Data!D13," mins RPO")</f>
        <v>Number of batches for 60 mins RPO</v>
      </c>
      <c r="L1" s="532"/>
      <c r="M1" s="532"/>
      <c r="N1" s="533"/>
      <c r="O1" s="408"/>
      <c r="P1" s="531" t="str">
        <f>_xlfn.CONCAT("Number of batches for given bandwidth: ",Data!$D$57 )</f>
        <v xml:space="preserve">Number of batches for given bandwidth: </v>
      </c>
      <c r="Q1" s="532"/>
      <c r="R1" s="532"/>
      <c r="S1" s="533"/>
      <c r="T1" s="409"/>
    </row>
    <row r="2" spans="1:20" s="26" customFormat="1" ht="28.5">
      <c r="A2" s="277" t="s">
        <v>444</v>
      </c>
      <c r="B2" s="277" t="s">
        <v>538</v>
      </c>
      <c r="C2" s="277" t="s">
        <v>458</v>
      </c>
      <c r="D2" s="278" t="s">
        <v>445</v>
      </c>
      <c r="F2" s="277" t="s">
        <v>444</v>
      </c>
      <c r="G2" s="277" t="s">
        <v>538</v>
      </c>
      <c r="H2" s="277" t="s">
        <v>458</v>
      </c>
      <c r="I2" s="278" t="s">
        <v>445</v>
      </c>
      <c r="K2" s="277" t="s">
        <v>444</v>
      </c>
      <c r="L2" s="277" t="s">
        <v>538</v>
      </c>
      <c r="M2" s="277" t="s">
        <v>458</v>
      </c>
      <c r="N2" s="278" t="s">
        <v>445</v>
      </c>
      <c r="O2" s="411"/>
      <c r="P2" s="277" t="s">
        <v>444</v>
      </c>
      <c r="Q2" s="277" t="s">
        <v>538</v>
      </c>
      <c r="R2" s="277" t="s">
        <v>458</v>
      </c>
      <c r="S2" s="278" t="s">
        <v>445</v>
      </c>
      <c r="T2" s="412"/>
    </row>
    <row r="3" spans="1:20">
      <c r="A3" s="408">
        <v>1</v>
      </c>
      <c r="B3" s="408">
        <v>959</v>
      </c>
      <c r="C3" s="408">
        <v>0</v>
      </c>
      <c r="D3" s="407">
        <v>16</v>
      </c>
      <c r="F3" s="408">
        <v>1</v>
      </c>
      <c r="G3" s="408">
        <v>739</v>
      </c>
      <c r="H3" s="408">
        <v>0</v>
      </c>
      <c r="I3" s="407">
        <v>16</v>
      </c>
      <c r="K3" s="408">
        <v>1</v>
      </c>
      <c r="L3" s="408">
        <v>626</v>
      </c>
      <c r="M3" s="408">
        <v>0</v>
      </c>
      <c r="N3" s="407">
        <v>16</v>
      </c>
      <c r="O3" s="408"/>
      <c r="P3" s="408">
        <v>1</v>
      </c>
      <c r="Q3" s="408">
        <v>0</v>
      </c>
      <c r="R3" s="408">
        <v>0</v>
      </c>
      <c r="S3" s="407">
        <v>0</v>
      </c>
      <c r="T3" s="409"/>
    </row>
    <row r="4" spans="1:20">
      <c r="A4" s="408">
        <v>2</v>
      </c>
      <c r="B4" s="408">
        <v>642.30999999999995</v>
      </c>
      <c r="C4" s="408">
        <v>316.69</v>
      </c>
      <c r="D4" s="408">
        <v>11</v>
      </c>
      <c r="F4" s="408">
        <v>2</v>
      </c>
      <c r="G4" s="408">
        <v>459.7</v>
      </c>
      <c r="H4" s="408">
        <v>279.3</v>
      </c>
      <c r="I4" s="408">
        <v>11</v>
      </c>
      <c r="K4" s="408">
        <v>2</v>
      </c>
      <c r="L4" s="408">
        <v>385.94</v>
      </c>
      <c r="M4" s="408">
        <v>240.06</v>
      </c>
      <c r="N4" s="408">
        <v>11</v>
      </c>
      <c r="O4" s="408"/>
      <c r="P4" s="408"/>
      <c r="Q4" s="408"/>
      <c r="R4" s="408"/>
      <c r="S4" s="408"/>
      <c r="T4" s="409"/>
    </row>
    <row r="5" spans="1:20">
      <c r="A5" s="410">
        <v>3</v>
      </c>
      <c r="B5" s="410">
        <v>627.25</v>
      </c>
      <c r="C5" s="410">
        <v>331.75</v>
      </c>
      <c r="D5" s="408">
        <v>10</v>
      </c>
      <c r="F5" s="408">
        <v>3</v>
      </c>
      <c r="G5" s="410">
        <v>441.63</v>
      </c>
      <c r="H5" s="410">
        <v>297.37</v>
      </c>
      <c r="I5" s="408">
        <v>10</v>
      </c>
      <c r="K5" s="408">
        <v>3</v>
      </c>
      <c r="L5" s="410">
        <v>369.78</v>
      </c>
      <c r="M5" s="410">
        <v>256.22000000000003</v>
      </c>
      <c r="N5" s="408">
        <v>10</v>
      </c>
      <c r="O5" s="408"/>
      <c r="P5" s="408"/>
      <c r="Q5" s="410"/>
      <c r="R5" s="410"/>
      <c r="S5" s="408"/>
      <c r="T5" s="409"/>
    </row>
    <row r="6" spans="1:20">
      <c r="A6" s="408">
        <v>4</v>
      </c>
      <c r="B6" s="408">
        <v>583</v>
      </c>
      <c r="C6" s="408">
        <v>376</v>
      </c>
      <c r="D6" s="408">
        <v>7</v>
      </c>
      <c r="F6" s="408">
        <v>4</v>
      </c>
      <c r="G6" s="408">
        <v>413.03</v>
      </c>
      <c r="H6" s="408">
        <v>325.97000000000003</v>
      </c>
      <c r="I6" s="408">
        <v>7</v>
      </c>
      <c r="K6" s="408">
        <v>4</v>
      </c>
      <c r="L6" s="408">
        <v>346.24</v>
      </c>
      <c r="M6" s="408">
        <v>279.76</v>
      </c>
      <c r="N6" s="408">
        <v>7</v>
      </c>
      <c r="O6" s="408"/>
      <c r="P6" s="408"/>
      <c r="Q6" s="408"/>
      <c r="R6" s="408"/>
      <c r="S6" s="408"/>
      <c r="T6" s="409"/>
    </row>
    <row r="7" spans="1:20">
      <c r="A7" s="408">
        <v>5</v>
      </c>
      <c r="B7" s="408">
        <v>258.95999999999998</v>
      </c>
      <c r="C7" s="408">
        <v>700.04</v>
      </c>
      <c r="D7" s="408">
        <v>5</v>
      </c>
      <c r="F7" s="408">
        <v>5</v>
      </c>
      <c r="G7" s="408">
        <v>205.47</v>
      </c>
      <c r="H7" s="408">
        <v>533.53</v>
      </c>
      <c r="I7" s="408">
        <v>5</v>
      </c>
      <c r="K7" s="408">
        <v>5</v>
      </c>
      <c r="L7" s="408">
        <v>188.87</v>
      </c>
      <c r="M7" s="408">
        <v>437.13</v>
      </c>
      <c r="N7" s="408">
        <v>5</v>
      </c>
      <c r="O7" s="408"/>
      <c r="P7" s="408"/>
      <c r="Q7" s="408"/>
      <c r="R7" s="408"/>
      <c r="S7" s="408"/>
      <c r="T7" s="409"/>
    </row>
    <row r="8" spans="1:20">
      <c r="A8" s="408">
        <v>6</v>
      </c>
      <c r="B8" s="408">
        <v>254.02</v>
      </c>
      <c r="C8" s="408">
        <v>704.98</v>
      </c>
      <c r="D8" s="408">
        <v>5</v>
      </c>
      <c r="F8" s="408">
        <v>6</v>
      </c>
      <c r="G8" s="408">
        <v>202.22</v>
      </c>
      <c r="H8" s="408">
        <v>536.78</v>
      </c>
      <c r="I8" s="408">
        <v>5</v>
      </c>
      <c r="K8" s="408">
        <v>6</v>
      </c>
      <c r="L8" s="408">
        <v>180.11</v>
      </c>
      <c r="M8" s="408">
        <v>445.89</v>
      </c>
      <c r="N8" s="408">
        <v>5</v>
      </c>
      <c r="O8" s="408"/>
      <c r="P8" s="408"/>
      <c r="Q8" s="408"/>
      <c r="R8" s="408"/>
      <c r="S8" s="408"/>
      <c r="T8" s="408"/>
    </row>
    <row r="9" spans="1:20">
      <c r="A9" s="408">
        <v>7</v>
      </c>
      <c r="B9" s="408">
        <v>254.02</v>
      </c>
      <c r="C9" s="408">
        <v>704.98</v>
      </c>
      <c r="D9" s="407">
        <v>4</v>
      </c>
      <c r="F9" s="407">
        <v>7</v>
      </c>
      <c r="G9" s="407">
        <v>195.83</v>
      </c>
      <c r="H9" s="407">
        <v>543.16999999999996</v>
      </c>
      <c r="I9" s="407">
        <v>4</v>
      </c>
      <c r="K9" s="407">
        <v>7</v>
      </c>
      <c r="L9" s="407">
        <v>174.21</v>
      </c>
      <c r="M9" s="407">
        <v>451.79</v>
      </c>
      <c r="N9" s="407">
        <v>4</v>
      </c>
      <c r="P9" s="408"/>
    </row>
    <row r="10" spans="1:20">
      <c r="A10" s="407">
        <v>8</v>
      </c>
      <c r="B10" s="407">
        <v>254.02</v>
      </c>
      <c r="C10" s="407">
        <v>704.98</v>
      </c>
      <c r="D10" s="407">
        <v>4</v>
      </c>
      <c r="F10" s="407">
        <v>8</v>
      </c>
      <c r="G10" s="407">
        <v>195.83</v>
      </c>
      <c r="H10" s="407">
        <v>543.16999999999996</v>
      </c>
      <c r="I10" s="407">
        <v>4</v>
      </c>
      <c r="K10" s="407">
        <v>8</v>
      </c>
      <c r="L10" s="407">
        <v>170.72</v>
      </c>
      <c r="M10" s="407">
        <v>455.28</v>
      </c>
      <c r="N10" s="407">
        <v>4</v>
      </c>
      <c r="P10" s="408"/>
    </row>
    <row r="11" spans="1:20">
      <c r="A11" s="407">
        <v>9</v>
      </c>
      <c r="B11" s="407">
        <v>232.21</v>
      </c>
      <c r="C11" s="407">
        <v>726.79</v>
      </c>
      <c r="D11" s="407">
        <v>3</v>
      </c>
      <c r="F11" s="407">
        <v>9</v>
      </c>
      <c r="G11" s="407">
        <v>195.53</v>
      </c>
      <c r="H11" s="407">
        <v>543.47</v>
      </c>
      <c r="I11" s="407">
        <v>3</v>
      </c>
      <c r="K11" s="407">
        <v>9</v>
      </c>
      <c r="L11" s="407">
        <v>166.15</v>
      </c>
      <c r="M11" s="407">
        <v>459.85</v>
      </c>
      <c r="N11" s="407">
        <v>3</v>
      </c>
    </row>
    <row r="12" spans="1:20">
      <c r="A12" s="407">
        <v>10</v>
      </c>
      <c r="B12" s="407">
        <v>226.9</v>
      </c>
      <c r="C12" s="407">
        <v>732.1</v>
      </c>
      <c r="D12" s="407">
        <v>3</v>
      </c>
      <c r="F12" s="407">
        <v>10</v>
      </c>
      <c r="G12" s="407">
        <v>169.14</v>
      </c>
      <c r="H12" s="407">
        <v>569.86</v>
      </c>
      <c r="I12" s="407">
        <v>3</v>
      </c>
      <c r="K12" s="407">
        <v>10</v>
      </c>
      <c r="L12" s="407">
        <v>158.06</v>
      </c>
      <c r="M12" s="407">
        <v>467.94</v>
      </c>
      <c r="N12" s="407">
        <v>3</v>
      </c>
    </row>
    <row r="13" spans="1:20">
      <c r="A13" s="407">
        <v>11</v>
      </c>
      <c r="B13" s="407">
        <v>226.9</v>
      </c>
      <c r="C13" s="407">
        <v>732.1</v>
      </c>
      <c r="D13" s="407">
        <v>3</v>
      </c>
      <c r="F13" s="407">
        <v>11</v>
      </c>
      <c r="G13" s="407">
        <v>160.9</v>
      </c>
      <c r="H13" s="407">
        <v>578.1</v>
      </c>
      <c r="I13" s="407">
        <v>3</v>
      </c>
      <c r="K13" s="407">
        <v>11</v>
      </c>
      <c r="L13" s="407">
        <v>150.57</v>
      </c>
      <c r="M13" s="407">
        <v>475.43</v>
      </c>
      <c r="N13" s="407">
        <v>3</v>
      </c>
    </row>
    <row r="14" spans="1:20">
      <c r="A14" s="407">
        <v>12</v>
      </c>
      <c r="B14" s="407">
        <v>226.9</v>
      </c>
      <c r="C14" s="407">
        <v>732.1</v>
      </c>
      <c r="D14" s="407">
        <v>3</v>
      </c>
      <c r="F14" s="407">
        <v>12</v>
      </c>
      <c r="G14" s="407">
        <v>160.9</v>
      </c>
      <c r="H14" s="407">
        <v>578.1</v>
      </c>
      <c r="I14" s="407">
        <v>3</v>
      </c>
      <c r="K14" s="407">
        <v>12</v>
      </c>
      <c r="L14" s="407">
        <v>150.05000000000001</v>
      </c>
      <c r="M14" s="407">
        <v>475.95</v>
      </c>
      <c r="N14" s="407">
        <v>3</v>
      </c>
    </row>
    <row r="15" spans="1:20">
      <c r="A15" s="407">
        <v>13</v>
      </c>
      <c r="B15" s="407">
        <v>60.15</v>
      </c>
      <c r="C15" s="407">
        <v>898.85</v>
      </c>
      <c r="D15" s="407">
        <v>2</v>
      </c>
      <c r="F15" s="407">
        <v>13</v>
      </c>
      <c r="G15" s="407">
        <v>85.31</v>
      </c>
      <c r="H15" s="407">
        <v>653.69000000000005</v>
      </c>
      <c r="I15" s="407">
        <v>2</v>
      </c>
      <c r="K15" s="407">
        <v>13</v>
      </c>
      <c r="L15" s="407">
        <v>87.96</v>
      </c>
      <c r="M15" s="407">
        <v>538.04</v>
      </c>
      <c r="N15" s="407">
        <v>2</v>
      </c>
    </row>
    <row r="16" spans="1:20">
      <c r="A16" s="407">
        <v>14</v>
      </c>
      <c r="B16" s="407">
        <v>54.85</v>
      </c>
      <c r="C16" s="407">
        <v>904.15</v>
      </c>
      <c r="D16" s="407">
        <v>2</v>
      </c>
      <c r="F16" s="407">
        <v>14</v>
      </c>
      <c r="G16" s="407">
        <v>85.31</v>
      </c>
      <c r="H16" s="407">
        <v>653.69000000000005</v>
      </c>
      <c r="I16" s="407">
        <v>2</v>
      </c>
      <c r="K16" s="407">
        <v>14</v>
      </c>
      <c r="L16" s="407">
        <v>85.87</v>
      </c>
      <c r="M16" s="407">
        <v>540.13</v>
      </c>
      <c r="N16" s="407">
        <v>2</v>
      </c>
    </row>
    <row r="17" spans="1:14">
      <c r="A17" s="407">
        <v>15</v>
      </c>
      <c r="B17" s="407">
        <v>54.85</v>
      </c>
      <c r="C17" s="407">
        <v>904.15</v>
      </c>
      <c r="D17" s="407">
        <v>2</v>
      </c>
      <c r="F17" s="407">
        <v>15</v>
      </c>
      <c r="G17" s="407">
        <v>85.31</v>
      </c>
      <c r="H17" s="407">
        <v>653.69000000000005</v>
      </c>
      <c r="I17" s="407">
        <v>2</v>
      </c>
      <c r="K17" s="407">
        <v>15</v>
      </c>
      <c r="L17" s="407">
        <v>78.39</v>
      </c>
      <c r="M17" s="407">
        <v>547.61</v>
      </c>
      <c r="N17" s="407">
        <v>2</v>
      </c>
    </row>
    <row r="18" spans="1:14">
      <c r="A18" s="407">
        <v>16</v>
      </c>
      <c r="B18" s="407">
        <v>54.85</v>
      </c>
      <c r="C18" s="407">
        <v>904.15</v>
      </c>
      <c r="D18" s="407">
        <v>1</v>
      </c>
      <c r="F18" s="407">
        <v>16</v>
      </c>
      <c r="G18" s="407">
        <v>52.72</v>
      </c>
      <c r="H18" s="407">
        <v>686.28</v>
      </c>
      <c r="I18" s="407">
        <v>1</v>
      </c>
      <c r="K18" s="407">
        <v>16</v>
      </c>
      <c r="L18" s="407">
        <v>44.33</v>
      </c>
      <c r="M18" s="407">
        <v>581.66999999999996</v>
      </c>
      <c r="N18" s="407">
        <v>1</v>
      </c>
    </row>
    <row r="19" spans="1:14">
      <c r="A19" s="407">
        <v>17</v>
      </c>
      <c r="B19" s="407">
        <v>54.85</v>
      </c>
      <c r="C19" s="407">
        <v>904.15</v>
      </c>
      <c r="D19" s="407">
        <v>1</v>
      </c>
      <c r="F19" s="407">
        <v>17</v>
      </c>
      <c r="G19" s="407">
        <v>52.72</v>
      </c>
      <c r="H19" s="407">
        <v>686.28</v>
      </c>
      <c r="I19" s="407">
        <v>1</v>
      </c>
      <c r="K19" s="407">
        <v>17</v>
      </c>
      <c r="L19" s="407">
        <v>43.77</v>
      </c>
      <c r="M19" s="407">
        <v>582.23</v>
      </c>
      <c r="N19" s="407">
        <v>1</v>
      </c>
    </row>
    <row r="20" spans="1:14">
      <c r="A20" s="407">
        <v>18</v>
      </c>
      <c r="B20" s="407">
        <v>54.85</v>
      </c>
      <c r="C20" s="407">
        <v>904.15</v>
      </c>
      <c r="D20" s="407">
        <v>1</v>
      </c>
      <c r="F20" s="407">
        <v>18</v>
      </c>
      <c r="G20" s="407">
        <v>44.19</v>
      </c>
      <c r="H20" s="407">
        <v>694.81</v>
      </c>
      <c r="I20" s="407">
        <v>1</v>
      </c>
      <c r="K20" s="407">
        <v>18</v>
      </c>
      <c r="L20" s="407">
        <v>36.049999999999997</v>
      </c>
      <c r="M20" s="407">
        <v>589.95000000000005</v>
      </c>
      <c r="N20" s="407">
        <v>1</v>
      </c>
    </row>
    <row r="21" spans="1:14">
      <c r="A21" s="407">
        <v>19</v>
      </c>
      <c r="B21" s="407">
        <v>54.85</v>
      </c>
      <c r="C21" s="407">
        <v>904.15</v>
      </c>
      <c r="D21" s="407">
        <v>1</v>
      </c>
      <c r="F21" s="407">
        <v>19</v>
      </c>
      <c r="G21" s="407">
        <v>44.19</v>
      </c>
      <c r="H21" s="407">
        <v>694.81</v>
      </c>
      <c r="I21" s="407">
        <v>1</v>
      </c>
      <c r="K21" s="407">
        <v>19</v>
      </c>
      <c r="L21" s="407">
        <v>35.81</v>
      </c>
      <c r="M21" s="407">
        <v>590.19000000000005</v>
      </c>
      <c r="N21" s="407">
        <v>1</v>
      </c>
    </row>
    <row r="22" spans="1:14">
      <c r="A22" s="407" t="s">
        <v>705</v>
      </c>
      <c r="B22" s="407">
        <v>0</v>
      </c>
      <c r="C22" s="407">
        <v>958.61</v>
      </c>
      <c r="D22" s="407">
        <v>1</v>
      </c>
      <c r="F22" s="407" t="s">
        <v>705</v>
      </c>
      <c r="G22" s="407">
        <v>0</v>
      </c>
      <c r="H22" s="407">
        <v>738.56</v>
      </c>
      <c r="I22" s="407">
        <v>1</v>
      </c>
      <c r="K22" s="407" t="s">
        <v>705</v>
      </c>
      <c r="L22" s="407">
        <v>0</v>
      </c>
      <c r="M22" s="407">
        <v>625.46</v>
      </c>
      <c r="N22" s="407">
        <v>1</v>
      </c>
    </row>
  </sheetData>
  <mergeCells count="4">
    <mergeCell ref="A1:D1"/>
    <mergeCell ref="F1:I1"/>
    <mergeCell ref="K1:N1"/>
    <mergeCell ref="P1:S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U207"/>
  <sheetViews>
    <sheetView zoomScale="85" zoomScaleNormal="85" workbookViewId="0">
      <selection activeCell="E14" sqref="E14"/>
    </sheetView>
  </sheetViews>
  <sheetFormatPr defaultColWidth="9" defaultRowHeight="14.25"/>
  <cols>
    <col min="1" max="1" width="47.265625" style="290" bestFit="1" customWidth="1"/>
    <col min="2" max="2" width="12" style="290" customWidth="1"/>
    <col min="3" max="3" width="9" style="290"/>
    <col min="4" max="4" width="17" style="290" customWidth="1"/>
    <col min="5" max="5" width="17" style="290" bestFit="1" customWidth="1"/>
    <col min="6" max="6" width="23" style="290" customWidth="1"/>
    <col min="7" max="7" width="23.59765625" style="290" customWidth="1"/>
    <col min="8" max="8" width="21.265625" style="290" customWidth="1"/>
    <col min="9" max="9" width="16.73046875" style="290" customWidth="1"/>
    <col min="10" max="10" width="15.3984375" style="290" customWidth="1"/>
    <col min="11" max="11" width="13" style="290" customWidth="1"/>
    <col min="12" max="12" width="11.73046875" style="290" bestFit="1" customWidth="1"/>
    <col min="13" max="13" width="9" style="290"/>
    <col min="14" max="14" width="45.73046875" style="290" customWidth="1"/>
    <col min="15" max="15" width="7.86328125" style="290" bestFit="1" customWidth="1"/>
    <col min="16" max="18" width="9" style="290"/>
    <col min="19" max="19" width="32" style="311" customWidth="1"/>
    <col min="20" max="20" width="16" style="312" customWidth="1"/>
    <col min="21" max="21" width="14.59765625" style="290" bestFit="1" customWidth="1"/>
    <col min="22" max="22" width="14.59765625" style="312" customWidth="1"/>
    <col min="23" max="24" width="21.265625" style="290" customWidth="1"/>
    <col min="25" max="25" width="15.86328125" style="311" customWidth="1"/>
    <col min="26" max="26" width="16.73046875" style="312" customWidth="1"/>
    <col min="27" max="27" width="14.59765625" style="290" bestFit="1" customWidth="1"/>
    <col min="28" max="28" width="17" style="312" bestFit="1" customWidth="1"/>
    <col min="29" max="29" width="19.73046875" style="290" customWidth="1"/>
    <col min="30" max="30" width="18" style="290" customWidth="1"/>
    <col min="31" max="31" width="13.265625" style="311" customWidth="1"/>
    <col min="32" max="32" width="15" style="312" customWidth="1"/>
    <col min="33" max="33" width="11.265625" style="290" customWidth="1"/>
    <col min="34" max="34" width="16" style="312" customWidth="1"/>
    <col min="35" max="36" width="19.265625" style="290" customWidth="1"/>
    <col min="37" max="37" width="17" style="311" customWidth="1"/>
    <col min="38" max="38" width="18.86328125" style="312" customWidth="1"/>
    <col min="39" max="39" width="16" style="290" customWidth="1"/>
    <col min="40" max="40" width="20" style="312" customWidth="1"/>
    <col min="41" max="41" width="20.86328125" style="290" customWidth="1"/>
    <col min="42" max="42" width="9" style="290"/>
    <col min="43" max="43" width="24" style="290" bestFit="1" customWidth="1"/>
    <col min="44" max="44" width="19.265625" style="290" customWidth="1"/>
    <col min="45" max="45" width="17.59765625" style="290" customWidth="1"/>
    <col min="46" max="46" width="9" style="290"/>
    <col min="47" max="47" width="11.86328125" style="290" customWidth="1"/>
    <col min="48" max="48" width="14" style="290" customWidth="1"/>
    <col min="49" max="50" width="20.73046875" style="290" customWidth="1"/>
    <col min="51" max="51" width="13" style="290" customWidth="1"/>
    <col min="52" max="52" width="9" style="290"/>
    <col min="53" max="53" width="13.1328125" style="290" customWidth="1"/>
    <col min="54" max="55" width="22" style="290" customWidth="1"/>
    <col min="56" max="56" width="20.73046875" style="290" customWidth="1"/>
    <col min="57" max="57" width="26.265625" style="290" customWidth="1"/>
    <col min="58" max="58" width="13.59765625" style="290" customWidth="1"/>
    <col min="59" max="60" width="21.3984375" style="290" customWidth="1"/>
    <col min="61" max="61" width="25" style="290" customWidth="1"/>
    <col min="62" max="62" width="9" style="290"/>
    <col min="63" max="63" width="15.59765625" style="290" customWidth="1"/>
    <col min="64" max="65" width="20" style="290" customWidth="1"/>
    <col min="66" max="66" width="16" style="290" customWidth="1"/>
    <col min="67" max="16384" width="9" style="290"/>
  </cols>
  <sheetData>
    <row r="1" spans="1:47" ht="14.25" customHeight="1" thickBot="1">
      <c r="A1" s="541" t="s">
        <v>31</v>
      </c>
      <c r="B1" s="544"/>
      <c r="D1" s="542" t="s">
        <v>120</v>
      </c>
      <c r="E1" s="543"/>
      <c r="F1" s="543"/>
      <c r="G1" s="543"/>
      <c r="H1" s="542" t="s">
        <v>56</v>
      </c>
      <c r="I1" s="543"/>
      <c r="J1" s="543"/>
      <c r="N1" s="535" t="s">
        <v>124</v>
      </c>
      <c r="O1" s="536"/>
      <c r="P1" s="536"/>
      <c r="S1" s="550">
        <f>D11</f>
        <v>15</v>
      </c>
      <c r="T1" s="550"/>
      <c r="U1" s="550"/>
      <c r="V1" s="550"/>
      <c r="W1" s="551"/>
      <c r="Y1" s="552">
        <f>D12</f>
        <v>30</v>
      </c>
      <c r="Z1" s="552"/>
      <c r="AA1" s="552"/>
      <c r="AB1" s="552"/>
      <c r="AC1" s="553"/>
      <c r="AE1" s="550">
        <f>D13</f>
        <v>60</v>
      </c>
      <c r="AF1" s="550"/>
      <c r="AG1" s="550"/>
      <c r="AH1" s="550"/>
      <c r="AI1" s="551"/>
      <c r="AK1" s="550" t="s">
        <v>129</v>
      </c>
      <c r="AL1" s="550"/>
      <c r="AM1" s="550"/>
      <c r="AN1" s="550"/>
      <c r="AO1" s="551"/>
      <c r="AU1" s="291"/>
    </row>
    <row r="2" spans="1:47" ht="28.9" thickBot="1">
      <c r="A2" s="292" t="s">
        <v>28</v>
      </c>
      <c r="B2" s="293">
        <v>43054</v>
      </c>
      <c r="D2" s="294" t="s">
        <v>4</v>
      </c>
      <c r="E2" s="294" t="s">
        <v>80</v>
      </c>
      <c r="F2" s="295" t="str">
        <f>IF(I2="","To meet RPO 90% of the time",H2&amp;I2&amp;J2)</f>
        <v>To meet RPO 90% of the time</v>
      </c>
      <c r="G2" s="296" t="str">
        <f>IF(I3="","To meet RPO 100% of the time",H3&amp;I3&amp;J3)</f>
        <v>To meet RPO 100% of the time</v>
      </c>
      <c r="H2" s="292" t="s">
        <v>54</v>
      </c>
      <c r="I2" s="297">
        <v>90</v>
      </c>
      <c r="J2" s="292" t="s">
        <v>55</v>
      </c>
      <c r="N2" s="298" t="s">
        <v>46</v>
      </c>
      <c r="S2" s="299" t="s">
        <v>51</v>
      </c>
      <c r="T2" s="300" t="s">
        <v>127</v>
      </c>
      <c r="U2" s="301" t="s">
        <v>22</v>
      </c>
      <c r="V2" s="302" t="s">
        <v>39</v>
      </c>
      <c r="W2" s="301" t="s">
        <v>43</v>
      </c>
      <c r="Y2" s="303" t="s">
        <v>51</v>
      </c>
      <c r="Z2" s="300" t="s">
        <v>127</v>
      </c>
      <c r="AA2" s="301" t="s">
        <v>22</v>
      </c>
      <c r="AB2" s="302" t="s">
        <v>39</v>
      </c>
      <c r="AC2" s="301" t="s">
        <v>43</v>
      </c>
      <c r="AE2" s="304" t="s">
        <v>51</v>
      </c>
      <c r="AF2" s="300" t="s">
        <v>127</v>
      </c>
      <c r="AG2" s="301" t="s">
        <v>22</v>
      </c>
      <c r="AH2" s="302" t="s">
        <v>39</v>
      </c>
      <c r="AI2" s="301" t="s">
        <v>43</v>
      </c>
      <c r="AK2" s="303" t="s">
        <v>51</v>
      </c>
      <c r="AL2" s="300" t="s">
        <v>23</v>
      </c>
      <c r="AM2" s="301" t="s">
        <v>22</v>
      </c>
      <c r="AN2" s="302" t="s">
        <v>128</v>
      </c>
      <c r="AO2" s="301" t="s">
        <v>43</v>
      </c>
      <c r="AQ2" s="305"/>
      <c r="AR2" s="548" t="s">
        <v>392</v>
      </c>
      <c r="AS2" s="549"/>
      <c r="AU2" s="291"/>
    </row>
    <row r="3" spans="1:47" ht="14.65" thickBot="1">
      <c r="A3" s="292" t="s">
        <v>29</v>
      </c>
      <c r="B3" s="293">
        <v>43055</v>
      </c>
      <c r="D3" s="306">
        <f>D7</f>
        <v>15</v>
      </c>
      <c r="E3" s="306">
        <f>E7</f>
        <v>200</v>
      </c>
      <c r="F3" s="306">
        <f>F7</f>
        <v>756</v>
      </c>
      <c r="G3" s="307">
        <f>G7</f>
        <v>959</v>
      </c>
      <c r="H3" s="292" t="s">
        <v>54</v>
      </c>
      <c r="I3" s="297">
        <v>100</v>
      </c>
      <c r="J3" s="292" t="s">
        <v>55</v>
      </c>
      <c r="N3" s="308" t="s">
        <v>53</v>
      </c>
      <c r="O3" s="290">
        <f>IF($E$5=1,IF(T3&lt;=0,0,COUNT(T:T)),IF($E$5=2,IF(Z3&lt;=0,0,COUNT(Z:Z)),IF(AF3&lt;=0,0,COUNT(AF:AF))))</f>
        <v>6</v>
      </c>
      <c r="P3" s="309">
        <v>0.9</v>
      </c>
      <c r="R3" s="310"/>
      <c r="S3" s="311">
        <v>43054.563194444447</v>
      </c>
      <c r="T3" s="312">
        <v>0.10069444444444443</v>
      </c>
      <c r="U3" s="308">
        <v>2.3199999999999998</v>
      </c>
      <c r="Y3" s="311">
        <v>43054.563194444447</v>
      </c>
      <c r="Z3" s="312">
        <v>0.10069444444444443</v>
      </c>
      <c r="AA3" s="290">
        <v>4.22</v>
      </c>
      <c r="AE3" s="311">
        <v>43054.563194444447</v>
      </c>
      <c r="AF3" s="312">
        <v>0.10069444444444443</v>
      </c>
      <c r="AG3" s="290">
        <v>6.2</v>
      </c>
      <c r="AK3" s="311">
        <v>0</v>
      </c>
      <c r="AL3" s="312">
        <v>0</v>
      </c>
      <c r="AQ3" s="313"/>
      <c r="AR3" s="314" t="s">
        <v>167</v>
      </c>
      <c r="AS3" s="315" t="s">
        <v>168</v>
      </c>
      <c r="AU3" s="291" t="s">
        <v>117</v>
      </c>
    </row>
    <row r="4" spans="1:47">
      <c r="A4" s="292" t="s">
        <v>30</v>
      </c>
      <c r="B4" s="316">
        <v>1.17</v>
      </c>
      <c r="E4" s="317"/>
      <c r="F4" s="317"/>
      <c r="G4" s="317"/>
      <c r="N4" s="290" t="s">
        <v>45</v>
      </c>
      <c r="O4" s="318">
        <f>IF($E$5=1,T3,IF($E$5=2,Z3,AF3))</f>
        <v>0.10069444444444443</v>
      </c>
      <c r="S4" s="311">
        <v>43054.945138888892</v>
      </c>
      <c r="T4" s="312">
        <v>2.4305555555555556E-2</v>
      </c>
      <c r="U4" s="290">
        <v>1.31</v>
      </c>
      <c r="Y4" s="311">
        <v>43054.938194444447</v>
      </c>
      <c r="Z4" s="312">
        <v>3.4722222222222224E-2</v>
      </c>
      <c r="AA4" s="290">
        <v>1.85</v>
      </c>
      <c r="AE4" s="311">
        <v>43055.066666666666</v>
      </c>
      <c r="AF4" s="312">
        <v>9.375E-2</v>
      </c>
      <c r="AG4" s="290">
        <v>3.08</v>
      </c>
      <c r="AQ4" s="319" t="s">
        <v>3</v>
      </c>
      <c r="AR4" s="320">
        <v>33877.199999999997</v>
      </c>
      <c r="AS4" s="321">
        <v>3645.99</v>
      </c>
      <c r="AU4" s="291"/>
    </row>
    <row r="5" spans="1:47">
      <c r="A5" s="396" t="s">
        <v>528</v>
      </c>
      <c r="B5" s="316">
        <v>2</v>
      </c>
      <c r="D5" s="290" t="s">
        <v>35</v>
      </c>
      <c r="E5" s="290">
        <v>1</v>
      </c>
      <c r="N5" s="290" t="s">
        <v>44</v>
      </c>
      <c r="O5" s="323">
        <f>IF($E$5=1,U3,IF($E$5=2,AA3,AG3))</f>
        <v>2.3199999999999998</v>
      </c>
      <c r="S5" s="311">
        <v>43055.09097222222</v>
      </c>
      <c r="T5" s="312">
        <v>1.3888888888888888E-2</v>
      </c>
      <c r="U5" s="290">
        <v>7.0000000000000007E-2</v>
      </c>
      <c r="Y5" s="311">
        <v>43055.073611111111</v>
      </c>
      <c r="Z5" s="312">
        <v>3.125E-2</v>
      </c>
      <c r="AA5" s="290">
        <v>0.47</v>
      </c>
      <c r="AE5" s="311">
        <v>43055.35833333333</v>
      </c>
      <c r="AF5" s="312">
        <v>9.7222222222222224E-2</v>
      </c>
      <c r="AG5" s="290">
        <v>1.1100000000000001</v>
      </c>
      <c r="AQ5" s="319" t="s">
        <v>136</v>
      </c>
      <c r="AR5" s="320">
        <v>42495.6</v>
      </c>
      <c r="AS5" s="321">
        <v>3364.97</v>
      </c>
      <c r="AU5" s="291"/>
    </row>
    <row r="6" spans="1:47" ht="14.25" customHeight="1" thickBot="1">
      <c r="A6" s="397" t="str">
        <f>IF(Data!B5 = 1,"VMware to Azure", "Hyper-V to Azure")</f>
        <v>Hyper-V to Azure</v>
      </c>
      <c r="D6" s="541" t="s">
        <v>118</v>
      </c>
      <c r="E6" s="541"/>
      <c r="F6" s="541"/>
      <c r="G6" s="541"/>
      <c r="S6" s="311">
        <v>43055.13958333333</v>
      </c>
      <c r="T6" s="312">
        <v>2.0833333333333332E-2</v>
      </c>
      <c r="U6" s="290">
        <v>1.28</v>
      </c>
      <c r="Y6" s="311">
        <v>43055.118750000001</v>
      </c>
      <c r="Z6" s="312">
        <v>4.1666666666666664E-2</v>
      </c>
      <c r="AA6" s="290">
        <v>1.85</v>
      </c>
      <c r="AE6" s="311">
        <v>43055.55972222222</v>
      </c>
      <c r="AF6" s="312">
        <v>0.10416666666666667</v>
      </c>
      <c r="AG6" s="290">
        <v>5.56</v>
      </c>
      <c r="AQ6" s="324" t="s">
        <v>163</v>
      </c>
      <c r="AR6" s="325">
        <f t="shared" ref="AR6" si="0">SUM(AR4:AR5)</f>
        <v>76372.799999999988</v>
      </c>
      <c r="AS6" s="326">
        <f>SUM(AS4:AS5)</f>
        <v>7010.9599999999991</v>
      </c>
      <c r="AU6" s="291"/>
    </row>
    <row r="7" spans="1:47" ht="14.65" thickBot="1">
      <c r="A7" s="541" t="s">
        <v>122</v>
      </c>
      <c r="B7" s="544"/>
      <c r="D7" s="306">
        <f>IF($E$5=1,D11,IF($E$5=2,D12,D13))</f>
        <v>15</v>
      </c>
      <c r="E7" s="306">
        <f>IF($E$5=1,E11,IF($E$5=2,E12,E13))</f>
        <v>200</v>
      </c>
      <c r="F7" s="306">
        <f>IF($E$5=1,F11,IF($E$5=2,F12,F13))</f>
        <v>756</v>
      </c>
      <c r="G7" s="306">
        <f>IF($E$5=1,G11,IF($E$5=2,G12,G13))</f>
        <v>959</v>
      </c>
      <c r="N7" s="290" t="s">
        <v>125</v>
      </c>
      <c r="O7" s="290">
        <f>IF($E$5=1,COUNT($V:$V),IF($E$5=2,COUNT($AB:$AB),COUNT($AH:$AH)))</f>
        <v>0</v>
      </c>
      <c r="S7" s="311">
        <v>43055.396527777775</v>
      </c>
      <c r="T7" s="312">
        <v>1.3888888888888888E-2</v>
      </c>
      <c r="U7" s="327">
        <v>0.54</v>
      </c>
      <c r="Y7" s="311">
        <v>43055.55972222222</v>
      </c>
      <c r="Z7" s="312">
        <v>0.10069444444444443</v>
      </c>
      <c r="AA7" s="290">
        <v>3.55</v>
      </c>
      <c r="AU7" s="291"/>
    </row>
    <row r="8" spans="1:47" ht="28.9" thickBot="1">
      <c r="A8" s="292" t="s">
        <v>7</v>
      </c>
      <c r="B8" s="292">
        <f>B35</f>
        <v>86</v>
      </c>
      <c r="S8" s="311">
        <v>43055.563194444447</v>
      </c>
      <c r="T8" s="312">
        <v>1.7361111111111112E-2</v>
      </c>
      <c r="U8" s="327">
        <v>1.98</v>
      </c>
      <c r="AQ8" s="328" t="s">
        <v>147</v>
      </c>
      <c r="AR8" s="329" t="s">
        <v>252</v>
      </c>
      <c r="AS8" s="330" t="s">
        <v>254</v>
      </c>
    </row>
    <row r="9" spans="1:47" ht="14.25" customHeight="1">
      <c r="A9" s="292" t="s">
        <v>78</v>
      </c>
      <c r="B9" s="292">
        <f>B39</f>
        <v>84</v>
      </c>
      <c r="D9" s="542" t="s">
        <v>440</v>
      </c>
      <c r="E9" s="543"/>
      <c r="F9" s="543"/>
      <c r="G9" s="543"/>
      <c r="AQ9" s="331" t="s">
        <v>194</v>
      </c>
      <c r="AR9" s="332">
        <v>84</v>
      </c>
      <c r="AS9" s="333">
        <v>30921.41</v>
      </c>
    </row>
    <row r="10" spans="1:47" ht="14.65" thickBot="1">
      <c r="A10" s="292" t="s">
        <v>135</v>
      </c>
      <c r="B10" s="292">
        <f>B38</f>
        <v>2</v>
      </c>
      <c r="D10" s="294" t="s">
        <v>4</v>
      </c>
      <c r="E10" s="294" t="s">
        <v>80</v>
      </c>
      <c r="F10" s="295" t="str">
        <f>IF(I2="","To meet RPO 90% of the time",H2&amp;I2&amp;J2)</f>
        <v>To meet RPO 90% of the time</v>
      </c>
      <c r="G10" s="295" t="str">
        <f>IF(I3="","To meet RPO 100% of the time",H3&amp;I3&amp;J3)</f>
        <v>To meet RPO 100% of the time</v>
      </c>
      <c r="AQ10" s="334" t="s">
        <v>253</v>
      </c>
      <c r="AR10" s="335">
        <v>0</v>
      </c>
      <c r="AS10" s="336">
        <v>0</v>
      </c>
    </row>
    <row r="11" spans="1:47">
      <c r="A11" s="292" t="s">
        <v>42</v>
      </c>
      <c r="B11" s="316" t="s">
        <v>719</v>
      </c>
      <c r="D11" s="337">
        <v>15</v>
      </c>
      <c r="E11" s="337">
        <v>200</v>
      </c>
      <c r="F11" s="337">
        <v>756</v>
      </c>
      <c r="G11" s="337">
        <v>959</v>
      </c>
      <c r="K11" s="338"/>
    </row>
    <row r="12" spans="1:47">
      <c r="A12" s="292" t="s">
        <v>20</v>
      </c>
      <c r="B12" s="316">
        <v>15</v>
      </c>
      <c r="D12" s="337">
        <v>30</v>
      </c>
      <c r="E12" s="337">
        <v>200</v>
      </c>
      <c r="F12" s="337">
        <v>644</v>
      </c>
      <c r="G12" s="337">
        <v>739</v>
      </c>
    </row>
    <row r="13" spans="1:47">
      <c r="A13" s="292" t="s">
        <v>25</v>
      </c>
      <c r="B13" s="292" t="str">
        <f>D20</f>
        <v>NA</v>
      </c>
      <c r="D13" s="337">
        <v>60</v>
      </c>
      <c r="E13" s="337">
        <v>200</v>
      </c>
      <c r="F13" s="337">
        <v>528</v>
      </c>
      <c r="G13" s="337">
        <v>626</v>
      </c>
      <c r="N13" s="298" t="s">
        <v>48</v>
      </c>
      <c r="AQ13"/>
      <c r="AR13"/>
    </row>
    <row r="14" spans="1:47">
      <c r="A14" s="290" t="s">
        <v>81</v>
      </c>
      <c r="B14" s="317"/>
      <c r="N14" s="290" t="s">
        <v>142</v>
      </c>
      <c r="O14" s="290">
        <f>IF(AL3&lt;=0,0,COUNT(AL:AL))</f>
        <v>0</v>
      </c>
      <c r="P14" s="309">
        <v>0.9</v>
      </c>
      <c r="AQ14"/>
      <c r="AR14"/>
    </row>
    <row r="15" spans="1:47">
      <c r="A15" s="541" t="s">
        <v>123</v>
      </c>
      <c r="B15" s="544"/>
      <c r="G15" s="340"/>
      <c r="N15" s="290" t="s">
        <v>45</v>
      </c>
      <c r="O15" s="318">
        <f>AL3</f>
        <v>0</v>
      </c>
      <c r="AQ15" s="538" t="s">
        <v>413</v>
      </c>
      <c r="AR15" s="538"/>
    </row>
    <row r="16" spans="1:47">
      <c r="A16" s="322" t="s">
        <v>136</v>
      </c>
      <c r="B16" s="316">
        <v>2</v>
      </c>
      <c r="N16" s="290" t="s">
        <v>47</v>
      </c>
      <c r="O16" s="290">
        <f>AM3</f>
        <v>0</v>
      </c>
      <c r="AQ16" s="404" t="s">
        <v>529</v>
      </c>
      <c r="AR16" s="339" t="str">
        <f>'Cost Estimation'!F25</f>
        <v>Yes</v>
      </c>
    </row>
    <row r="17" spans="1:44">
      <c r="A17" s="322" t="s">
        <v>3</v>
      </c>
      <c r="B17" s="316">
        <v>1</v>
      </c>
      <c r="N17" s="290" t="s">
        <v>126</v>
      </c>
      <c r="O17" s="308">
        <f>COUNT(AN:AN)</f>
        <v>0</v>
      </c>
    </row>
    <row r="18" spans="1:44" ht="18" customHeight="1">
      <c r="A18" s="290" t="s">
        <v>32</v>
      </c>
      <c r="B18" s="341">
        <f>SUM(B16:B17)</f>
        <v>3</v>
      </c>
      <c r="D18" s="545" t="s">
        <v>121</v>
      </c>
      <c r="E18" s="546"/>
      <c r="F18" s="547"/>
      <c r="G18" s="545" t="s">
        <v>75</v>
      </c>
      <c r="H18" s="546"/>
      <c r="I18" s="547"/>
      <c r="Q18" s="310"/>
      <c r="R18" s="310"/>
    </row>
    <row r="19" spans="1:44">
      <c r="A19" s="322" t="s">
        <v>8</v>
      </c>
      <c r="B19" s="316">
        <v>851</v>
      </c>
      <c r="D19" s="342"/>
      <c r="E19" s="343" t="str">
        <f>IF(H19="","Achievable 90% of the time",G19&amp;H19&amp;I19)</f>
        <v>Achievable 90% of the time</v>
      </c>
      <c r="F19" s="343" t="str">
        <f>IF(H19="","Achievable 90% of the time",G20&amp;H20&amp;I20)</f>
        <v>Achievable 100% of the time</v>
      </c>
      <c r="G19" s="292" t="s">
        <v>76</v>
      </c>
      <c r="H19" s="297">
        <v>90</v>
      </c>
      <c r="I19" s="292" t="s">
        <v>55</v>
      </c>
      <c r="N19" s="291"/>
      <c r="O19" s="291"/>
      <c r="P19" s="291"/>
      <c r="AQ19"/>
      <c r="AR19"/>
    </row>
    <row r="20" spans="1:44" ht="14.25" customHeight="1">
      <c r="D20" s="386" t="s">
        <v>224</v>
      </c>
      <c r="E20" s="316">
        <v>0</v>
      </c>
      <c r="F20" s="316">
        <v>0</v>
      </c>
      <c r="G20" s="292" t="s">
        <v>76</v>
      </c>
      <c r="H20" s="297">
        <v>100</v>
      </c>
      <c r="I20" s="292" t="s">
        <v>55</v>
      </c>
      <c r="N20" s="291"/>
      <c r="O20" s="291"/>
      <c r="P20" s="291"/>
      <c r="AQ20"/>
      <c r="AR20"/>
    </row>
    <row r="21" spans="1:44">
      <c r="A21" s="541" t="s">
        <v>33</v>
      </c>
      <c r="B21" s="544"/>
      <c r="N21" s="291"/>
      <c r="O21" s="291"/>
      <c r="P21" s="291"/>
    </row>
    <row r="22" spans="1:44">
      <c r="A22" s="344" t="s">
        <v>40</v>
      </c>
      <c r="B22" s="345">
        <f>ROUNDUP(B42/C22,0)</f>
        <v>1</v>
      </c>
      <c r="C22" s="316">
        <v>600</v>
      </c>
      <c r="N22" s="291"/>
      <c r="O22" s="291"/>
      <c r="P22" s="291"/>
    </row>
    <row r="23" spans="1:44">
      <c r="A23" s="344" t="s">
        <v>41</v>
      </c>
      <c r="B23" s="346">
        <f>IF(ROUNDUP(B50/C23,0)-B22 &lt;0,0,ROUNDUP(B50/C23,0)-B22)</f>
        <v>2</v>
      </c>
      <c r="C23" s="316">
        <v>2048</v>
      </c>
      <c r="N23" s="291"/>
      <c r="O23" s="291"/>
      <c r="P23" s="291"/>
    </row>
    <row r="24" spans="1:44">
      <c r="A24" s="344"/>
      <c r="B24" s="347">
        <f>B43</f>
        <v>90991</v>
      </c>
      <c r="C24" s="292" t="s">
        <v>18</v>
      </c>
      <c r="D24" s="292">
        <f>B24/1024</f>
        <v>88.8583984375</v>
      </c>
      <c r="E24" s="292" t="s">
        <v>19</v>
      </c>
      <c r="N24" s="291"/>
      <c r="O24" s="291"/>
      <c r="P24" s="291"/>
    </row>
    <row r="25" spans="1:44">
      <c r="A25" s="348"/>
      <c r="B25" s="310">
        <f>IF(B24 &lt;1024,B24,D24)</f>
        <v>88.8583984375</v>
      </c>
      <c r="C25" s="292" t="str">
        <f>IF(B24 &lt;1024,C24,E24)</f>
        <v>TB</v>
      </c>
      <c r="N25" s="291"/>
      <c r="O25" s="291"/>
      <c r="P25" s="291"/>
    </row>
    <row r="26" spans="1:44" ht="18" customHeight="1">
      <c r="A26" s="541" t="s">
        <v>119</v>
      </c>
      <c r="B26" s="544"/>
      <c r="D26" s="554" t="s">
        <v>443</v>
      </c>
      <c r="E26" s="554"/>
      <c r="F26" s="554"/>
      <c r="G26" s="554"/>
      <c r="H26" s="554"/>
      <c r="I26" s="554"/>
      <c r="J26" s="554"/>
      <c r="K26" s="554"/>
      <c r="N26" s="291"/>
      <c r="O26" s="291"/>
      <c r="P26" s="291"/>
      <c r="Q26" s="318"/>
    </row>
    <row r="27" spans="1:44" ht="39.75">
      <c r="A27" s="292" t="s">
        <v>137</v>
      </c>
      <c r="B27" s="349">
        <f>G39</f>
        <v>4</v>
      </c>
      <c r="D27" s="350" t="s">
        <v>17</v>
      </c>
      <c r="E27" s="350" t="s">
        <v>130</v>
      </c>
      <c r="F27" s="350" t="s">
        <v>36</v>
      </c>
      <c r="G27" s="350" t="s">
        <v>131</v>
      </c>
      <c r="H27" s="350" t="s">
        <v>132</v>
      </c>
      <c r="I27" s="350" t="s">
        <v>133</v>
      </c>
      <c r="J27" s="350" t="s">
        <v>80</v>
      </c>
      <c r="K27" s="350" t="s">
        <v>134</v>
      </c>
      <c r="N27" s="291"/>
      <c r="O27" s="291"/>
      <c r="P27" s="291"/>
      <c r="Q27" s="318"/>
    </row>
    <row r="28" spans="1:44" ht="15" customHeight="1">
      <c r="A28" s="292" t="s">
        <v>138</v>
      </c>
      <c r="B28" s="351">
        <v>72</v>
      </c>
      <c r="D28" s="337">
        <v>528</v>
      </c>
      <c r="E28" s="352">
        <f>$B$28</f>
        <v>72</v>
      </c>
      <c r="F28" s="353">
        <f>$B46</f>
        <v>1086</v>
      </c>
      <c r="G28" s="352">
        <f t="shared" ref="G28:G35" si="1">IF(F28=0,0,ROUNDDOWN((IF(D28&gt;160,160,D28)*E28*3600)/(F28*1024*8),0))</f>
        <v>4</v>
      </c>
      <c r="H28" s="352" t="str">
        <f t="shared" ref="H28:H34" si="2">IF(D28=$G$3,G28,"")</f>
        <v/>
      </c>
      <c r="I28" s="292"/>
      <c r="J28" s="352"/>
      <c r="K28" s="292" t="str">
        <f>IF(D28=$D$20,G28,"")</f>
        <v/>
      </c>
      <c r="N28" s="291"/>
      <c r="O28" s="291"/>
      <c r="P28" s="291"/>
    </row>
    <row r="29" spans="1:44" ht="14.25" customHeight="1">
      <c r="A29" s="292" t="s">
        <v>17</v>
      </c>
      <c r="B29" s="322">
        <f>G3</f>
        <v>959</v>
      </c>
      <c r="D29" s="337">
        <v>625</v>
      </c>
      <c r="E29" s="352">
        <f t="shared" ref="E29:E39" si="3">$B$28</f>
        <v>72</v>
      </c>
      <c r="F29" s="353">
        <f>$B46</f>
        <v>1086</v>
      </c>
      <c r="G29" s="352">
        <f t="shared" si="1"/>
        <v>4</v>
      </c>
      <c r="H29" s="352" t="str">
        <f t="shared" si="2"/>
        <v/>
      </c>
      <c r="I29" s="292"/>
      <c r="J29" s="352"/>
      <c r="K29" s="292" t="str">
        <f t="shared" ref="K29:K35" si="4">IF(D29=$D$20,G29,"")</f>
        <v/>
      </c>
      <c r="N29" s="291"/>
      <c r="O29" s="291"/>
      <c r="P29" s="291"/>
    </row>
    <row r="30" spans="1:44" ht="15.75" customHeight="1">
      <c r="A30" s="292"/>
      <c r="B30" s="351"/>
      <c r="D30" s="354">
        <v>644</v>
      </c>
      <c r="E30" s="352">
        <f t="shared" si="3"/>
        <v>72</v>
      </c>
      <c r="F30" s="353">
        <f>$B46</f>
        <v>1086</v>
      </c>
      <c r="G30" s="352">
        <f t="shared" si="1"/>
        <v>4</v>
      </c>
      <c r="H30" s="352" t="str">
        <f t="shared" si="2"/>
        <v/>
      </c>
      <c r="I30" s="292"/>
      <c r="J30" s="352"/>
      <c r="K30" s="292" t="str">
        <f t="shared" si="4"/>
        <v/>
      </c>
    </row>
    <row r="31" spans="1:44">
      <c r="A31" s="292" t="s">
        <v>139</v>
      </c>
      <c r="B31" s="322">
        <f>E3</f>
        <v>200</v>
      </c>
      <c r="D31" s="337">
        <v>737</v>
      </c>
      <c r="E31" s="352">
        <f t="shared" si="3"/>
        <v>72</v>
      </c>
      <c r="F31" s="353">
        <f>$B46</f>
        <v>1086</v>
      </c>
      <c r="G31" s="352">
        <f t="shared" si="1"/>
        <v>4</v>
      </c>
      <c r="H31" s="352" t="str">
        <f t="shared" si="2"/>
        <v/>
      </c>
      <c r="I31" s="292"/>
      <c r="J31" s="352"/>
      <c r="K31" s="292" t="str">
        <f t="shared" si="4"/>
        <v/>
      </c>
      <c r="N31" s="355"/>
    </row>
    <row r="32" spans="1:44">
      <c r="B32" s="356"/>
      <c r="D32" s="337">
        <v>756</v>
      </c>
      <c r="E32" s="352">
        <f t="shared" si="3"/>
        <v>72</v>
      </c>
      <c r="F32" s="353">
        <f>$B46</f>
        <v>1086</v>
      </c>
      <c r="G32" s="352">
        <f t="shared" si="1"/>
        <v>4</v>
      </c>
      <c r="H32" s="352" t="str">
        <f t="shared" si="2"/>
        <v/>
      </c>
      <c r="I32" s="292"/>
      <c r="J32" s="352"/>
      <c r="K32" s="292" t="str">
        <f t="shared" si="4"/>
        <v/>
      </c>
      <c r="N32" s="355"/>
      <c r="O32" s="310"/>
      <c r="P32" s="318"/>
    </row>
    <row r="33" spans="1:16">
      <c r="D33" s="337">
        <v>956</v>
      </c>
      <c r="E33" s="352">
        <f t="shared" si="3"/>
        <v>72</v>
      </c>
      <c r="F33" s="353">
        <f>$B46</f>
        <v>1086</v>
      </c>
      <c r="G33" s="352">
        <f t="shared" si="1"/>
        <v>4</v>
      </c>
      <c r="H33" s="352" t="str">
        <f t="shared" si="2"/>
        <v/>
      </c>
      <c r="I33" s="292"/>
      <c r="J33" s="352"/>
      <c r="K33" s="292" t="str">
        <f t="shared" si="4"/>
        <v/>
      </c>
      <c r="N33" s="355"/>
      <c r="O33" s="310"/>
      <c r="P33" s="318"/>
    </row>
    <row r="34" spans="1:16">
      <c r="A34" s="541" t="s">
        <v>37</v>
      </c>
      <c r="B34" s="544"/>
      <c r="D34" s="337">
        <v>500</v>
      </c>
      <c r="E34" s="352">
        <f t="shared" si="3"/>
        <v>72</v>
      </c>
      <c r="F34" s="353">
        <f>$B46</f>
        <v>1086</v>
      </c>
      <c r="G34" s="352">
        <f t="shared" si="1"/>
        <v>4</v>
      </c>
      <c r="H34" s="352" t="str">
        <f t="shared" si="2"/>
        <v/>
      </c>
      <c r="I34" s="292"/>
      <c r="J34" s="352"/>
      <c r="K34" s="292" t="str">
        <f t="shared" si="4"/>
        <v/>
      </c>
      <c r="N34" s="355"/>
      <c r="O34" s="310"/>
      <c r="P34" s="318"/>
    </row>
    <row r="35" spans="1:16">
      <c r="A35" s="292" t="s">
        <v>14</v>
      </c>
      <c r="B35" s="316">
        <v>86</v>
      </c>
      <c r="D35" s="337">
        <v>800</v>
      </c>
      <c r="E35" s="352">
        <f t="shared" si="3"/>
        <v>72</v>
      </c>
      <c r="F35" s="353">
        <f>$B46</f>
        <v>1086</v>
      </c>
      <c r="G35" s="352">
        <f t="shared" si="1"/>
        <v>4</v>
      </c>
      <c r="H35" s="352" t="str">
        <f t="shared" ref="H35" si="5">IF(D35=$G$3,G35,"")</f>
        <v/>
      </c>
      <c r="I35" s="292"/>
      <c r="J35" s="352"/>
      <c r="K35" s="292" t="str">
        <f t="shared" si="4"/>
        <v/>
      </c>
      <c r="O35" s="310"/>
    </row>
    <row r="36" spans="1:16">
      <c r="A36" s="292" t="s">
        <v>15</v>
      </c>
      <c r="B36" s="316">
        <v>557</v>
      </c>
    </row>
    <row r="37" spans="1:16">
      <c r="A37" s="292" t="s">
        <v>140</v>
      </c>
      <c r="B37" s="316">
        <v>10312</v>
      </c>
    </row>
    <row r="38" spans="1:16">
      <c r="A38" s="292" t="s">
        <v>135</v>
      </c>
      <c r="B38" s="316">
        <v>2</v>
      </c>
      <c r="D38" s="540" t="s">
        <v>431</v>
      </c>
      <c r="E38" s="540"/>
      <c r="F38" s="540"/>
      <c r="G38" s="540"/>
    </row>
    <row r="39" spans="1:16">
      <c r="A39" s="292" t="s">
        <v>78</v>
      </c>
      <c r="B39" s="292">
        <f>B35-B38</f>
        <v>84</v>
      </c>
      <c r="D39" s="306">
        <f>G3</f>
        <v>959</v>
      </c>
      <c r="E39" s="352">
        <f t="shared" si="3"/>
        <v>72</v>
      </c>
      <c r="F39" s="352">
        <f t="shared" ref="F39" si="6">$B$46</f>
        <v>1086</v>
      </c>
      <c r="G39" s="352">
        <f>IF(F39=0,0,ROUNDDOWN((IF(D39&gt;160,160,D39)*E39*3600)/(F39*1024*8),0))</f>
        <v>4</v>
      </c>
    </row>
    <row r="41" spans="1:16">
      <c r="A41" s="541" t="s">
        <v>85</v>
      </c>
      <c r="B41" s="544"/>
      <c r="D41" s="540" t="s">
        <v>446</v>
      </c>
      <c r="E41" s="540"/>
      <c r="F41" s="540"/>
      <c r="G41" s="540"/>
      <c r="K41" s="291"/>
    </row>
    <row r="42" spans="1:16">
      <c r="A42" s="292" t="s">
        <v>144</v>
      </c>
      <c r="B42" s="316">
        <v>543</v>
      </c>
      <c r="D42" s="306" t="str">
        <f>D20</f>
        <v>NA</v>
      </c>
      <c r="E42" s="352">
        <f t="shared" ref="E42" si="7">$B$28</f>
        <v>72</v>
      </c>
      <c r="F42" s="353">
        <f>$B46</f>
        <v>1086</v>
      </c>
      <c r="G42" s="352">
        <f>IF(F42=0,0,ROUNDDOWN((IF(D42&gt;160,160,D42)*E42*3600)/(F42*1024*8),0))</f>
        <v>4</v>
      </c>
      <c r="K42" s="291"/>
    </row>
    <row r="43" spans="1:16">
      <c r="A43" s="292" t="s">
        <v>60</v>
      </c>
      <c r="B43" s="316">
        <v>90991</v>
      </c>
      <c r="K43" s="291"/>
    </row>
    <row r="44" spans="1:16">
      <c r="A44" s="292" t="s">
        <v>77</v>
      </c>
      <c r="B44" s="292">
        <f>IF(B42 = 0,0,ROUNDUP(B43/B42,0))</f>
        <v>168</v>
      </c>
      <c r="D44" s="537" t="s">
        <v>441</v>
      </c>
      <c r="E44" s="537"/>
      <c r="F44" s="537"/>
      <c r="G44" s="537"/>
      <c r="H44" s="537"/>
      <c r="I44" s="537" t="s">
        <v>454</v>
      </c>
      <c r="J44" s="537"/>
      <c r="K44" s="537"/>
      <c r="L44" s="539" t="s">
        <v>455</v>
      </c>
      <c r="M44" s="537"/>
      <c r="N44" s="537"/>
    </row>
    <row r="45" spans="1:16" ht="66">
      <c r="A45" s="292" t="s">
        <v>145</v>
      </c>
      <c r="B45" s="357">
        <f>IF(B39=0,0,ROUNDUP(B42/B39,0))</f>
        <v>7</v>
      </c>
      <c r="C45" s="358">
        <f>IF(B39=0,0,B42/B39)</f>
        <v>6.4642857142857144</v>
      </c>
      <c r="D45" s="294" t="s">
        <v>432</v>
      </c>
      <c r="E45" s="350" t="s">
        <v>435</v>
      </c>
      <c r="F45" s="350" t="s">
        <v>436</v>
      </c>
      <c r="G45" s="350" t="s">
        <v>437</v>
      </c>
      <c r="H45" s="350" t="s">
        <v>433</v>
      </c>
      <c r="I45" s="350" t="s">
        <v>451</v>
      </c>
      <c r="J45" s="350" t="s">
        <v>453</v>
      </c>
      <c r="K45" s="350" t="s">
        <v>452</v>
      </c>
      <c r="L45" s="350" t="s">
        <v>449</v>
      </c>
      <c r="M45" s="350" t="s">
        <v>448</v>
      </c>
      <c r="N45" s="350" t="s">
        <v>450</v>
      </c>
    </row>
    <row r="46" spans="1:16">
      <c r="A46" s="292" t="s">
        <v>61</v>
      </c>
      <c r="B46" s="359">
        <f>C45*B44</f>
        <v>1086</v>
      </c>
      <c r="D46" s="337">
        <v>0.5</v>
      </c>
      <c r="E46" s="337">
        <v>959</v>
      </c>
      <c r="F46" s="337">
        <v>19</v>
      </c>
      <c r="G46" s="360">
        <f>IF(E46&gt;=1000,E46/1000,E46)</f>
        <v>959</v>
      </c>
      <c r="H46" s="361" t="str">
        <f>IF(E46&gt;=1000,"Gbps","Mbps")</f>
        <v>Mbps</v>
      </c>
      <c r="I46" s="362">
        <v>5</v>
      </c>
      <c r="J46" s="292">
        <f>IF(I46 &lt;1,30,I46)</f>
        <v>5</v>
      </c>
      <c r="K46" s="292" t="str">
        <f>IF(I46 &lt;1,"Seconds","Minutes")</f>
        <v>Minutes</v>
      </c>
      <c r="L46" s="374">
        <f>'On-premises Storage Requirement'!E42</f>
        <v>508712.03</v>
      </c>
      <c r="M46" s="373">
        <f>IF(L46&lt;1000,L46,IF(L46&lt;1000000,L46/1024,L46/1048576))</f>
        <v>496.78909179687503</v>
      </c>
      <c r="N46" s="363" t="str">
        <f>IF(L46&lt;1000,"Additional On-premises Storage Requirement (GB)",IF(L46&lt;1000000,"Additional On-premises Storage Requirement (TB)","Additional On-premises Storage Requirement (PB)"))</f>
        <v>Additional On-premises Storage Requirement (TB)</v>
      </c>
    </row>
    <row r="47" spans="1:16">
      <c r="A47" s="292"/>
      <c r="B47" s="292"/>
      <c r="D47" s="337">
        <v>5</v>
      </c>
      <c r="E47" s="337">
        <v>739</v>
      </c>
      <c r="F47" s="337">
        <v>19</v>
      </c>
      <c r="G47" s="360">
        <f>IF(E47&gt;=1000,E47/1000,E47)</f>
        <v>739</v>
      </c>
      <c r="H47" s="361" t="str">
        <f t="shared" ref="H47:H48" si="8">IF(E47&gt;=1000,"Gbps","Mbps")</f>
        <v>Mbps</v>
      </c>
      <c r="I47" s="362">
        <v>5</v>
      </c>
      <c r="J47" s="292">
        <f t="shared" ref="J47:J48" si="9">IF(I47 &lt;1,30,I47)</f>
        <v>5</v>
      </c>
      <c r="K47" s="292" t="str">
        <f t="shared" ref="K47:K48" si="10">IF(I47 &lt;1,"Seconds","Minutes")</f>
        <v>Minutes</v>
      </c>
      <c r="L47" s="374">
        <f>'On-premises Storage Requirement'!E42</f>
        <v>508712.03</v>
      </c>
      <c r="M47" s="373">
        <f>IF(L47&lt;1000,L47,IF(L47&lt;1000000,L47/1024,L47/1048576))</f>
        <v>496.78909179687503</v>
      </c>
      <c r="N47" s="363" t="str">
        <f>IF(L47&lt;1000,"Additional On-premises Storage Requirement (GB)",IF(L47&lt;1000000,"Additional On-premises Storage Requirement (TB)","Additional On-premises Storage Requirement (PB)"))</f>
        <v>Additional On-premises Storage Requirement (TB)</v>
      </c>
    </row>
    <row r="48" spans="1:16">
      <c r="D48" s="337">
        <v>5</v>
      </c>
      <c r="E48" s="337">
        <v>626</v>
      </c>
      <c r="F48" s="337">
        <v>19</v>
      </c>
      <c r="G48" s="360">
        <f>IF(E48&gt;=1000,E48/1000,E48)</f>
        <v>626</v>
      </c>
      <c r="H48" s="361" t="str">
        <f t="shared" si="8"/>
        <v>Mbps</v>
      </c>
      <c r="I48" s="362">
        <v>5</v>
      </c>
      <c r="J48" s="292">
        <f t="shared" si="9"/>
        <v>5</v>
      </c>
      <c r="K48" s="292" t="str">
        <f t="shared" si="10"/>
        <v>Minutes</v>
      </c>
      <c r="L48" s="374">
        <f>'On-premises Storage Requirement'!E42</f>
        <v>508712.03</v>
      </c>
      <c r="M48" s="373">
        <f>IF(L48&lt;1000,L48,IF(L48&lt;1000000,L48/1024,L48/1048576))</f>
        <v>496.78909179687503</v>
      </c>
      <c r="N48" s="363" t="str">
        <f>IF(L48&lt;1000,"Additional On-premises Storage Requirement (GB)",IF(L48&lt;1000000,"Additional On-premises Storage Requirement (TB)","Additional On-premises Storage Requirement (PB)"))</f>
        <v>Additional On-premises Storage Requirement (TB)</v>
      </c>
    </row>
    <row r="49" spans="1:14">
      <c r="A49" s="541" t="s">
        <v>38</v>
      </c>
      <c r="B49" s="544"/>
      <c r="K49" s="291"/>
    </row>
    <row r="50" spans="1:14" ht="14.65" customHeight="1">
      <c r="A50" s="292" t="s">
        <v>52</v>
      </c>
      <c r="B50" s="316">
        <v>5086</v>
      </c>
      <c r="D50" s="535" t="s">
        <v>118</v>
      </c>
      <c r="E50" s="536"/>
      <c r="F50" s="536"/>
      <c r="G50" s="536"/>
      <c r="H50" s="536"/>
      <c r="I50" s="537" t="s">
        <v>456</v>
      </c>
      <c r="J50" s="537"/>
      <c r="K50" s="537"/>
      <c r="L50" s="539" t="s">
        <v>457</v>
      </c>
      <c r="M50" s="537"/>
      <c r="N50" s="537"/>
    </row>
    <row r="51" spans="1:14">
      <c r="A51" s="292" t="s">
        <v>16</v>
      </c>
      <c r="B51" s="322">
        <v>30</v>
      </c>
      <c r="D51" s="306">
        <f>D7</f>
        <v>15</v>
      </c>
      <c r="E51" s="306">
        <f t="shared" ref="E51:K51" si="11">IF($E$5=1,E46,IF($E$5=2,E47,E48))</f>
        <v>959</v>
      </c>
      <c r="F51" s="306">
        <f t="shared" si="11"/>
        <v>19</v>
      </c>
      <c r="G51" s="372">
        <f t="shared" si="11"/>
        <v>959</v>
      </c>
      <c r="H51" s="306" t="str">
        <f t="shared" si="11"/>
        <v>Mbps</v>
      </c>
      <c r="I51" s="306">
        <f t="shared" si="11"/>
        <v>5</v>
      </c>
      <c r="J51" s="306">
        <f t="shared" si="11"/>
        <v>5</v>
      </c>
      <c r="K51" s="306" t="str">
        <f t="shared" si="11"/>
        <v>Minutes</v>
      </c>
      <c r="L51" s="372">
        <f t="shared" ref="L51:N51" si="12">IF($E$5=1,L46,IF($E$5=2,L47,L48))</f>
        <v>508712.03</v>
      </c>
      <c r="M51" s="462">
        <f t="shared" si="12"/>
        <v>496.78909179687503</v>
      </c>
      <c r="N51" s="306" t="str">
        <f t="shared" si="12"/>
        <v>Additional On-premises Storage Requirement (TB)</v>
      </c>
    </row>
    <row r="52" spans="1:14">
      <c r="A52" s="364" t="s">
        <v>442</v>
      </c>
      <c r="B52" s="359"/>
    </row>
    <row r="53" spans="1:14">
      <c r="A53" s="292"/>
      <c r="B53" s="292"/>
      <c r="D53" s="291"/>
      <c r="E53" s="291"/>
      <c r="F53" s="291"/>
      <c r="G53" s="291"/>
    </row>
    <row r="54" spans="1:14">
      <c r="B54" s="292"/>
      <c r="D54" s="534" t="s">
        <v>434</v>
      </c>
      <c r="E54" s="534"/>
      <c r="F54" s="534"/>
      <c r="G54" s="534"/>
      <c r="H54" s="534"/>
      <c r="I54" s="534"/>
    </row>
    <row r="55" spans="1:14" ht="26.65">
      <c r="A55" s="541" t="s">
        <v>388</v>
      </c>
      <c r="B55" s="544"/>
      <c r="D55" s="294" t="s">
        <v>438</v>
      </c>
      <c r="E55" s="350" t="s">
        <v>435</v>
      </c>
      <c r="F55" s="350" t="s">
        <v>436</v>
      </c>
      <c r="G55" s="350" t="s">
        <v>437</v>
      </c>
      <c r="H55" s="350" t="s">
        <v>433</v>
      </c>
      <c r="I55" s="350" t="s">
        <v>509</v>
      </c>
    </row>
    <row r="56" spans="1:14">
      <c r="A56" s="292" t="s">
        <v>2</v>
      </c>
      <c r="B56" s="316" t="s">
        <v>720</v>
      </c>
      <c r="D56" s="337">
        <v>0</v>
      </c>
      <c r="E56" s="337">
        <v>2</v>
      </c>
      <c r="F56" s="337">
        <v>0</v>
      </c>
      <c r="G56" s="361">
        <f>IF(E56&gt;=1000,E56/1000,E56)</f>
        <v>2</v>
      </c>
      <c r="H56" s="361" t="str">
        <f>IF(E56&gt;=1000,"Gbps","Mbps")</f>
        <v>Mbps</v>
      </c>
      <c r="I56" s="292" t="str">
        <f>IF(D56&gt;=E56, "","Insufficient bandwidth")</f>
        <v>Insufficient bandwidth</v>
      </c>
    </row>
    <row r="57" spans="1:14">
      <c r="A57" s="292" t="s">
        <v>69</v>
      </c>
      <c r="B57" s="316">
        <v>95</v>
      </c>
    </row>
    <row r="58" spans="1:14" ht="15" customHeight="1">
      <c r="A58" s="322" t="s">
        <v>70</v>
      </c>
      <c r="B58" s="316">
        <v>95</v>
      </c>
      <c r="D58" s="291"/>
      <c r="E58" s="291"/>
      <c r="F58" s="291"/>
      <c r="G58" s="291"/>
      <c r="H58" s="291"/>
    </row>
    <row r="59" spans="1:14">
      <c r="A59" s="322" t="s">
        <v>71</v>
      </c>
      <c r="B59" s="316">
        <v>95</v>
      </c>
      <c r="D59" s="399"/>
      <c r="E59" s="399"/>
      <c r="F59" s="1"/>
      <c r="G59" s="291"/>
      <c r="H59" s="291"/>
    </row>
    <row r="60" spans="1:14">
      <c r="A60" s="322" t="s">
        <v>79</v>
      </c>
      <c r="B60" s="316">
        <v>100</v>
      </c>
      <c r="D60" s="399"/>
      <c r="E60" s="1"/>
      <c r="F60" s="291"/>
      <c r="G60" s="291"/>
      <c r="H60" s="291"/>
    </row>
    <row r="61" spans="1:14">
      <c r="A61" s="322" t="s">
        <v>73</v>
      </c>
      <c r="B61" s="316"/>
      <c r="D61" s="291"/>
      <c r="E61" s="291"/>
      <c r="F61" s="291"/>
      <c r="G61" s="291"/>
      <c r="H61" s="291"/>
    </row>
    <row r="62" spans="1:14">
      <c r="A62" s="322" t="s">
        <v>74</v>
      </c>
      <c r="B62" s="316">
        <v>1</v>
      </c>
      <c r="F62" s="365"/>
      <c r="M62" s="440"/>
    </row>
    <row r="63" spans="1:14">
      <c r="A63" s="322" t="s">
        <v>72</v>
      </c>
      <c r="B63" s="316"/>
    </row>
    <row r="64" spans="1:14">
      <c r="A64" s="292" t="s">
        <v>95</v>
      </c>
      <c r="B64" s="366" t="s">
        <v>721</v>
      </c>
    </row>
    <row r="65" spans="1:6">
      <c r="A65" s="292" t="s">
        <v>148</v>
      </c>
      <c r="B65" s="435" t="s">
        <v>150</v>
      </c>
    </row>
    <row r="66" spans="1:6">
      <c r="A66" s="292" t="s">
        <v>149</v>
      </c>
      <c r="B66" s="316" t="s">
        <v>150</v>
      </c>
    </row>
    <row r="67" spans="1:6">
      <c r="A67" s="292" t="s">
        <v>389</v>
      </c>
      <c r="B67" s="316" t="s">
        <v>722</v>
      </c>
    </row>
    <row r="68" spans="1:6">
      <c r="A68" s="322" t="s">
        <v>390</v>
      </c>
      <c r="B68" s="316" t="s">
        <v>723</v>
      </c>
      <c r="C68" s="291"/>
      <c r="D68" s="291"/>
      <c r="E68" s="291"/>
      <c r="F68" s="291"/>
    </row>
    <row r="69" spans="1:6">
      <c r="A69" s="322" t="s">
        <v>391</v>
      </c>
      <c r="B69" s="362" t="s">
        <v>724</v>
      </c>
      <c r="C69" s="291"/>
      <c r="D69" s="291"/>
      <c r="E69" s="291"/>
      <c r="F69" s="291"/>
    </row>
    <row r="70" spans="1:6">
      <c r="A70" s="322" t="s">
        <v>462</v>
      </c>
      <c r="B70" s="362">
        <v>24</v>
      </c>
      <c r="C70" s="291"/>
      <c r="D70" s="291"/>
      <c r="E70" s="291"/>
      <c r="F70" s="291"/>
    </row>
    <row r="71" spans="1:6">
      <c r="A71" s="322" t="s">
        <v>181</v>
      </c>
      <c r="B71" s="367"/>
      <c r="C71" s="291"/>
      <c r="D71" s="291"/>
      <c r="E71" s="291"/>
      <c r="F71" s="291"/>
    </row>
    <row r="72" spans="1:6">
      <c r="A72" s="322" t="s">
        <v>505</v>
      </c>
      <c r="B72" s="367" t="str">
        <f>_xlfn.CONCAT("Total DR cost ","[",Prices!AM3,"]")</f>
        <v>Total DR cost [US Dollar ($)]</v>
      </c>
      <c r="C72" s="291"/>
      <c r="D72" s="291"/>
      <c r="E72" s="291"/>
      <c r="F72" s="291"/>
    </row>
    <row r="73" spans="1:6">
      <c r="A73" s="291"/>
      <c r="B73" s="291"/>
      <c r="C73" s="291"/>
      <c r="D73" s="291"/>
      <c r="E73" s="291"/>
      <c r="F73" s="291"/>
    </row>
    <row r="74" spans="1:6">
      <c r="A74" s="291"/>
      <c r="B74" s="291"/>
      <c r="C74" s="291"/>
      <c r="D74" s="291"/>
      <c r="E74" s="291"/>
      <c r="F74" s="291"/>
    </row>
    <row r="75" spans="1:6">
      <c r="A75" s="291"/>
      <c r="B75" s="291"/>
      <c r="C75" s="291"/>
      <c r="D75" s="291"/>
      <c r="E75" s="291"/>
      <c r="F75" s="291"/>
    </row>
    <row r="76" spans="1:6">
      <c r="A76" s="291"/>
      <c r="B76" s="291"/>
      <c r="C76" s="291"/>
      <c r="D76" s="291"/>
      <c r="E76" s="291"/>
      <c r="F76" s="291"/>
    </row>
    <row r="77" spans="1:6">
      <c r="A77" s="291"/>
      <c r="B77" s="291"/>
      <c r="C77" s="291"/>
      <c r="D77" s="291"/>
      <c r="E77" s="291"/>
      <c r="F77" s="291"/>
    </row>
    <row r="78" spans="1:6">
      <c r="A78" s="291"/>
      <c r="B78" s="291"/>
      <c r="C78" s="291"/>
      <c r="D78" s="291"/>
      <c r="E78" s="291"/>
      <c r="F78" s="291"/>
    </row>
    <row r="79" spans="1:6">
      <c r="A79" s="291"/>
      <c r="B79" s="291"/>
      <c r="C79" s="291"/>
      <c r="D79" s="291"/>
      <c r="E79" s="291"/>
      <c r="F79" s="291"/>
    </row>
    <row r="80" spans="1:6">
      <c r="A80" s="291"/>
      <c r="B80" s="291"/>
      <c r="C80" s="291"/>
      <c r="D80" s="291"/>
      <c r="E80" s="291"/>
      <c r="F80" s="291"/>
    </row>
    <row r="81" spans="1:6">
      <c r="A81" s="291"/>
      <c r="B81" s="291"/>
      <c r="C81" s="291"/>
      <c r="D81" s="291"/>
      <c r="E81" s="291"/>
      <c r="F81" s="291"/>
    </row>
    <row r="82" spans="1:6">
      <c r="A82" s="291"/>
      <c r="B82" s="291"/>
      <c r="C82" s="291"/>
      <c r="D82" s="291"/>
      <c r="E82" s="291"/>
      <c r="F82" s="291"/>
    </row>
    <row r="83" spans="1:6">
      <c r="A83" s="291"/>
      <c r="B83" s="291"/>
      <c r="C83" s="291"/>
      <c r="D83" s="291"/>
      <c r="E83" s="291"/>
      <c r="F83" s="291"/>
    </row>
    <row r="84" spans="1:6">
      <c r="A84" s="291"/>
      <c r="B84" s="291"/>
      <c r="C84" s="291"/>
      <c r="D84" s="291"/>
      <c r="E84" s="291"/>
      <c r="F84" s="291"/>
    </row>
    <row r="85" spans="1:6">
      <c r="A85" s="291"/>
      <c r="B85" s="291"/>
      <c r="C85" s="291"/>
      <c r="D85" s="291"/>
      <c r="E85" s="291"/>
      <c r="F85" s="291"/>
    </row>
    <row r="97" spans="1:7">
      <c r="A97" s="291"/>
      <c r="B97" s="291"/>
      <c r="C97" s="291"/>
      <c r="D97" s="291"/>
      <c r="E97" s="291"/>
      <c r="F97" s="291"/>
      <c r="G97" s="291"/>
    </row>
    <row r="98" spans="1:7">
      <c r="A98" s="291"/>
      <c r="B98" s="291"/>
      <c r="C98" s="291"/>
      <c r="D98" s="291"/>
      <c r="E98" s="291"/>
      <c r="F98" s="291"/>
      <c r="G98" s="291"/>
    </row>
    <row r="99" spans="1:7">
      <c r="A99" s="291"/>
      <c r="B99" s="291"/>
      <c r="C99" s="291"/>
      <c r="D99" s="291"/>
      <c r="E99" s="291"/>
      <c r="F99" s="291"/>
      <c r="G99" s="291"/>
    </row>
    <row r="100" spans="1:7">
      <c r="A100" s="291"/>
      <c r="B100" s="291"/>
      <c r="C100" s="291"/>
      <c r="D100" s="291"/>
      <c r="E100" s="291"/>
      <c r="F100" s="291"/>
      <c r="G100" s="291"/>
    </row>
    <row r="207" spans="19:19">
      <c r="S207" s="290"/>
    </row>
  </sheetData>
  <sortState ref="AK3:AL10">
    <sortCondition ref="AK2"/>
  </sortState>
  <mergeCells count="32">
    <mergeCell ref="AR2:AS2"/>
    <mergeCell ref="A49:B49"/>
    <mergeCell ref="A55:B55"/>
    <mergeCell ref="AK1:AO1"/>
    <mergeCell ref="N1:P1"/>
    <mergeCell ref="D18:F18"/>
    <mergeCell ref="Y1:AC1"/>
    <mergeCell ref="AE1:AI1"/>
    <mergeCell ref="S1:W1"/>
    <mergeCell ref="H1:J1"/>
    <mergeCell ref="D1:G1"/>
    <mergeCell ref="A41:B41"/>
    <mergeCell ref="D26:K26"/>
    <mergeCell ref="A1:B1"/>
    <mergeCell ref="A7:B7"/>
    <mergeCell ref="A15:B15"/>
    <mergeCell ref="D6:G6"/>
    <mergeCell ref="D9:G9"/>
    <mergeCell ref="L44:N44"/>
    <mergeCell ref="I44:K44"/>
    <mergeCell ref="A21:B21"/>
    <mergeCell ref="A26:B26"/>
    <mergeCell ref="A34:B34"/>
    <mergeCell ref="G18:I18"/>
    <mergeCell ref="D38:G38"/>
    <mergeCell ref="D54:I54"/>
    <mergeCell ref="D50:H50"/>
    <mergeCell ref="D44:H44"/>
    <mergeCell ref="AQ15:AR15"/>
    <mergeCell ref="L50:N50"/>
    <mergeCell ref="I50:K50"/>
    <mergeCell ref="D41:G41"/>
  </mergeCells>
  <dataValidations disablePrompts="1" count="2">
    <dataValidation type="decimal" operator="greaterThan" allowBlank="1" showInputMessage="1" showErrorMessage="1" sqref="AS9:AS10" xr:uid="{00000000-0002-0000-0100-000000000000}">
      <formula1>-1</formula1>
    </dataValidation>
    <dataValidation type="whole" operator="greaterThan" allowBlank="1" showInputMessage="1" showErrorMessage="1" sqref="AR9:AR10" xr:uid="{00000000-0002-0000-0100-000001000000}">
      <formula1>-1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2000000}">
          <x14:formula1>
            <xm:f>Prices!$AB$3:$AB$4</xm:f>
          </x14:formula1>
          <xm:sqref>AR16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T300"/>
  <sheetViews>
    <sheetView zoomScale="85" zoomScaleNormal="85" workbookViewId="0">
      <selection activeCell="A3" sqref="A3"/>
    </sheetView>
  </sheetViews>
  <sheetFormatPr defaultColWidth="9" defaultRowHeight="14.25"/>
  <cols>
    <col min="1" max="1" width="27.86328125" style="39" bestFit="1" customWidth="1"/>
    <col min="2" max="2" width="15.73046875" style="39" customWidth="1"/>
    <col min="3" max="3" width="10" style="39" customWidth="1"/>
    <col min="4" max="4" width="12.86328125" style="39" customWidth="1"/>
    <col min="5" max="5" width="10.59765625" style="39" customWidth="1"/>
    <col min="6" max="6" width="4.73046875" style="39" customWidth="1"/>
    <col min="7" max="7" width="20" style="39" customWidth="1"/>
    <col min="8" max="8" width="15" style="39" customWidth="1"/>
    <col min="9" max="9" width="5.59765625" style="39" customWidth="1"/>
    <col min="10" max="10" width="13" style="39" customWidth="1"/>
    <col min="11" max="11" width="6.59765625" style="39" customWidth="1"/>
    <col min="12" max="12" width="16.3984375" style="39" customWidth="1"/>
    <col min="13" max="13" width="33" style="39" customWidth="1"/>
    <col min="14" max="14" width="26" style="39" bestFit="1" customWidth="1"/>
    <col min="15" max="15" width="5.59765625" style="39" customWidth="1"/>
    <col min="16" max="16" width="34" style="39" customWidth="1"/>
    <col min="17" max="17" width="11.265625" style="39" customWidth="1"/>
    <col min="18" max="18" width="13" style="39" customWidth="1"/>
    <col min="19" max="19" width="4.265625" style="40" customWidth="1"/>
    <col min="20" max="20" width="12" style="39" customWidth="1"/>
    <col min="21" max="22" width="9" style="39"/>
    <col min="23" max="23" width="22" style="39" customWidth="1"/>
    <col min="24" max="24" width="9" style="39"/>
    <col min="25" max="25" width="19" style="39" customWidth="1"/>
    <col min="26" max="27" width="9" style="39"/>
    <col min="28" max="28" width="20" style="39" customWidth="1"/>
    <col min="29" max="29" width="9" style="39"/>
    <col min="30" max="30" width="19.265625" style="39" customWidth="1"/>
    <col min="31" max="31" width="8.59765625" style="39" customWidth="1"/>
    <col min="32" max="32" width="13.265625" style="39" customWidth="1"/>
    <col min="33" max="33" width="9" style="39"/>
    <col min="34" max="34" width="17.265625" style="39" customWidth="1"/>
    <col min="35" max="35" width="13.59765625" style="39" bestFit="1" customWidth="1"/>
    <col min="36" max="36" width="9.73046875" style="39" customWidth="1"/>
    <col min="37" max="37" width="12.86328125" style="39" customWidth="1"/>
    <col min="38" max="38" width="9" style="39"/>
    <col min="39" max="39" width="15.265625" style="39" customWidth="1"/>
    <col min="40" max="40" width="20.86328125" style="39" customWidth="1"/>
    <col min="41" max="41" width="9" style="39"/>
    <col min="42" max="42" width="16" style="39" customWidth="1"/>
    <col min="43" max="43" width="9" style="39"/>
    <col min="44" max="44" width="10.73046875" style="39" customWidth="1"/>
    <col min="45" max="45" width="9" style="39"/>
    <col min="46" max="46" width="9.265625" style="39" customWidth="1"/>
    <col min="47" max="16384" width="9" style="39"/>
  </cols>
  <sheetData>
    <row r="1" spans="1:46" s="43" customFormat="1">
      <c r="A1" s="51" t="s">
        <v>208</v>
      </c>
      <c r="B1" s="51"/>
      <c r="C1" s="51"/>
      <c r="D1" s="51"/>
      <c r="E1" s="50"/>
      <c r="G1" s="51" t="s">
        <v>160</v>
      </c>
      <c r="H1" s="51"/>
      <c r="J1" s="52" t="s">
        <v>550</v>
      </c>
      <c r="K1" s="52"/>
      <c r="M1" s="51" t="s">
        <v>209</v>
      </c>
      <c r="N1" s="51"/>
      <c r="P1" s="52" t="s">
        <v>210</v>
      </c>
      <c r="Q1" s="52"/>
      <c r="R1" s="52"/>
      <c r="S1" s="44"/>
      <c r="T1" s="4"/>
      <c r="U1" s="4"/>
      <c r="V1" s="50"/>
      <c r="Y1" s="43" t="s">
        <v>211</v>
      </c>
      <c r="AB1" s="4"/>
      <c r="AF1" s="43" t="s">
        <v>212</v>
      </c>
      <c r="AJ1"/>
      <c r="AK1"/>
      <c r="AL1"/>
    </row>
    <row r="2" spans="1:46">
      <c r="A2" s="152" t="s">
        <v>263</v>
      </c>
      <c r="B2" s="49" t="s">
        <v>213</v>
      </c>
      <c r="C2" s="151" t="s">
        <v>421</v>
      </c>
      <c r="D2" s="153" t="s">
        <v>422</v>
      </c>
      <c r="E2" s="60" t="s">
        <v>147</v>
      </c>
      <c r="G2" s="444" t="s">
        <v>214</v>
      </c>
      <c r="H2" s="444"/>
      <c r="J2" s="45" t="s">
        <v>551</v>
      </c>
      <c r="K2" s="45" t="s">
        <v>552</v>
      </c>
      <c r="M2" s="55" t="s">
        <v>215</v>
      </c>
      <c r="N2" s="154" t="s">
        <v>424</v>
      </c>
      <c r="P2" s="55" t="s">
        <v>215</v>
      </c>
      <c r="Q2" s="62" t="s">
        <v>216</v>
      </c>
      <c r="R2" s="60" t="s">
        <v>217</v>
      </c>
      <c r="T2" s="63" t="s">
        <v>261</v>
      </c>
      <c r="U2" s="4"/>
      <c r="V2" s="40"/>
      <c r="W2" s="555" t="s">
        <v>170</v>
      </c>
      <c r="X2" s="556"/>
      <c r="Y2" s="45" t="s">
        <v>218</v>
      </c>
      <c r="Z2" s="45" t="s">
        <v>219</v>
      </c>
      <c r="AB2" s="53" t="s">
        <v>148</v>
      </c>
      <c r="AD2" s="45" t="s">
        <v>220</v>
      </c>
      <c r="AF2" s="64" t="s">
        <v>221</v>
      </c>
      <c r="AG2" s="369" t="s">
        <v>219</v>
      </c>
      <c r="AI2" s="60" t="s">
        <v>164</v>
      </c>
      <c r="AJ2"/>
      <c r="AK2"/>
      <c r="AL2"/>
      <c r="AM2" s="46" t="s">
        <v>460</v>
      </c>
      <c r="AN2" s="46" t="s">
        <v>181</v>
      </c>
      <c r="AP2" s="46" t="s">
        <v>179</v>
      </c>
      <c r="AR2" s="64" t="s">
        <v>222</v>
      </c>
      <c r="AT2" s="60" t="s">
        <v>147</v>
      </c>
    </row>
    <row r="3" spans="1:46">
      <c r="A3" s="59" t="s">
        <v>223</v>
      </c>
      <c r="B3" s="59" t="s">
        <v>223</v>
      </c>
      <c r="C3" s="59">
        <v>0</v>
      </c>
      <c r="D3" s="59">
        <v>0</v>
      </c>
      <c r="E3" s="69" t="s">
        <v>262</v>
      </c>
      <c r="G3" s="444" t="s">
        <v>113</v>
      </c>
      <c r="H3" s="444" t="s">
        <v>420</v>
      </c>
      <c r="J3" s="39" t="s">
        <v>572</v>
      </c>
      <c r="K3" s="39">
        <v>8.6999999999999994E-2</v>
      </c>
      <c r="M3" s="433" t="s">
        <v>224</v>
      </c>
      <c r="N3" s="56">
        <v>0</v>
      </c>
      <c r="P3" s="65" t="s">
        <v>224</v>
      </c>
      <c r="Q3" s="56">
        <v>0</v>
      </c>
      <c r="R3" s="41">
        <f>Q3*24*30</f>
        <v>0</v>
      </c>
      <c r="T3" s="1" t="s">
        <v>548</v>
      </c>
      <c r="U3" s="4"/>
      <c r="V3" s="47"/>
      <c r="W3" s="66" t="s">
        <v>150</v>
      </c>
      <c r="X3" s="41">
        <v>0.4</v>
      </c>
      <c r="Y3" s="41" t="s">
        <v>160</v>
      </c>
      <c r="Z3" s="41">
        <v>100</v>
      </c>
      <c r="AB3" s="1" t="s">
        <v>150</v>
      </c>
      <c r="AD3" s="41" t="s">
        <v>225</v>
      </c>
      <c r="AF3" s="67" t="s">
        <v>226</v>
      </c>
      <c r="AG3" s="41">
        <v>25</v>
      </c>
      <c r="AI3" s="66" t="s">
        <v>157</v>
      </c>
      <c r="AJ3"/>
      <c r="AK3"/>
      <c r="AL3"/>
      <c r="AM3" s="185" t="str">
        <f>VLOOKUP(AN3,AM6:AN29,2,FALSE)</f>
        <v>US Dollar ($)</v>
      </c>
      <c r="AN3" s="431" t="s">
        <v>405</v>
      </c>
      <c r="AP3" s="424" t="s">
        <v>540</v>
      </c>
      <c r="AR3" s="66" t="s">
        <v>195</v>
      </c>
      <c r="AT3" s="66" t="s">
        <v>194</v>
      </c>
    </row>
    <row r="4" spans="1:46">
      <c r="A4" s="66" t="str">
        <f>IF(E4="Windows",_xlfn.CONCAT(B4,"_",E4),B4)</f>
        <v>Standard_DS1_Windows</v>
      </c>
      <c r="B4" s="446" t="s">
        <v>325</v>
      </c>
      <c r="C4" s="57">
        <v>0.14000000000000001</v>
      </c>
      <c r="D4" s="68">
        <f>C4*24*30</f>
        <v>100.80000000000001</v>
      </c>
      <c r="E4" s="446" t="s">
        <v>194</v>
      </c>
      <c r="G4" s="445" t="s">
        <v>230</v>
      </c>
      <c r="H4" s="41">
        <v>0.05</v>
      </c>
      <c r="J4" t="s">
        <v>573</v>
      </c>
      <c r="K4">
        <v>8.3000000000000004E-2</v>
      </c>
      <c r="L4" s="39">
        <v>2</v>
      </c>
      <c r="M4" s="433" t="s">
        <v>273</v>
      </c>
      <c r="N4" s="56">
        <v>55</v>
      </c>
      <c r="P4" s="65" t="s">
        <v>266</v>
      </c>
      <c r="Q4" s="57">
        <v>0.19</v>
      </c>
      <c r="R4" s="41">
        <f>Q4*732</f>
        <v>139.08000000000001</v>
      </c>
      <c r="T4" s="4"/>
      <c r="U4" s="4"/>
      <c r="V4" s="47"/>
      <c r="W4" s="66" t="s">
        <v>178</v>
      </c>
      <c r="X4" s="41">
        <v>0</v>
      </c>
      <c r="Y4" s="41" t="s">
        <v>231</v>
      </c>
      <c r="Z4" s="41">
        <v>100</v>
      </c>
      <c r="AB4" s="1" t="s">
        <v>178</v>
      </c>
      <c r="AD4" s="41" t="s">
        <v>232</v>
      </c>
      <c r="AH4" s="42"/>
      <c r="AI4" s="66" t="s">
        <v>158</v>
      </c>
      <c r="AJ4"/>
      <c r="AK4"/>
      <c r="AL4"/>
      <c r="AM4"/>
      <c r="AN4"/>
      <c r="AP4" s="66" t="s">
        <v>227</v>
      </c>
      <c r="AR4" s="60" t="s">
        <v>3</v>
      </c>
      <c r="AT4" s="66"/>
    </row>
    <row r="5" spans="1:46">
      <c r="A5" s="66" t="str">
        <f>IF(E5="Windows",_xlfn.CONCAT(B5,"_",E5),B5)</f>
        <v>Standard_DS2_Windows</v>
      </c>
      <c r="B5" s="446" t="s">
        <v>327</v>
      </c>
      <c r="C5" s="57">
        <v>0.28000000000000003</v>
      </c>
      <c r="D5" s="68">
        <f>C5*24*30</f>
        <v>201.60000000000002</v>
      </c>
      <c r="E5" s="446" t="s">
        <v>194</v>
      </c>
      <c r="G5" s="446" t="s">
        <v>233</v>
      </c>
      <c r="H5" s="41">
        <v>17.920000000000002</v>
      </c>
      <c r="J5" t="s">
        <v>574</v>
      </c>
      <c r="K5">
        <v>7.0000000000000007E-2</v>
      </c>
      <c r="L5" s="39">
        <v>2</v>
      </c>
      <c r="M5" s="433" t="s">
        <v>275</v>
      </c>
      <c r="N5" s="56">
        <v>110</v>
      </c>
      <c r="P5" s="58" t="s">
        <v>267</v>
      </c>
      <c r="Q5" s="430">
        <v>0.49</v>
      </c>
      <c r="R5" s="41">
        <f t="shared" ref="R5:R10" si="0">Q5*732</f>
        <v>358.68</v>
      </c>
      <c r="T5" s="4"/>
      <c r="U5" s="4"/>
      <c r="V5" s="47"/>
      <c r="Y5" s="41" t="s">
        <v>234</v>
      </c>
      <c r="Z5" s="41">
        <v>1000000</v>
      </c>
      <c r="AB5" s="4"/>
      <c r="AJ5"/>
      <c r="AK5"/>
      <c r="AL5"/>
      <c r="AM5" s="186" t="s">
        <v>181</v>
      </c>
      <c r="AN5" s="186" t="s">
        <v>464</v>
      </c>
      <c r="AP5" s="66" t="s">
        <v>180</v>
      </c>
      <c r="AT5" s="66"/>
    </row>
    <row r="6" spans="1:46">
      <c r="A6" s="66" t="str">
        <f>IF(E6="Windows",_xlfn.CONCAT(B6,"_",E6),B6)</f>
        <v>Standard_DS3_Windows</v>
      </c>
      <c r="B6" s="446" t="s">
        <v>329</v>
      </c>
      <c r="C6" s="57">
        <v>0.56000000000000005</v>
      </c>
      <c r="D6" s="68">
        <f t="shared" ref="D6:D69" si="1">C6*24*30</f>
        <v>403.20000000000005</v>
      </c>
      <c r="E6" s="446" t="s">
        <v>194</v>
      </c>
      <c r="G6" s="448" t="s">
        <v>560</v>
      </c>
      <c r="H6" s="41">
        <v>34.56</v>
      </c>
      <c r="J6" t="s">
        <v>575</v>
      </c>
      <c r="K6">
        <v>0.05</v>
      </c>
      <c r="L6" s="39">
        <v>2</v>
      </c>
      <c r="M6" s="433" t="s">
        <v>277</v>
      </c>
      <c r="N6" s="56">
        <v>145</v>
      </c>
      <c r="P6" s="58" t="s">
        <v>268</v>
      </c>
      <c r="Q6" s="430">
        <v>1.25</v>
      </c>
      <c r="R6" s="41">
        <f t="shared" si="0"/>
        <v>915</v>
      </c>
      <c r="T6" s="4"/>
      <c r="U6" s="4"/>
      <c r="V6" s="47"/>
      <c r="AB6" s="4"/>
      <c r="AI6" s="48"/>
      <c r="AK6"/>
      <c r="AM6" s="185" t="s">
        <v>405</v>
      </c>
      <c r="AN6" s="185" t="s">
        <v>228</v>
      </c>
      <c r="AO6" s="4"/>
      <c r="AP6" s="66" t="s">
        <v>235</v>
      </c>
      <c r="AT6" s="66"/>
    </row>
    <row r="7" spans="1:46">
      <c r="A7" s="66" t="str">
        <f t="shared" ref="A7:A70" si="2">IF(E7="Windows",_xlfn.CONCAT(B7,"_",E7),B7)</f>
        <v>Standard_DS4_Windows</v>
      </c>
      <c r="B7" s="41" t="s">
        <v>331</v>
      </c>
      <c r="C7" s="57">
        <v>1.1200000000000001</v>
      </c>
      <c r="D7" s="68">
        <f t="shared" si="1"/>
        <v>806.40000000000009</v>
      </c>
      <c r="E7" s="41" t="s">
        <v>194</v>
      </c>
      <c r="G7" s="446" t="s">
        <v>236</v>
      </c>
      <c r="H7" s="41">
        <v>66.56</v>
      </c>
      <c r="J7"/>
      <c r="K7"/>
      <c r="L7" s="39">
        <v>2</v>
      </c>
      <c r="M7" s="433" t="s">
        <v>279</v>
      </c>
      <c r="N7" s="56">
        <v>290</v>
      </c>
      <c r="P7" s="58" t="s">
        <v>270</v>
      </c>
      <c r="Q7" s="430">
        <v>0.19</v>
      </c>
      <c r="R7" s="41">
        <f t="shared" si="0"/>
        <v>139.08000000000001</v>
      </c>
      <c r="T7" s="4"/>
      <c r="U7" s="4"/>
      <c r="V7" s="47"/>
      <c r="AM7" s="185" t="s">
        <v>463</v>
      </c>
      <c r="AN7" s="185" t="s">
        <v>465</v>
      </c>
      <c r="AO7" s="4"/>
      <c r="AP7" s="41"/>
    </row>
    <row r="8" spans="1:46">
      <c r="A8" s="66" t="str">
        <f t="shared" si="2"/>
        <v>Standard_DS11_Windows</v>
      </c>
      <c r="B8" s="41" t="s">
        <v>333</v>
      </c>
      <c r="C8" s="57">
        <v>0.33</v>
      </c>
      <c r="D8" s="68">
        <f t="shared" si="1"/>
        <v>237.6</v>
      </c>
      <c r="E8" s="41" t="s">
        <v>194</v>
      </c>
      <c r="G8" s="446" t="s">
        <v>237</v>
      </c>
      <c r="H8" s="41">
        <v>122.88</v>
      </c>
      <c r="J8"/>
      <c r="K8"/>
      <c r="M8" s="433" t="s">
        <v>281</v>
      </c>
      <c r="N8" s="56">
        <v>436</v>
      </c>
      <c r="P8" s="66" t="s">
        <v>271</v>
      </c>
      <c r="Q8" s="430">
        <v>0.49</v>
      </c>
      <c r="R8" s="41">
        <f t="shared" si="0"/>
        <v>358.68</v>
      </c>
      <c r="AM8" s="185" t="s">
        <v>466</v>
      </c>
      <c r="AN8" s="185" t="s">
        <v>467</v>
      </c>
      <c r="AO8" s="4"/>
      <c r="AP8" s="424" t="s">
        <v>539</v>
      </c>
    </row>
    <row r="9" spans="1:46">
      <c r="A9" s="66" t="str">
        <f t="shared" si="2"/>
        <v>Standard_DS12_Windows</v>
      </c>
      <c r="B9" s="41" t="s">
        <v>335</v>
      </c>
      <c r="C9" s="57">
        <v>0.65200000000000002</v>
      </c>
      <c r="D9" s="68">
        <f t="shared" si="1"/>
        <v>469.44</v>
      </c>
      <c r="E9" s="41" t="s">
        <v>194</v>
      </c>
      <c r="G9" s="446" t="s">
        <v>257</v>
      </c>
      <c r="H9" s="446">
        <v>235.52</v>
      </c>
      <c r="J9"/>
      <c r="K9"/>
      <c r="M9" s="433" t="s">
        <v>283</v>
      </c>
      <c r="N9" s="56">
        <v>872</v>
      </c>
      <c r="P9" s="66" t="s">
        <v>272</v>
      </c>
      <c r="Q9" s="430">
        <v>1.87</v>
      </c>
      <c r="R9" s="41">
        <f t="shared" si="0"/>
        <v>1368.8400000000001</v>
      </c>
      <c r="AM9" s="185" t="s">
        <v>468</v>
      </c>
      <c r="AN9" s="185" t="s">
        <v>469</v>
      </c>
      <c r="AO9" s="4"/>
      <c r="AP9" s="66" t="s">
        <v>180</v>
      </c>
    </row>
    <row r="10" spans="1:46">
      <c r="A10" s="66" t="str">
        <f t="shared" si="2"/>
        <v>Standard_DS13_Windows</v>
      </c>
      <c r="B10" s="446" t="s">
        <v>336</v>
      </c>
      <c r="C10" s="57">
        <v>1.173</v>
      </c>
      <c r="D10" s="68">
        <f t="shared" si="1"/>
        <v>844.56000000000006</v>
      </c>
      <c r="E10" s="41" t="s">
        <v>194</v>
      </c>
      <c r="G10" s="446" t="s">
        <v>258</v>
      </c>
      <c r="H10" s="446">
        <v>450.56</v>
      </c>
      <c r="J10"/>
      <c r="K10"/>
      <c r="M10" s="433" t="s">
        <v>285</v>
      </c>
      <c r="N10" s="56">
        <v>2180</v>
      </c>
      <c r="P10" s="66" t="s">
        <v>265</v>
      </c>
      <c r="Q10" s="185">
        <v>3.5999999999999997E-2</v>
      </c>
      <c r="R10" s="41">
        <f t="shared" si="0"/>
        <v>26.351999999999997</v>
      </c>
      <c r="AM10" s="185" t="s">
        <v>470</v>
      </c>
      <c r="AN10" s="185" t="s">
        <v>471</v>
      </c>
      <c r="AO10" s="4"/>
    </row>
    <row r="11" spans="1:46">
      <c r="A11" s="66" t="str">
        <f t="shared" si="2"/>
        <v>Standard_DS14_Windows</v>
      </c>
      <c r="B11" s="446" t="s">
        <v>337</v>
      </c>
      <c r="C11" s="41">
        <v>2.1110000000000002</v>
      </c>
      <c r="D11" s="68">
        <f t="shared" si="1"/>
        <v>1519.92</v>
      </c>
      <c r="E11" s="41" t="s">
        <v>194</v>
      </c>
      <c r="J11"/>
      <c r="K11"/>
      <c r="M11" s="433" t="s">
        <v>287</v>
      </c>
      <c r="N11" s="56">
        <v>5000</v>
      </c>
      <c r="P11" s="434" t="s">
        <v>549</v>
      </c>
      <c r="AM11" s="185" t="s">
        <v>472</v>
      </c>
      <c r="AN11" s="185" t="s">
        <v>473</v>
      </c>
      <c r="AO11" s="4"/>
    </row>
    <row r="12" spans="1:46">
      <c r="A12" s="66" t="str">
        <f t="shared" si="2"/>
        <v>Standard_A0_Windows</v>
      </c>
      <c r="B12" s="446" t="s">
        <v>229</v>
      </c>
      <c r="C12" s="57">
        <v>0.02</v>
      </c>
      <c r="D12" s="68">
        <f t="shared" si="1"/>
        <v>14.399999999999999</v>
      </c>
      <c r="E12" s="59" t="s">
        <v>194</v>
      </c>
      <c r="M12" s="41" t="s">
        <v>289</v>
      </c>
      <c r="N12" s="41">
        <v>300</v>
      </c>
      <c r="AM12" s="185" t="s">
        <v>474</v>
      </c>
      <c r="AN12" s="430" t="s">
        <v>546</v>
      </c>
      <c r="AO12" s="4"/>
    </row>
    <row r="13" spans="1:46" ht="15" customHeight="1">
      <c r="A13" s="66" t="str">
        <f t="shared" si="2"/>
        <v>Standard_A1_Windows</v>
      </c>
      <c r="B13" s="446" t="s">
        <v>274</v>
      </c>
      <c r="C13" s="57">
        <v>0.09</v>
      </c>
      <c r="D13" s="68">
        <f t="shared" si="1"/>
        <v>64.800000000000011</v>
      </c>
      <c r="E13" s="59" t="s">
        <v>194</v>
      </c>
      <c r="M13" s="41" t="s">
        <v>291</v>
      </c>
      <c r="N13" s="41">
        <v>575</v>
      </c>
      <c r="AM13" s="185" t="s">
        <v>475</v>
      </c>
      <c r="AN13" s="185" t="s">
        <v>476</v>
      </c>
      <c r="AO13" s="4"/>
    </row>
    <row r="14" spans="1:46" ht="15" customHeight="1">
      <c r="A14" s="66" t="str">
        <f t="shared" si="2"/>
        <v>Standard_A1_Windows</v>
      </c>
      <c r="B14" s="446" t="s">
        <v>274</v>
      </c>
      <c r="C14" s="57">
        <v>3.4000000000000002E-2</v>
      </c>
      <c r="D14" s="68">
        <f t="shared" si="1"/>
        <v>24.48</v>
      </c>
      <c r="E14" s="59" t="s">
        <v>194</v>
      </c>
      <c r="M14" s="56" t="s">
        <v>293</v>
      </c>
      <c r="N14" s="433">
        <v>1150</v>
      </c>
      <c r="AM14" s="185" t="s">
        <v>477</v>
      </c>
      <c r="AN14" s="185" t="s">
        <v>478</v>
      </c>
      <c r="AO14" s="4"/>
    </row>
    <row r="15" spans="1:46">
      <c r="A15" s="66" t="str">
        <f t="shared" si="2"/>
        <v>Standard_A1_Windows</v>
      </c>
      <c r="B15" s="446" t="s">
        <v>274</v>
      </c>
      <c r="C15" s="57">
        <v>3.3000000000000002E-2</v>
      </c>
      <c r="D15" s="68">
        <f t="shared" si="1"/>
        <v>23.76</v>
      </c>
      <c r="E15" s="59" t="s">
        <v>194</v>
      </c>
      <c r="M15" s="56" t="s">
        <v>295</v>
      </c>
      <c r="N15" s="56">
        <v>2750</v>
      </c>
      <c r="AM15" s="185" t="s">
        <v>479</v>
      </c>
      <c r="AN15" s="185" t="s">
        <v>480</v>
      </c>
      <c r="AO15" s="4"/>
    </row>
    <row r="16" spans="1:46">
      <c r="A16" s="66" t="str">
        <f t="shared" si="2"/>
        <v>Standard_A2_Windows</v>
      </c>
      <c r="B16" s="446" t="s">
        <v>276</v>
      </c>
      <c r="C16" s="59">
        <v>0.17</v>
      </c>
      <c r="D16" s="68">
        <f t="shared" si="1"/>
        <v>122.4</v>
      </c>
      <c r="E16" s="59" t="s">
        <v>194</v>
      </c>
      <c r="G16" s="557" t="s">
        <v>238</v>
      </c>
      <c r="H16" s="557"/>
      <c r="M16" s="56" t="s">
        <v>297</v>
      </c>
      <c r="N16" s="56">
        <v>5700</v>
      </c>
      <c r="AM16" s="185" t="s">
        <v>481</v>
      </c>
      <c r="AN16" s="185" t="s">
        <v>482</v>
      </c>
      <c r="AO16" s="4"/>
    </row>
    <row r="17" spans="1:41">
      <c r="A17" s="66" t="str">
        <f t="shared" si="2"/>
        <v>Standard_A2_Windows</v>
      </c>
      <c r="B17" s="446" t="s">
        <v>276</v>
      </c>
      <c r="C17" s="57">
        <v>6.6000000000000003E-2</v>
      </c>
      <c r="D17" s="68">
        <f t="shared" si="1"/>
        <v>47.52</v>
      </c>
      <c r="E17" s="59" t="s">
        <v>194</v>
      </c>
      <c r="G17" s="446" t="s">
        <v>239</v>
      </c>
      <c r="H17" s="447">
        <f>H41/128</f>
        <v>0.14000000000000001</v>
      </c>
      <c r="M17" s="56" t="s">
        <v>299</v>
      </c>
      <c r="N17" s="56">
        <v>11400</v>
      </c>
      <c r="AM17" s="185" t="s">
        <v>483</v>
      </c>
      <c r="AN17" s="185" t="s">
        <v>484</v>
      </c>
      <c r="AO17" s="4"/>
    </row>
    <row r="18" spans="1:41">
      <c r="A18" s="66" t="str">
        <f t="shared" si="2"/>
        <v>Standard_A3_Windows</v>
      </c>
      <c r="B18" s="446" t="s">
        <v>278</v>
      </c>
      <c r="C18" s="57">
        <v>0.13600000000000001</v>
      </c>
      <c r="D18" s="68">
        <f t="shared" si="1"/>
        <v>97.92</v>
      </c>
      <c r="E18" s="59" t="s">
        <v>194</v>
      </c>
      <c r="M18" s="56" t="s">
        <v>301</v>
      </c>
      <c r="N18" s="56">
        <v>25650</v>
      </c>
      <c r="AM18" s="185" t="s">
        <v>485</v>
      </c>
      <c r="AN18" s="185" t="s">
        <v>506</v>
      </c>
      <c r="AO18" s="4"/>
    </row>
    <row r="19" spans="1:41">
      <c r="A19" s="66" t="str">
        <f t="shared" si="2"/>
        <v>Standard_A3_Windows</v>
      </c>
      <c r="B19" s="446" t="s">
        <v>278</v>
      </c>
      <c r="C19" s="57">
        <v>0.11899999999999999</v>
      </c>
      <c r="D19" s="68">
        <f t="shared" si="1"/>
        <v>85.679999999999993</v>
      </c>
      <c r="E19" s="59" t="s">
        <v>194</v>
      </c>
      <c r="M19" s="41" t="s">
        <v>303</v>
      </c>
      <c r="N19" s="41">
        <v>51300</v>
      </c>
      <c r="AM19" s="185" t="s">
        <v>486</v>
      </c>
      <c r="AN19" s="185" t="s">
        <v>487</v>
      </c>
      <c r="AO19" s="4"/>
    </row>
    <row r="20" spans="1:41">
      <c r="A20" s="66" t="str">
        <f t="shared" si="2"/>
        <v>Standard_A4_Windows</v>
      </c>
      <c r="B20" s="446" t="s">
        <v>280</v>
      </c>
      <c r="C20" s="57">
        <v>0.68100000000000005</v>
      </c>
      <c r="D20" s="68">
        <f t="shared" si="1"/>
        <v>490.32000000000005</v>
      </c>
      <c r="E20" s="59" t="s">
        <v>194</v>
      </c>
      <c r="G20" s="444" t="s">
        <v>240</v>
      </c>
      <c r="H20" s="444" t="s">
        <v>423</v>
      </c>
      <c r="M20" s="41" t="s">
        <v>305</v>
      </c>
      <c r="N20" s="41">
        <v>130</v>
      </c>
      <c r="AM20" s="185" t="s">
        <v>488</v>
      </c>
      <c r="AN20" s="185" t="s">
        <v>507</v>
      </c>
      <c r="AO20" s="4"/>
    </row>
    <row r="21" spans="1:41">
      <c r="A21" s="66" t="str">
        <f t="shared" si="2"/>
        <v>Standard_A4_Windows</v>
      </c>
      <c r="B21" s="446" t="s">
        <v>280</v>
      </c>
      <c r="C21" s="57">
        <v>0.158</v>
      </c>
      <c r="D21" s="68">
        <f t="shared" si="1"/>
        <v>113.75999999999999</v>
      </c>
      <c r="E21" s="59" t="s">
        <v>194</v>
      </c>
      <c r="G21" s="446" t="s">
        <v>180</v>
      </c>
      <c r="H21" s="41">
        <v>0.05</v>
      </c>
      <c r="M21" s="41" t="s">
        <v>307</v>
      </c>
      <c r="N21" s="41">
        <v>200</v>
      </c>
      <c r="AM21" s="185" t="s">
        <v>489</v>
      </c>
      <c r="AN21" s="185" t="s">
        <v>490</v>
      </c>
      <c r="AO21" s="4"/>
    </row>
    <row r="22" spans="1:41">
      <c r="A22" s="66" t="str">
        <f t="shared" si="2"/>
        <v>Standard_A5_Windows</v>
      </c>
      <c r="B22" s="446" t="s">
        <v>282</v>
      </c>
      <c r="C22" s="57">
        <v>0.33</v>
      </c>
      <c r="D22" s="68">
        <f t="shared" si="1"/>
        <v>237.6</v>
      </c>
      <c r="E22" s="59" t="s">
        <v>194</v>
      </c>
      <c r="G22" s="446" t="s">
        <v>227</v>
      </c>
      <c r="H22" s="5">
        <v>9.5000000000000001E-2</v>
      </c>
      <c r="M22" s="41" t="s">
        <v>309</v>
      </c>
      <c r="N22" s="41">
        <v>295</v>
      </c>
      <c r="AM22" s="185" t="s">
        <v>491</v>
      </c>
      <c r="AN22" s="185" t="s">
        <v>492</v>
      </c>
      <c r="AO22" s="4"/>
    </row>
    <row r="23" spans="1:41">
      <c r="A23" s="66" t="str">
        <f t="shared" si="2"/>
        <v>Standard_A5_Windows</v>
      </c>
      <c r="B23" s="446" t="s">
        <v>282</v>
      </c>
      <c r="C23" s="57">
        <v>0.12</v>
      </c>
      <c r="D23" s="68">
        <f t="shared" si="1"/>
        <v>86.399999999999991</v>
      </c>
      <c r="E23" s="59" t="s">
        <v>194</v>
      </c>
      <c r="G23" s="446" t="s">
        <v>235</v>
      </c>
      <c r="H23" s="41">
        <v>0.12</v>
      </c>
      <c r="J23" s="61"/>
      <c r="M23" s="41" t="s">
        <v>311</v>
      </c>
      <c r="N23" s="41">
        <v>690</v>
      </c>
      <c r="AM23" s="185" t="s">
        <v>493</v>
      </c>
      <c r="AN23" s="185" t="s">
        <v>494</v>
      </c>
      <c r="AO23" s="4"/>
    </row>
    <row r="24" spans="1:41">
      <c r="A24" s="66" t="str">
        <f t="shared" si="2"/>
        <v>Standard_A5_Windows</v>
      </c>
      <c r="B24" s="446" t="s">
        <v>282</v>
      </c>
      <c r="C24" s="57">
        <v>0.109</v>
      </c>
      <c r="D24" s="68">
        <f t="shared" si="1"/>
        <v>78.48</v>
      </c>
      <c r="E24" s="59" t="s">
        <v>194</v>
      </c>
      <c r="M24" s="41" t="s">
        <v>313</v>
      </c>
      <c r="N24" s="41">
        <v>1186</v>
      </c>
      <c r="AM24" s="185" t="s">
        <v>495</v>
      </c>
      <c r="AN24" s="185" t="s">
        <v>496</v>
      </c>
      <c r="AO24" s="4"/>
    </row>
    <row r="25" spans="1:41">
      <c r="A25" s="66" t="str">
        <f t="shared" si="2"/>
        <v>Standard_A6_Windows</v>
      </c>
      <c r="B25" s="446" t="s">
        <v>284</v>
      </c>
      <c r="C25" s="57">
        <v>0.66</v>
      </c>
      <c r="D25" s="68">
        <f t="shared" si="1"/>
        <v>475.2</v>
      </c>
      <c r="E25" s="59" t="s">
        <v>194</v>
      </c>
      <c r="M25" s="41" t="s">
        <v>314</v>
      </c>
      <c r="N25" s="41">
        <v>2372</v>
      </c>
      <c r="AM25" s="185" t="s">
        <v>497</v>
      </c>
      <c r="AN25" s="185" t="s">
        <v>498</v>
      </c>
      <c r="AO25" s="4"/>
    </row>
    <row r="26" spans="1:41">
      <c r="A26" s="66" t="str">
        <f t="shared" si="2"/>
        <v>Standard_A6_Windows</v>
      </c>
      <c r="B26" s="446" t="s">
        <v>284</v>
      </c>
      <c r="C26" s="57">
        <v>0.6</v>
      </c>
      <c r="D26" s="68">
        <f t="shared" si="1"/>
        <v>431.99999999999994</v>
      </c>
      <c r="E26" s="59" t="s">
        <v>194</v>
      </c>
      <c r="G26" s="557" t="s">
        <v>241</v>
      </c>
      <c r="H26" s="557"/>
      <c r="M26" s="41" t="s">
        <v>316</v>
      </c>
      <c r="N26" s="41">
        <v>5180</v>
      </c>
      <c r="AM26" s="185" t="s">
        <v>499</v>
      </c>
      <c r="AN26" s="185" t="s">
        <v>500</v>
      </c>
      <c r="AO26" s="4"/>
    </row>
    <row r="27" spans="1:41">
      <c r="A27" s="66" t="str">
        <f t="shared" si="2"/>
        <v>Standard_A6_Windows</v>
      </c>
      <c r="B27" s="446" t="s">
        <v>284</v>
      </c>
      <c r="C27" s="57">
        <v>0.218</v>
      </c>
      <c r="D27" s="68">
        <f t="shared" si="1"/>
        <v>156.96</v>
      </c>
      <c r="E27" s="59" t="s">
        <v>194</v>
      </c>
      <c r="G27" s="446" t="s">
        <v>242</v>
      </c>
      <c r="H27" s="447">
        <f>H35/512</f>
        <v>4.2500000000000003E-2</v>
      </c>
      <c r="M27" s="41" t="s">
        <v>318</v>
      </c>
      <c r="N27" s="41">
        <v>8000</v>
      </c>
      <c r="AM27" s="185" t="s">
        <v>501</v>
      </c>
      <c r="AN27" s="185" t="s">
        <v>502</v>
      </c>
      <c r="AO27" s="4"/>
    </row>
    <row r="28" spans="1:41">
      <c r="A28" s="66" t="str">
        <f t="shared" si="2"/>
        <v>Standard_A7_Windows</v>
      </c>
      <c r="B28" s="446" t="s">
        <v>286</v>
      </c>
      <c r="C28" s="57">
        <v>1.32</v>
      </c>
      <c r="D28" s="68">
        <f t="shared" si="1"/>
        <v>950.4</v>
      </c>
      <c r="E28" s="59" t="s">
        <v>194</v>
      </c>
      <c r="G28" s="446" t="s">
        <v>243</v>
      </c>
      <c r="H28" s="446">
        <f>H41/128</f>
        <v>0.14000000000000001</v>
      </c>
      <c r="M28" s="41" t="s">
        <v>320</v>
      </c>
      <c r="N28" s="41">
        <v>375</v>
      </c>
      <c r="AM28" s="185" t="s">
        <v>503</v>
      </c>
      <c r="AN28" s="185" t="s">
        <v>504</v>
      </c>
      <c r="AO28" s="4"/>
    </row>
    <row r="29" spans="1:41">
      <c r="A29" s="66" t="str">
        <f t="shared" si="2"/>
        <v>Standard_A7_Windows</v>
      </c>
      <c r="B29" s="446" t="s">
        <v>286</v>
      </c>
      <c r="C29" s="57">
        <v>0.48</v>
      </c>
      <c r="D29" s="68">
        <f t="shared" si="1"/>
        <v>345.59999999999997</v>
      </c>
      <c r="E29" s="59" t="s">
        <v>194</v>
      </c>
      <c r="M29" s="41" t="s">
        <v>322</v>
      </c>
      <c r="N29" s="41">
        <v>675</v>
      </c>
      <c r="AM29" s="431" t="s">
        <v>547</v>
      </c>
      <c r="AN29" s="442" t="s">
        <v>555</v>
      </c>
      <c r="AO29" s="4"/>
    </row>
    <row r="30" spans="1:41">
      <c r="A30" s="66" t="str">
        <f t="shared" si="2"/>
        <v>Standard_A7_Windows</v>
      </c>
      <c r="B30" s="446" t="s">
        <v>286</v>
      </c>
      <c r="C30" s="57">
        <v>0.27700000000000002</v>
      </c>
      <c r="D30" s="68">
        <f t="shared" si="1"/>
        <v>199.44000000000003</v>
      </c>
      <c r="E30" s="59" t="s">
        <v>194</v>
      </c>
      <c r="G30" s="444" t="s">
        <v>244</v>
      </c>
      <c r="H30" s="49"/>
      <c r="M30" s="41" t="s">
        <v>324</v>
      </c>
      <c r="N30" s="41">
        <v>1300</v>
      </c>
    </row>
    <row r="31" spans="1:41">
      <c r="A31" s="66" t="str">
        <f t="shared" si="2"/>
        <v>Standard_A8_Windows</v>
      </c>
      <c r="B31" s="446" t="s">
        <v>288</v>
      </c>
      <c r="C31" s="57">
        <v>0.54</v>
      </c>
      <c r="D31" s="68">
        <f t="shared" si="1"/>
        <v>388.8</v>
      </c>
      <c r="E31" s="59" t="s">
        <v>194</v>
      </c>
      <c r="G31" s="446" t="s">
        <v>245</v>
      </c>
      <c r="H31" s="41">
        <v>1.536</v>
      </c>
      <c r="M31" s="41" t="s">
        <v>326</v>
      </c>
      <c r="N31" s="41">
        <v>3150</v>
      </c>
    </row>
    <row r="32" spans="1:41">
      <c r="A32" s="66" t="str">
        <f t="shared" si="2"/>
        <v>Standard_A9_Windows</v>
      </c>
      <c r="B32" s="446" t="s">
        <v>290</v>
      </c>
      <c r="C32" s="57">
        <v>1.08</v>
      </c>
      <c r="D32" s="68">
        <f t="shared" si="1"/>
        <v>777.6</v>
      </c>
      <c r="E32" s="59" t="s">
        <v>194</v>
      </c>
      <c r="G32" s="446" t="s">
        <v>246</v>
      </c>
      <c r="H32" s="41">
        <v>3.008</v>
      </c>
      <c r="M32" s="41" t="s">
        <v>328</v>
      </c>
      <c r="N32" s="41">
        <v>6450</v>
      </c>
    </row>
    <row r="33" spans="1:14">
      <c r="A33" s="66" t="str">
        <f t="shared" si="2"/>
        <v>Standard_A10_Windows</v>
      </c>
      <c r="B33" s="446" t="s">
        <v>292</v>
      </c>
      <c r="C33" s="57">
        <v>0.432</v>
      </c>
      <c r="D33" s="68">
        <f t="shared" si="1"/>
        <v>311.04000000000002</v>
      </c>
      <c r="E33" s="59" t="s">
        <v>194</v>
      </c>
      <c r="G33" s="446" t="s">
        <v>247</v>
      </c>
      <c r="H33" s="41">
        <v>5.8879999999999999</v>
      </c>
      <c r="M33" s="41" t="s">
        <v>330</v>
      </c>
      <c r="N33" s="41">
        <v>12900</v>
      </c>
    </row>
    <row r="34" spans="1:14">
      <c r="A34" s="66" t="str">
        <f t="shared" si="2"/>
        <v>Standard_A11_Windows</v>
      </c>
      <c r="B34" s="446" t="s">
        <v>294</v>
      </c>
      <c r="C34" s="57">
        <v>0.86399999999999999</v>
      </c>
      <c r="D34" s="68">
        <f t="shared" si="1"/>
        <v>622.08000000000004</v>
      </c>
      <c r="E34" s="59" t="s">
        <v>194</v>
      </c>
      <c r="G34" s="448" t="s">
        <v>559</v>
      </c>
      <c r="H34" s="41">
        <v>11.327999999999999</v>
      </c>
      <c r="M34" s="41" t="s">
        <v>332</v>
      </c>
      <c r="N34" s="41">
        <v>28650</v>
      </c>
    </row>
    <row r="35" spans="1:14">
      <c r="A35" s="66" t="str">
        <f t="shared" si="2"/>
        <v>Standard_A1_v2_Windows</v>
      </c>
      <c r="B35" s="446" t="s">
        <v>296</v>
      </c>
      <c r="C35" s="57">
        <v>2.1999999999999999E-2</v>
      </c>
      <c r="D35" s="68">
        <f t="shared" si="1"/>
        <v>15.84</v>
      </c>
      <c r="E35" s="59" t="s">
        <v>194</v>
      </c>
      <c r="G35" s="446" t="s">
        <v>248</v>
      </c>
      <c r="H35" s="41">
        <v>21.76</v>
      </c>
      <c r="M35" s="41" t="s">
        <v>334</v>
      </c>
      <c r="N35" s="41">
        <v>54300</v>
      </c>
    </row>
    <row r="36" spans="1:14">
      <c r="A36" s="66" t="str">
        <f t="shared" si="2"/>
        <v>Standard_A1_v2_Windows</v>
      </c>
      <c r="B36" s="446" t="s">
        <v>296</v>
      </c>
      <c r="C36" s="57">
        <v>2.1999999999999999E-2</v>
      </c>
      <c r="D36" s="68">
        <f t="shared" si="1"/>
        <v>15.84</v>
      </c>
      <c r="E36" s="59" t="s">
        <v>194</v>
      </c>
      <c r="G36" s="446" t="s">
        <v>249</v>
      </c>
      <c r="H36" s="41">
        <v>40.96</v>
      </c>
    </row>
    <row r="37" spans="1:14">
      <c r="A37" s="66" t="str">
        <f t="shared" si="2"/>
        <v>Standard_A2_v2_Windows</v>
      </c>
      <c r="B37" s="446" t="s">
        <v>298</v>
      </c>
      <c r="C37" s="57">
        <v>0.113</v>
      </c>
      <c r="D37" s="68">
        <f t="shared" si="1"/>
        <v>81.36</v>
      </c>
      <c r="E37" s="59" t="s">
        <v>194</v>
      </c>
      <c r="G37" s="446" t="s">
        <v>259</v>
      </c>
      <c r="H37" s="446">
        <v>77.823999999999998</v>
      </c>
    </row>
    <row r="38" spans="1:14">
      <c r="A38" s="66" t="str">
        <f t="shared" si="2"/>
        <v>Standard_A2_v2_Windows</v>
      </c>
      <c r="B38" s="446" t="s">
        <v>298</v>
      </c>
      <c r="C38" s="57">
        <v>4.4999999999999998E-2</v>
      </c>
      <c r="D38" s="68">
        <f t="shared" si="1"/>
        <v>32.400000000000006</v>
      </c>
      <c r="E38" s="59" t="s">
        <v>194</v>
      </c>
      <c r="G38" s="446" t="s">
        <v>260</v>
      </c>
      <c r="H38" s="446">
        <v>143.36000000000001</v>
      </c>
    </row>
    <row r="39" spans="1:14">
      <c r="A39" s="66" t="str">
        <f t="shared" si="2"/>
        <v>Standard_A4_v2_Windows</v>
      </c>
      <c r="B39" s="446" t="s">
        <v>300</v>
      </c>
      <c r="C39" s="57">
        <v>9.5000000000000001E-2</v>
      </c>
      <c r="D39" s="68">
        <f t="shared" si="1"/>
        <v>68.400000000000006</v>
      </c>
      <c r="E39" s="59" t="s">
        <v>194</v>
      </c>
      <c r="G39" s="446" t="s">
        <v>255</v>
      </c>
      <c r="H39" s="446">
        <v>4.8000999999999996</v>
      </c>
    </row>
    <row r="40" spans="1:14">
      <c r="A40" s="66" t="str">
        <f t="shared" si="2"/>
        <v>Standard_A4_v2_Windows</v>
      </c>
      <c r="B40" s="446" t="s">
        <v>300</v>
      </c>
      <c r="C40" s="57">
        <v>9.5000000000000001E-2</v>
      </c>
      <c r="D40" s="68">
        <f t="shared" si="1"/>
        <v>68.400000000000006</v>
      </c>
      <c r="E40" s="59" t="s">
        <v>194</v>
      </c>
      <c r="G40" s="446" t="s">
        <v>256</v>
      </c>
      <c r="H40" s="446">
        <v>9.2800999999999991</v>
      </c>
    </row>
    <row r="41" spans="1:14">
      <c r="A41" s="66" t="str">
        <f t="shared" si="2"/>
        <v>Standard_A8_v2_Windows</v>
      </c>
      <c r="B41" s="446" t="s">
        <v>302</v>
      </c>
      <c r="C41" s="57">
        <v>0.5</v>
      </c>
      <c r="D41" s="68">
        <f t="shared" si="1"/>
        <v>360</v>
      </c>
      <c r="E41" s="59" t="s">
        <v>194</v>
      </c>
      <c r="G41" s="446" t="s">
        <v>233</v>
      </c>
      <c r="H41" s="41">
        <v>17.920000000000002</v>
      </c>
    </row>
    <row r="42" spans="1:14">
      <c r="A42" s="66" t="str">
        <f t="shared" si="2"/>
        <v>Standard_A8_v2_Windows</v>
      </c>
      <c r="B42" s="446" t="s">
        <v>302</v>
      </c>
      <c r="C42" s="57">
        <v>0.2</v>
      </c>
      <c r="D42" s="68">
        <f t="shared" si="1"/>
        <v>144.00000000000003</v>
      </c>
      <c r="E42" s="59" t="s">
        <v>194</v>
      </c>
      <c r="G42" s="448" t="s">
        <v>560</v>
      </c>
      <c r="H42" s="41">
        <v>34.56</v>
      </c>
    </row>
    <row r="43" spans="1:14">
      <c r="A43" s="66" t="str">
        <f t="shared" si="2"/>
        <v>Standard_A2m_v2_Windows</v>
      </c>
      <c r="B43" s="446" t="s">
        <v>304</v>
      </c>
      <c r="C43" s="57">
        <v>0.06</v>
      </c>
      <c r="D43" s="68">
        <f t="shared" si="1"/>
        <v>43.199999999999996</v>
      </c>
      <c r="E43" s="59" t="s">
        <v>194</v>
      </c>
      <c r="G43" s="446" t="s">
        <v>236</v>
      </c>
      <c r="H43" s="41">
        <v>66.56</v>
      </c>
    </row>
    <row r="44" spans="1:14">
      <c r="A44" s="66" t="str">
        <f t="shared" si="2"/>
        <v>Standard_A2m_v2_Windows</v>
      </c>
      <c r="B44" s="446" t="s">
        <v>304</v>
      </c>
      <c r="C44" s="57">
        <v>0.06</v>
      </c>
      <c r="D44" s="68">
        <f t="shared" si="1"/>
        <v>43.199999999999996</v>
      </c>
      <c r="E44" s="59" t="s">
        <v>194</v>
      </c>
      <c r="G44" s="446" t="s">
        <v>237</v>
      </c>
      <c r="H44" s="41">
        <v>122.88</v>
      </c>
    </row>
    <row r="45" spans="1:14">
      <c r="A45" s="66" t="str">
        <f t="shared" si="2"/>
        <v>Standard_A4m_v2_Windows</v>
      </c>
      <c r="B45" s="446" t="s">
        <v>306</v>
      </c>
      <c r="C45" s="57">
        <v>0.126</v>
      </c>
      <c r="D45" s="68">
        <f t="shared" si="1"/>
        <v>90.72</v>
      </c>
      <c r="E45" s="59" t="s">
        <v>194</v>
      </c>
      <c r="G45" s="446" t="s">
        <v>257</v>
      </c>
      <c r="H45" s="446">
        <v>235.52</v>
      </c>
    </row>
    <row r="46" spans="1:14">
      <c r="A46" s="66" t="str">
        <f t="shared" si="2"/>
        <v>Standard_A4m_v2_Windows</v>
      </c>
      <c r="B46" s="446" t="s">
        <v>306</v>
      </c>
      <c r="C46" s="57">
        <v>0.126</v>
      </c>
      <c r="D46" s="68">
        <f t="shared" si="1"/>
        <v>90.72</v>
      </c>
      <c r="E46" s="59" t="s">
        <v>194</v>
      </c>
      <c r="G46" s="446" t="s">
        <v>258</v>
      </c>
      <c r="H46" s="446">
        <v>450.56</v>
      </c>
    </row>
    <row r="47" spans="1:14">
      <c r="A47" s="66" t="str">
        <f t="shared" si="2"/>
        <v>Standard_A8m_v2_Windows</v>
      </c>
      <c r="B47" s="446" t="s">
        <v>308</v>
      </c>
      <c r="C47" s="57">
        <v>0.26500000000000001</v>
      </c>
      <c r="D47" s="68">
        <f t="shared" si="1"/>
        <v>190.8</v>
      </c>
      <c r="E47" s="59" t="s">
        <v>194</v>
      </c>
      <c r="G47"/>
      <c r="H47"/>
    </row>
    <row r="48" spans="1:14">
      <c r="A48" s="66" t="str">
        <f t="shared" si="2"/>
        <v>Standard_A8m_v2_Windows</v>
      </c>
      <c r="B48" s="446" t="s">
        <v>308</v>
      </c>
      <c r="C48" s="57">
        <v>0.26500000000000001</v>
      </c>
      <c r="D48" s="68">
        <f t="shared" si="1"/>
        <v>190.8</v>
      </c>
      <c r="E48" s="59" t="s">
        <v>194</v>
      </c>
      <c r="G48"/>
      <c r="H48"/>
    </row>
    <row r="49" spans="1:8">
      <c r="A49" s="66" t="str">
        <f t="shared" si="2"/>
        <v>Standard_D1_Windows</v>
      </c>
      <c r="B49" s="446" t="s">
        <v>310</v>
      </c>
      <c r="C49" s="57">
        <v>5.1999999999999998E-2</v>
      </c>
      <c r="D49" s="68">
        <f t="shared" si="1"/>
        <v>37.44</v>
      </c>
      <c r="E49" s="59" t="s">
        <v>194</v>
      </c>
      <c r="G49"/>
      <c r="H49"/>
    </row>
    <row r="50" spans="1:8">
      <c r="A50" s="66" t="str">
        <f t="shared" si="2"/>
        <v>Standard_D2_Windows</v>
      </c>
      <c r="B50" s="446" t="s">
        <v>312</v>
      </c>
      <c r="C50" s="57">
        <v>0.10299999999999999</v>
      </c>
      <c r="D50" s="68">
        <f t="shared" si="1"/>
        <v>74.16</v>
      </c>
      <c r="E50" s="59" t="s">
        <v>194</v>
      </c>
      <c r="G50"/>
      <c r="H50"/>
    </row>
    <row r="51" spans="1:8">
      <c r="A51" s="66" t="str">
        <f t="shared" si="2"/>
        <v>Standard_D3_Windows</v>
      </c>
      <c r="B51" s="446" t="s">
        <v>172</v>
      </c>
      <c r="C51" s="57">
        <v>0.20599999999999999</v>
      </c>
      <c r="D51" s="68">
        <f t="shared" si="1"/>
        <v>148.32</v>
      </c>
      <c r="E51" s="59" t="s">
        <v>194</v>
      </c>
      <c r="G51"/>
      <c r="H51"/>
    </row>
    <row r="52" spans="1:8">
      <c r="A52" s="66" t="str">
        <f t="shared" si="2"/>
        <v>Standard_D4_Windows</v>
      </c>
      <c r="B52" s="446" t="s">
        <v>315</v>
      </c>
      <c r="C52" s="57">
        <v>0.41299999999999998</v>
      </c>
      <c r="D52" s="68">
        <f t="shared" si="1"/>
        <v>297.35999999999996</v>
      </c>
      <c r="E52" s="59" t="s">
        <v>194</v>
      </c>
    </row>
    <row r="53" spans="1:8">
      <c r="A53" s="66" t="str">
        <f t="shared" si="2"/>
        <v>Standard_D11_Windows</v>
      </c>
      <c r="B53" s="446" t="s">
        <v>317</v>
      </c>
      <c r="C53" s="57">
        <v>0.12</v>
      </c>
      <c r="D53" s="68">
        <f t="shared" si="1"/>
        <v>86.399999999999991</v>
      </c>
      <c r="E53" s="59" t="s">
        <v>194</v>
      </c>
    </row>
    <row r="54" spans="1:8">
      <c r="A54" s="66" t="str">
        <f t="shared" si="2"/>
        <v>Standard_D12_Windows</v>
      </c>
      <c r="B54" s="446" t="s">
        <v>319</v>
      </c>
      <c r="C54" s="57">
        <v>0.24</v>
      </c>
      <c r="D54" s="68">
        <f t="shared" si="1"/>
        <v>172.79999999999998</v>
      </c>
      <c r="E54" s="59" t="s">
        <v>194</v>
      </c>
    </row>
    <row r="55" spans="1:8">
      <c r="A55" s="66" t="str">
        <f t="shared" si="2"/>
        <v>Standard_D13_Windows</v>
      </c>
      <c r="B55" s="446" t="s">
        <v>321</v>
      </c>
      <c r="C55" s="57">
        <v>0.432</v>
      </c>
      <c r="D55" s="68">
        <f t="shared" si="1"/>
        <v>311.04000000000002</v>
      </c>
      <c r="E55" s="59" t="s">
        <v>194</v>
      </c>
    </row>
    <row r="56" spans="1:8">
      <c r="A56" s="66" t="str">
        <f t="shared" si="2"/>
        <v>Standard_D14_Windows</v>
      </c>
      <c r="B56" s="446" t="s">
        <v>323</v>
      </c>
      <c r="C56" s="57">
        <v>0.77800000000000002</v>
      </c>
      <c r="D56" s="68">
        <f t="shared" si="1"/>
        <v>560.16</v>
      </c>
      <c r="E56" s="59" t="s">
        <v>194</v>
      </c>
    </row>
    <row r="57" spans="1:8">
      <c r="A57" s="66" t="str">
        <f t="shared" si="2"/>
        <v>Standard_D1_v2_Windows</v>
      </c>
      <c r="B57" s="446" t="s">
        <v>338</v>
      </c>
      <c r="C57" s="57">
        <v>0.123</v>
      </c>
      <c r="D57" s="68">
        <f t="shared" si="1"/>
        <v>88.56</v>
      </c>
      <c r="E57" s="59" t="s">
        <v>194</v>
      </c>
    </row>
    <row r="58" spans="1:8">
      <c r="A58" s="66" t="str">
        <f t="shared" si="2"/>
        <v>Standard_D1_v2_Windows</v>
      </c>
      <c r="B58" s="446" t="s">
        <v>338</v>
      </c>
      <c r="C58" s="57">
        <v>4.5999999999999999E-2</v>
      </c>
      <c r="D58" s="68">
        <f t="shared" si="1"/>
        <v>33.120000000000005</v>
      </c>
      <c r="E58" s="59" t="s">
        <v>194</v>
      </c>
    </row>
    <row r="59" spans="1:8">
      <c r="A59" s="66" t="str">
        <f t="shared" si="2"/>
        <v>Standard_D2_v2_Windows</v>
      </c>
      <c r="B59" s="446" t="s">
        <v>339</v>
      </c>
      <c r="C59" s="57">
        <v>9.8000000000000004E-2</v>
      </c>
      <c r="D59" s="68">
        <f t="shared" si="1"/>
        <v>70.56</v>
      </c>
      <c r="E59" s="59" t="s">
        <v>194</v>
      </c>
    </row>
    <row r="60" spans="1:8">
      <c r="A60" s="66" t="str">
        <f t="shared" si="2"/>
        <v>Standard_D2_v2_Windows</v>
      </c>
      <c r="B60" s="446" t="s">
        <v>339</v>
      </c>
      <c r="C60" s="57">
        <v>9.1999999999999998E-2</v>
      </c>
      <c r="D60" s="68">
        <f t="shared" si="1"/>
        <v>66.240000000000009</v>
      </c>
      <c r="E60" s="59" t="s">
        <v>194</v>
      </c>
    </row>
    <row r="61" spans="1:8">
      <c r="A61" s="66" t="str">
        <f t="shared" si="2"/>
        <v>Standard_D2_v2_Windows</v>
      </c>
      <c r="B61" s="446" t="s">
        <v>339</v>
      </c>
      <c r="C61" s="57">
        <v>-1</v>
      </c>
      <c r="D61" s="68">
        <f t="shared" si="1"/>
        <v>-720</v>
      </c>
      <c r="E61" s="59" t="s">
        <v>194</v>
      </c>
    </row>
    <row r="62" spans="1:8">
      <c r="A62" s="66" t="str">
        <f t="shared" si="2"/>
        <v>Standard_D2_v2_Windows</v>
      </c>
      <c r="B62" s="446" t="s">
        <v>339</v>
      </c>
      <c r="C62" s="57">
        <v>-1</v>
      </c>
      <c r="D62" s="68">
        <f t="shared" si="1"/>
        <v>-720</v>
      </c>
      <c r="E62" s="59" t="s">
        <v>194</v>
      </c>
    </row>
    <row r="63" spans="1:8">
      <c r="A63" s="66" t="str">
        <f t="shared" si="2"/>
        <v>Standard_D3_v2_Windows</v>
      </c>
      <c r="B63" s="446" t="s">
        <v>340</v>
      </c>
      <c r="C63" s="57">
        <v>0.19600000000000001</v>
      </c>
      <c r="D63" s="68">
        <f t="shared" si="1"/>
        <v>141.12</v>
      </c>
      <c r="E63" s="59" t="s">
        <v>194</v>
      </c>
    </row>
    <row r="64" spans="1:8">
      <c r="A64" s="66" t="str">
        <f t="shared" si="2"/>
        <v>Standard_D3_v2_Windows</v>
      </c>
      <c r="B64" s="446" t="s">
        <v>340</v>
      </c>
      <c r="C64" s="57">
        <v>0.186</v>
      </c>
      <c r="D64" s="68">
        <f t="shared" si="1"/>
        <v>133.92000000000002</v>
      </c>
      <c r="E64" s="59" t="s">
        <v>194</v>
      </c>
    </row>
    <row r="65" spans="1:5">
      <c r="A65" s="66" t="str">
        <f t="shared" si="2"/>
        <v>Standard_D3_v2_Windows</v>
      </c>
      <c r="B65" s="446" t="s">
        <v>340</v>
      </c>
      <c r="C65" s="57">
        <v>-1</v>
      </c>
      <c r="D65" s="68">
        <f t="shared" si="1"/>
        <v>-720</v>
      </c>
      <c r="E65" s="59" t="s">
        <v>194</v>
      </c>
    </row>
    <row r="66" spans="1:5">
      <c r="A66" s="66" t="str">
        <f t="shared" si="2"/>
        <v>Standard_D3_v2_Windows</v>
      </c>
      <c r="B66" s="446" t="s">
        <v>340</v>
      </c>
      <c r="C66" s="57">
        <v>-1</v>
      </c>
      <c r="D66" s="68">
        <f t="shared" si="1"/>
        <v>-720</v>
      </c>
      <c r="E66" s="59" t="s">
        <v>194</v>
      </c>
    </row>
    <row r="67" spans="1:5">
      <c r="A67" s="66" t="str">
        <f t="shared" si="2"/>
        <v>Standard_D4_v2_Windows</v>
      </c>
      <c r="B67" s="446" t="s">
        <v>341</v>
      </c>
      <c r="C67" s="57">
        <v>0.98299999999999998</v>
      </c>
      <c r="D67" s="68">
        <f t="shared" si="1"/>
        <v>707.76</v>
      </c>
      <c r="E67" s="59" t="s">
        <v>194</v>
      </c>
    </row>
    <row r="68" spans="1:5">
      <c r="A68" s="66" t="str">
        <f t="shared" si="2"/>
        <v>Standard_D4_v2_Windows</v>
      </c>
      <c r="B68" s="446" t="s">
        <v>341</v>
      </c>
      <c r="C68" s="57">
        <v>0.37</v>
      </c>
      <c r="D68" s="68">
        <f t="shared" si="1"/>
        <v>266.39999999999998</v>
      </c>
      <c r="E68" s="59" t="s">
        <v>194</v>
      </c>
    </row>
    <row r="69" spans="1:5">
      <c r="A69" s="66" t="str">
        <f t="shared" si="2"/>
        <v>Standard_D5_v2_Windows</v>
      </c>
      <c r="B69" s="446" t="s">
        <v>342</v>
      </c>
      <c r="C69" s="57">
        <v>0.749</v>
      </c>
      <c r="D69" s="68">
        <f t="shared" si="1"/>
        <v>539.28</v>
      </c>
      <c r="E69" s="59" t="s">
        <v>194</v>
      </c>
    </row>
    <row r="70" spans="1:5">
      <c r="A70" s="66" t="str">
        <f t="shared" si="2"/>
        <v>Standard_D5_v2_Windows</v>
      </c>
      <c r="B70" s="446" t="s">
        <v>342</v>
      </c>
      <c r="C70" s="57">
        <v>0.74</v>
      </c>
      <c r="D70" s="68">
        <f t="shared" ref="D70:D133" si="3">C70*24*30</f>
        <v>532.79999999999995</v>
      </c>
      <c r="E70" s="59" t="s">
        <v>194</v>
      </c>
    </row>
    <row r="71" spans="1:5">
      <c r="A71" s="66" t="str">
        <f t="shared" ref="A71:A134" si="4">IF(E71="Windows",_xlfn.CONCAT(B71,"_",E71),B71)</f>
        <v>Standard_D11_v2_Windows</v>
      </c>
      <c r="B71" s="446" t="s">
        <v>343</v>
      </c>
      <c r="C71" s="57">
        <v>0.11600000000000001</v>
      </c>
      <c r="D71" s="68">
        <f t="shared" si="3"/>
        <v>83.52000000000001</v>
      </c>
      <c r="E71" s="59" t="s">
        <v>194</v>
      </c>
    </row>
    <row r="72" spans="1:5">
      <c r="A72" s="66" t="str">
        <f t="shared" si="4"/>
        <v>Standard_D11_v2_Windows</v>
      </c>
      <c r="B72" s="446" t="s">
        <v>343</v>
      </c>
      <c r="C72" s="57">
        <v>0.105</v>
      </c>
      <c r="D72" s="68">
        <f t="shared" si="3"/>
        <v>75.599999999999994</v>
      </c>
      <c r="E72" s="59" t="s">
        <v>194</v>
      </c>
    </row>
    <row r="73" spans="1:5">
      <c r="A73" s="66" t="str">
        <f t="shared" si="4"/>
        <v>Standard_D12_v2_Windows</v>
      </c>
      <c r="B73" s="446" t="s">
        <v>344</v>
      </c>
      <c r="C73" s="57">
        <v>0.23300000000000001</v>
      </c>
      <c r="D73" s="68">
        <f t="shared" si="3"/>
        <v>167.76000000000002</v>
      </c>
      <c r="E73" s="59" t="s">
        <v>194</v>
      </c>
    </row>
    <row r="74" spans="1:5">
      <c r="A74" s="66" t="str">
        <f t="shared" si="4"/>
        <v>Standard_D12_v2_Windows</v>
      </c>
      <c r="B74" s="446" t="s">
        <v>344</v>
      </c>
      <c r="C74" s="57">
        <v>0.21</v>
      </c>
      <c r="D74" s="68">
        <f t="shared" si="3"/>
        <v>151.19999999999999</v>
      </c>
      <c r="E74" s="59" t="s">
        <v>194</v>
      </c>
    </row>
    <row r="75" spans="1:5">
      <c r="A75" s="66" t="str">
        <f t="shared" si="4"/>
        <v>Standard_D13_v2_Windows</v>
      </c>
      <c r="B75" s="446" t="s">
        <v>345</v>
      </c>
      <c r="C75" s="57">
        <v>0.41799999999999998</v>
      </c>
      <c r="D75" s="68">
        <f t="shared" si="3"/>
        <v>300.95999999999998</v>
      </c>
      <c r="E75" s="59" t="s">
        <v>194</v>
      </c>
    </row>
    <row r="76" spans="1:5">
      <c r="A76" s="66" t="str">
        <f t="shared" si="4"/>
        <v>Standard_D13_v2_Windows</v>
      </c>
      <c r="B76" s="446" t="s">
        <v>345</v>
      </c>
      <c r="C76" s="57">
        <v>0.41799999999999998</v>
      </c>
      <c r="D76" s="68">
        <f t="shared" si="3"/>
        <v>300.95999999999998</v>
      </c>
      <c r="E76" s="59" t="s">
        <v>194</v>
      </c>
    </row>
    <row r="77" spans="1:5">
      <c r="A77" s="66" t="str">
        <f t="shared" si="4"/>
        <v>Standard_D13_v2_Windows</v>
      </c>
      <c r="B77" s="446" t="s">
        <v>345</v>
      </c>
      <c r="C77" s="57">
        <v>-1</v>
      </c>
      <c r="D77" s="68">
        <f t="shared" si="3"/>
        <v>-720</v>
      </c>
      <c r="E77" s="59" t="s">
        <v>194</v>
      </c>
    </row>
    <row r="78" spans="1:5">
      <c r="A78" s="66" t="str">
        <f t="shared" si="4"/>
        <v>Standard_D14_v2_Windows</v>
      </c>
      <c r="B78" s="446" t="s">
        <v>346</v>
      </c>
      <c r="C78" s="57">
        <v>0.77800000000000002</v>
      </c>
      <c r="D78" s="68">
        <f t="shared" si="3"/>
        <v>560.16</v>
      </c>
      <c r="E78" s="59" t="s">
        <v>194</v>
      </c>
    </row>
    <row r="79" spans="1:5">
      <c r="A79" s="66" t="str">
        <f t="shared" si="4"/>
        <v>Standard_D14_v2_Windows</v>
      </c>
      <c r="B79" s="446" t="s">
        <v>346</v>
      </c>
      <c r="C79" s="59">
        <v>0.77800000000000002</v>
      </c>
      <c r="D79" s="68">
        <f t="shared" si="3"/>
        <v>560.16</v>
      </c>
      <c r="E79" s="59" t="s">
        <v>194</v>
      </c>
    </row>
    <row r="80" spans="1:5">
      <c r="A80" s="66" t="str">
        <f t="shared" si="4"/>
        <v>Standard_D14_v2_Windows</v>
      </c>
      <c r="B80" s="446" t="s">
        <v>346</v>
      </c>
      <c r="C80" s="59">
        <v>-1</v>
      </c>
      <c r="D80" s="68">
        <f t="shared" si="3"/>
        <v>-720</v>
      </c>
      <c r="E80" s="59" t="s">
        <v>194</v>
      </c>
    </row>
    <row r="81" spans="1:5">
      <c r="A81" s="66" t="str">
        <f t="shared" si="4"/>
        <v>Standard_D15_v2_Windows</v>
      </c>
      <c r="B81" s="446" t="s">
        <v>347</v>
      </c>
      <c r="C81" s="59">
        <v>2.4300000000000002</v>
      </c>
      <c r="D81" s="68">
        <f t="shared" si="3"/>
        <v>1749.6000000000001</v>
      </c>
      <c r="E81" s="59" t="s">
        <v>194</v>
      </c>
    </row>
    <row r="82" spans="1:5">
      <c r="A82" s="66" t="str">
        <f t="shared" si="4"/>
        <v>Standard_D15_v2_Windows</v>
      </c>
      <c r="B82" s="446" t="s">
        <v>347</v>
      </c>
      <c r="C82" s="59">
        <v>0.97199999999999998</v>
      </c>
      <c r="D82" s="68">
        <f t="shared" si="3"/>
        <v>699.84</v>
      </c>
      <c r="E82" s="59" t="s">
        <v>194</v>
      </c>
    </row>
    <row r="83" spans="1:5">
      <c r="A83" s="66" t="str">
        <f t="shared" si="4"/>
        <v>Standard_D15_v2_Windows</v>
      </c>
      <c r="B83" s="446" t="s">
        <v>347</v>
      </c>
      <c r="C83" s="59">
        <v>0.97199999999999998</v>
      </c>
      <c r="D83" s="68">
        <f t="shared" si="3"/>
        <v>699.84</v>
      </c>
      <c r="E83" s="59" t="s">
        <v>194</v>
      </c>
    </row>
    <row r="84" spans="1:5">
      <c r="A84" s="66" t="str">
        <f t="shared" si="4"/>
        <v>Standard_DS1_v2_Windows</v>
      </c>
      <c r="B84" s="446" t="s">
        <v>348</v>
      </c>
      <c r="C84" s="59">
        <v>0.123</v>
      </c>
      <c r="D84" s="68">
        <f t="shared" si="3"/>
        <v>88.56</v>
      </c>
      <c r="E84" s="59" t="s">
        <v>194</v>
      </c>
    </row>
    <row r="85" spans="1:5">
      <c r="A85" s="66" t="str">
        <f t="shared" si="4"/>
        <v>Standard_DS2_v2_Windows</v>
      </c>
      <c r="B85" s="446" t="s">
        <v>349</v>
      </c>
      <c r="C85" s="59">
        <v>9.8000000000000004E-2</v>
      </c>
      <c r="D85" s="68">
        <f t="shared" si="3"/>
        <v>70.56</v>
      </c>
      <c r="E85" s="59" t="s">
        <v>194</v>
      </c>
    </row>
    <row r="86" spans="1:5">
      <c r="A86" s="66" t="str">
        <f t="shared" si="4"/>
        <v>Standard_DS3_v2_Windows</v>
      </c>
      <c r="B86" s="446" t="s">
        <v>350</v>
      </c>
      <c r="C86" s="59">
        <v>0.19600000000000001</v>
      </c>
      <c r="D86" s="68">
        <f t="shared" si="3"/>
        <v>141.12</v>
      </c>
      <c r="E86" s="59" t="s">
        <v>194</v>
      </c>
    </row>
    <row r="87" spans="1:5">
      <c r="A87" s="66" t="str">
        <f t="shared" si="4"/>
        <v>Standard_DS4_v2_Windows</v>
      </c>
      <c r="B87" s="446" t="s">
        <v>351</v>
      </c>
      <c r="C87" s="59">
        <v>0.98299999999999998</v>
      </c>
      <c r="D87" s="68">
        <f t="shared" si="3"/>
        <v>707.76</v>
      </c>
      <c r="E87" s="59" t="s">
        <v>194</v>
      </c>
    </row>
    <row r="88" spans="1:5">
      <c r="A88" s="66" t="str">
        <f t="shared" si="4"/>
        <v>Standard_DS5_v2_Windows</v>
      </c>
      <c r="B88" s="446" t="s">
        <v>352</v>
      </c>
      <c r="C88" s="59">
        <v>0.749</v>
      </c>
      <c r="D88" s="68">
        <f t="shared" si="3"/>
        <v>539.28</v>
      </c>
      <c r="E88" s="59" t="s">
        <v>194</v>
      </c>
    </row>
    <row r="89" spans="1:5">
      <c r="A89" s="66" t="str">
        <f t="shared" si="4"/>
        <v>Standard_DS11_v2_Windows</v>
      </c>
      <c r="B89" s="446" t="s">
        <v>353</v>
      </c>
      <c r="C89" s="59">
        <v>0.11600000000000001</v>
      </c>
      <c r="D89" s="68">
        <f t="shared" si="3"/>
        <v>83.52000000000001</v>
      </c>
      <c r="E89" s="59" t="s">
        <v>194</v>
      </c>
    </row>
    <row r="90" spans="1:5">
      <c r="A90" s="66" t="str">
        <f t="shared" si="4"/>
        <v>Standard_DS12_v2_Windows</v>
      </c>
      <c r="B90" s="446" t="s">
        <v>354</v>
      </c>
      <c r="C90" s="59">
        <v>0.23300000000000001</v>
      </c>
      <c r="D90" s="68">
        <f t="shared" si="3"/>
        <v>167.76000000000002</v>
      </c>
      <c r="E90" s="59" t="s">
        <v>194</v>
      </c>
    </row>
    <row r="91" spans="1:5">
      <c r="A91" s="66" t="str">
        <f t="shared" si="4"/>
        <v>Standard_DS13_v2_Windows</v>
      </c>
      <c r="B91" s="446" t="s">
        <v>355</v>
      </c>
      <c r="C91" s="59">
        <v>0.41799999999999998</v>
      </c>
      <c r="D91" s="68">
        <f t="shared" si="3"/>
        <v>300.95999999999998</v>
      </c>
      <c r="E91" s="59" t="s">
        <v>194</v>
      </c>
    </row>
    <row r="92" spans="1:5">
      <c r="A92" s="66" t="str">
        <f t="shared" si="4"/>
        <v>Standard_DS14_v2_Windows</v>
      </c>
      <c r="B92" s="446" t="s">
        <v>356</v>
      </c>
      <c r="C92" s="41">
        <v>0.77800000000000002</v>
      </c>
      <c r="D92" s="68">
        <f t="shared" si="3"/>
        <v>560.16</v>
      </c>
      <c r="E92" s="41" t="s">
        <v>194</v>
      </c>
    </row>
    <row r="93" spans="1:5">
      <c r="A93" s="66" t="str">
        <f t="shared" si="4"/>
        <v>Standard_DS15_v2_Windows</v>
      </c>
      <c r="B93" s="446" t="s">
        <v>357</v>
      </c>
      <c r="C93" s="41">
        <v>0.97199999999999998</v>
      </c>
      <c r="D93" s="68">
        <f t="shared" si="3"/>
        <v>699.84</v>
      </c>
      <c r="E93" s="41" t="s">
        <v>194</v>
      </c>
    </row>
    <row r="94" spans="1:5">
      <c r="A94" s="66" t="str">
        <f t="shared" si="4"/>
        <v>Standard_F1_Windows</v>
      </c>
      <c r="B94" s="446" t="s">
        <v>358</v>
      </c>
      <c r="C94" s="41">
        <v>9.6000000000000002E-2</v>
      </c>
      <c r="D94" s="68">
        <f t="shared" si="3"/>
        <v>69.12</v>
      </c>
      <c r="E94" s="41" t="s">
        <v>194</v>
      </c>
    </row>
    <row r="95" spans="1:5">
      <c r="A95" s="66" t="str">
        <f t="shared" si="4"/>
        <v>Standard_F1_Windows</v>
      </c>
      <c r="B95" s="446" t="s">
        <v>358</v>
      </c>
      <c r="C95" s="41">
        <v>3.7999999999999999E-2</v>
      </c>
      <c r="D95" s="68">
        <f t="shared" si="3"/>
        <v>27.36</v>
      </c>
      <c r="E95" s="41" t="s">
        <v>194</v>
      </c>
    </row>
    <row r="96" spans="1:5">
      <c r="A96" s="66" t="str">
        <f t="shared" si="4"/>
        <v>Standard_F2_Windows</v>
      </c>
      <c r="B96" s="446" t="s">
        <v>359</v>
      </c>
      <c r="C96" s="41">
        <v>7.6999999999999999E-2</v>
      </c>
      <c r="D96" s="68">
        <f t="shared" si="3"/>
        <v>55.44</v>
      </c>
      <c r="E96" s="41" t="s">
        <v>194</v>
      </c>
    </row>
    <row r="97" spans="1:5">
      <c r="A97" s="66" t="str">
        <f t="shared" si="4"/>
        <v>Standard_F2_Windows</v>
      </c>
      <c r="B97" s="446" t="s">
        <v>359</v>
      </c>
      <c r="C97" s="41">
        <v>7.5999999999999998E-2</v>
      </c>
      <c r="D97" s="68">
        <f t="shared" si="3"/>
        <v>54.72</v>
      </c>
      <c r="E97" s="41" t="s">
        <v>194</v>
      </c>
    </row>
    <row r="98" spans="1:5">
      <c r="A98" s="66" t="str">
        <f t="shared" si="4"/>
        <v>Standard_F4_Windows</v>
      </c>
      <c r="B98" s="446" t="s">
        <v>360</v>
      </c>
      <c r="C98" s="41">
        <v>0.38300000000000001</v>
      </c>
      <c r="D98" s="68">
        <f t="shared" si="3"/>
        <v>275.76</v>
      </c>
      <c r="E98" s="41" t="s">
        <v>194</v>
      </c>
    </row>
    <row r="99" spans="1:5">
      <c r="A99" s="66" t="str">
        <f t="shared" si="4"/>
        <v>Standard_F4_Windows</v>
      </c>
      <c r="B99" s="446" t="s">
        <v>360</v>
      </c>
      <c r="C99" s="41">
        <v>0.152</v>
      </c>
      <c r="D99" s="68">
        <f t="shared" si="3"/>
        <v>109.44</v>
      </c>
      <c r="E99" s="41" t="s">
        <v>194</v>
      </c>
    </row>
    <row r="100" spans="1:5">
      <c r="A100" s="66" t="str">
        <f t="shared" si="4"/>
        <v>Standard_F8_Windows</v>
      </c>
      <c r="B100" s="446" t="s">
        <v>361</v>
      </c>
      <c r="C100" s="41">
        <v>0.76600000000000001</v>
      </c>
      <c r="D100" s="68">
        <f t="shared" si="3"/>
        <v>551.52</v>
      </c>
      <c r="E100" s="41" t="s">
        <v>194</v>
      </c>
    </row>
    <row r="101" spans="1:5">
      <c r="A101" s="66" t="str">
        <f t="shared" si="4"/>
        <v>Standard_F8_Windows</v>
      </c>
      <c r="B101" s="446" t="s">
        <v>361</v>
      </c>
      <c r="C101" s="41">
        <v>0.30399999999999999</v>
      </c>
      <c r="D101" s="68">
        <f t="shared" si="3"/>
        <v>218.88</v>
      </c>
      <c r="E101" s="41" t="s">
        <v>194</v>
      </c>
    </row>
    <row r="102" spans="1:5">
      <c r="A102" s="66" t="str">
        <f t="shared" si="4"/>
        <v>Standard_F16_Windows</v>
      </c>
      <c r="B102" s="446" t="s">
        <v>362</v>
      </c>
      <c r="C102" s="41">
        <v>1.532</v>
      </c>
      <c r="D102" s="68">
        <f t="shared" si="3"/>
        <v>1103.04</v>
      </c>
      <c r="E102" s="41" t="s">
        <v>194</v>
      </c>
    </row>
    <row r="103" spans="1:5">
      <c r="A103" s="66" t="str">
        <f t="shared" si="4"/>
        <v>Standard_F16_Windows</v>
      </c>
      <c r="B103" s="446" t="s">
        <v>362</v>
      </c>
      <c r="C103" s="41">
        <v>0.60899999999999999</v>
      </c>
      <c r="D103" s="68">
        <f t="shared" si="3"/>
        <v>438.48</v>
      </c>
      <c r="E103" s="41" t="s">
        <v>194</v>
      </c>
    </row>
    <row r="104" spans="1:5">
      <c r="A104" s="66" t="str">
        <f t="shared" si="4"/>
        <v>Standard_F1s_Windows</v>
      </c>
      <c r="B104" s="446" t="s">
        <v>363</v>
      </c>
      <c r="C104" s="41">
        <v>9.6000000000000002E-2</v>
      </c>
      <c r="D104" s="68">
        <f t="shared" si="3"/>
        <v>69.12</v>
      </c>
      <c r="E104" s="41" t="s">
        <v>194</v>
      </c>
    </row>
    <row r="105" spans="1:5">
      <c r="A105" s="66" t="str">
        <f t="shared" si="4"/>
        <v>Standard_F2s_Windows</v>
      </c>
      <c r="B105" s="446" t="s">
        <v>364</v>
      </c>
      <c r="C105" s="41">
        <v>7.6999999999999999E-2</v>
      </c>
      <c r="D105" s="68">
        <f t="shared" si="3"/>
        <v>55.44</v>
      </c>
      <c r="E105" s="41" t="s">
        <v>194</v>
      </c>
    </row>
    <row r="106" spans="1:5">
      <c r="A106" s="66" t="str">
        <f t="shared" si="4"/>
        <v>Standard_F4s_Windows</v>
      </c>
      <c r="B106" s="446" t="s">
        <v>365</v>
      </c>
      <c r="C106" s="41">
        <v>0.38300000000000001</v>
      </c>
      <c r="D106" s="68">
        <f t="shared" si="3"/>
        <v>275.76</v>
      </c>
      <c r="E106" s="41" t="s">
        <v>194</v>
      </c>
    </row>
    <row r="107" spans="1:5">
      <c r="A107" s="66" t="str">
        <f t="shared" si="4"/>
        <v>Standard_F8s_Windows</v>
      </c>
      <c r="B107" s="446" t="s">
        <v>366</v>
      </c>
      <c r="C107" s="41">
        <v>0.76600000000000001</v>
      </c>
      <c r="D107" s="68">
        <f t="shared" si="3"/>
        <v>551.52</v>
      </c>
      <c r="E107" s="41" t="s">
        <v>194</v>
      </c>
    </row>
    <row r="108" spans="1:5">
      <c r="A108" s="66" t="str">
        <f t="shared" si="4"/>
        <v>Standard_F16s_Windows</v>
      </c>
      <c r="B108" s="446" t="s">
        <v>367</v>
      </c>
      <c r="C108" s="41">
        <v>1.532</v>
      </c>
      <c r="D108" s="68">
        <f t="shared" si="3"/>
        <v>1103.04</v>
      </c>
      <c r="E108" s="41" t="s">
        <v>194</v>
      </c>
    </row>
    <row r="109" spans="1:5">
      <c r="A109" s="66" t="str">
        <f t="shared" si="4"/>
        <v>Standard_G1_Windows</v>
      </c>
      <c r="B109" s="446" t="s">
        <v>368</v>
      </c>
      <c r="C109" s="41">
        <v>0.55900000000000005</v>
      </c>
      <c r="D109" s="68">
        <f t="shared" si="3"/>
        <v>402.48</v>
      </c>
      <c r="E109" s="41" t="s">
        <v>194</v>
      </c>
    </row>
    <row r="110" spans="1:5">
      <c r="A110" s="66" t="str">
        <f t="shared" si="4"/>
        <v>Standard_G1_Windows</v>
      </c>
      <c r="B110" s="446" t="s">
        <v>368</v>
      </c>
      <c r="C110" s="41">
        <v>0.224</v>
      </c>
      <c r="D110" s="68">
        <f t="shared" si="3"/>
        <v>161.28</v>
      </c>
      <c r="E110" s="41" t="s">
        <v>194</v>
      </c>
    </row>
    <row r="111" spans="1:5">
      <c r="A111" s="66" t="str">
        <f t="shared" si="4"/>
        <v>Standard_G2_Windows</v>
      </c>
      <c r="B111" s="446" t="s">
        <v>369</v>
      </c>
      <c r="C111" s="41">
        <v>0.44800000000000001</v>
      </c>
      <c r="D111" s="68">
        <f t="shared" si="3"/>
        <v>322.56</v>
      </c>
      <c r="E111" s="41" t="s">
        <v>194</v>
      </c>
    </row>
    <row r="112" spans="1:5">
      <c r="A112" s="66" t="str">
        <f t="shared" si="4"/>
        <v>Standard_G2_Windows</v>
      </c>
      <c r="B112" s="446" t="s">
        <v>369</v>
      </c>
      <c r="C112" s="41">
        <v>0.44800000000000001</v>
      </c>
      <c r="D112" s="68">
        <f t="shared" si="3"/>
        <v>322.56</v>
      </c>
      <c r="E112" s="41" t="s">
        <v>194</v>
      </c>
    </row>
    <row r="113" spans="1:5">
      <c r="A113" s="66" t="str">
        <f t="shared" si="4"/>
        <v>Standard_G3_Windows</v>
      </c>
      <c r="B113" s="446" t="s">
        <v>370</v>
      </c>
      <c r="C113" s="41">
        <v>2.238</v>
      </c>
      <c r="D113" s="68">
        <f t="shared" si="3"/>
        <v>1611.3600000000001</v>
      </c>
      <c r="E113" s="41" t="s">
        <v>194</v>
      </c>
    </row>
    <row r="114" spans="1:5">
      <c r="A114" s="66" t="str">
        <f t="shared" si="4"/>
        <v>Standard_G3_Windows</v>
      </c>
      <c r="B114" s="446" t="s">
        <v>370</v>
      </c>
      <c r="C114" s="41">
        <v>0.89500000000000002</v>
      </c>
      <c r="D114" s="68">
        <f t="shared" si="3"/>
        <v>644.4</v>
      </c>
      <c r="E114" s="41" t="s">
        <v>194</v>
      </c>
    </row>
    <row r="115" spans="1:5">
      <c r="A115" s="66" t="str">
        <f t="shared" si="4"/>
        <v>Standard_G4_Windows</v>
      </c>
      <c r="B115" s="446" t="s">
        <v>371</v>
      </c>
      <c r="C115" s="41">
        <v>4.4749999999999996</v>
      </c>
      <c r="D115" s="68">
        <f t="shared" si="3"/>
        <v>3221.9999999999995</v>
      </c>
      <c r="E115" s="41" t="s">
        <v>194</v>
      </c>
    </row>
    <row r="116" spans="1:5">
      <c r="A116" s="66" t="str">
        <f t="shared" si="4"/>
        <v>Standard_G4_Windows</v>
      </c>
      <c r="B116" s="446" t="s">
        <v>371</v>
      </c>
      <c r="C116" s="41">
        <v>1.79</v>
      </c>
      <c r="D116" s="68">
        <f t="shared" si="3"/>
        <v>1288.8</v>
      </c>
      <c r="E116" s="41" t="s">
        <v>194</v>
      </c>
    </row>
    <row r="117" spans="1:5">
      <c r="A117" s="66" t="str">
        <f t="shared" si="4"/>
        <v>Standard_G5_Windows</v>
      </c>
      <c r="B117" s="446" t="s">
        <v>372</v>
      </c>
      <c r="C117" s="41">
        <v>8.9489999999999998</v>
      </c>
      <c r="D117" s="68">
        <f t="shared" si="3"/>
        <v>6443.2800000000007</v>
      </c>
      <c r="E117" s="41" t="s">
        <v>194</v>
      </c>
    </row>
    <row r="118" spans="1:5">
      <c r="A118" s="66" t="str">
        <f t="shared" si="4"/>
        <v>Standard_G5_Windows</v>
      </c>
      <c r="B118" s="446" t="s">
        <v>372</v>
      </c>
      <c r="C118" s="41">
        <v>3.512</v>
      </c>
      <c r="D118" s="68">
        <f t="shared" si="3"/>
        <v>2528.64</v>
      </c>
      <c r="E118" s="41" t="s">
        <v>194</v>
      </c>
    </row>
    <row r="119" spans="1:5">
      <c r="A119" s="66" t="str">
        <f t="shared" si="4"/>
        <v>Standard_GS1_Windows</v>
      </c>
      <c r="B119" s="446" t="s">
        <v>373</v>
      </c>
      <c r="C119" s="41">
        <v>0.55900000000000005</v>
      </c>
      <c r="D119" s="68">
        <f t="shared" si="3"/>
        <v>402.48</v>
      </c>
      <c r="E119" s="41" t="s">
        <v>194</v>
      </c>
    </row>
    <row r="120" spans="1:5">
      <c r="A120" s="66" t="str">
        <f t="shared" si="4"/>
        <v>Standard_GS2_Windows</v>
      </c>
      <c r="B120" s="446" t="s">
        <v>374</v>
      </c>
      <c r="C120" s="41">
        <v>0.44800000000000001</v>
      </c>
      <c r="D120" s="68">
        <f t="shared" si="3"/>
        <v>322.56</v>
      </c>
      <c r="E120" s="41" t="s">
        <v>194</v>
      </c>
    </row>
    <row r="121" spans="1:5">
      <c r="A121" s="66" t="str">
        <f t="shared" si="4"/>
        <v>Standard_GS3_Windows</v>
      </c>
      <c r="B121" s="446" t="s">
        <v>375</v>
      </c>
      <c r="C121" s="41">
        <v>2.238</v>
      </c>
      <c r="D121" s="68">
        <f t="shared" si="3"/>
        <v>1611.3600000000001</v>
      </c>
      <c r="E121" s="41" t="s">
        <v>194</v>
      </c>
    </row>
    <row r="122" spans="1:5">
      <c r="A122" s="66" t="str">
        <f t="shared" si="4"/>
        <v>Standard_GS4_Windows</v>
      </c>
      <c r="B122" s="446" t="s">
        <v>376</v>
      </c>
      <c r="C122" s="41">
        <v>4.4749999999999996</v>
      </c>
      <c r="D122" s="68">
        <f t="shared" si="3"/>
        <v>3221.9999999999995</v>
      </c>
      <c r="E122" s="41" t="s">
        <v>194</v>
      </c>
    </row>
    <row r="123" spans="1:5">
      <c r="A123" s="66" t="str">
        <f t="shared" si="4"/>
        <v>Standard_GS5_Windows</v>
      </c>
      <c r="B123" s="446" t="s">
        <v>377</v>
      </c>
      <c r="C123" s="41">
        <v>8.9489999999999998</v>
      </c>
      <c r="D123" s="68">
        <f t="shared" si="3"/>
        <v>6443.2800000000007</v>
      </c>
      <c r="E123" s="41" t="s">
        <v>194</v>
      </c>
    </row>
    <row r="124" spans="1:5">
      <c r="A124" s="66" t="str">
        <f t="shared" si="4"/>
        <v>Standard_H8_Windows</v>
      </c>
      <c r="B124" s="446" t="s">
        <v>378</v>
      </c>
      <c r="C124" s="41">
        <v>1.129</v>
      </c>
      <c r="D124" s="68">
        <f t="shared" si="3"/>
        <v>812.88</v>
      </c>
      <c r="E124" s="41" t="s">
        <v>194</v>
      </c>
    </row>
    <row r="125" spans="1:5">
      <c r="A125" s="66" t="str">
        <f t="shared" si="4"/>
        <v>Standard_H8_Windows</v>
      </c>
      <c r="B125" s="446" t="s">
        <v>378</v>
      </c>
      <c r="C125" s="41">
        <v>0.60499999999999998</v>
      </c>
      <c r="D125" s="68">
        <f t="shared" si="3"/>
        <v>435.59999999999997</v>
      </c>
      <c r="E125" s="41" t="s">
        <v>194</v>
      </c>
    </row>
    <row r="126" spans="1:5">
      <c r="A126" s="66" t="str">
        <f t="shared" si="4"/>
        <v>Standard_H8m_Windows</v>
      </c>
      <c r="B126" s="446" t="s">
        <v>379</v>
      </c>
      <c r="C126" s="41">
        <v>0.81100000000000005</v>
      </c>
      <c r="D126" s="68">
        <f t="shared" si="3"/>
        <v>583.92000000000007</v>
      </c>
      <c r="E126" s="41" t="s">
        <v>194</v>
      </c>
    </row>
    <row r="127" spans="1:5">
      <c r="A127" s="66" t="str">
        <f t="shared" si="4"/>
        <v>Standard_H8m_Windows</v>
      </c>
      <c r="B127" s="446" t="s">
        <v>379</v>
      </c>
      <c r="C127" s="41">
        <v>0.56000000000000005</v>
      </c>
      <c r="D127" s="68">
        <f t="shared" si="3"/>
        <v>403.20000000000005</v>
      </c>
      <c r="E127" s="41" t="s">
        <v>194</v>
      </c>
    </row>
    <row r="128" spans="1:5">
      <c r="A128" s="66" t="str">
        <f t="shared" si="4"/>
        <v>Standard_H16_Windows</v>
      </c>
      <c r="B128" s="446" t="s">
        <v>380</v>
      </c>
      <c r="C128" s="41">
        <v>2.258</v>
      </c>
      <c r="D128" s="68">
        <f t="shared" si="3"/>
        <v>1625.76</v>
      </c>
      <c r="E128" s="41" t="s">
        <v>194</v>
      </c>
    </row>
    <row r="129" spans="1:5">
      <c r="A129" s="66" t="str">
        <f t="shared" si="4"/>
        <v>Standard_H16_Windows</v>
      </c>
      <c r="B129" s="446" t="s">
        <v>380</v>
      </c>
      <c r="C129" s="41">
        <v>1.21</v>
      </c>
      <c r="D129" s="68">
        <f t="shared" si="3"/>
        <v>871.19999999999993</v>
      </c>
      <c r="E129" s="41" t="s">
        <v>194</v>
      </c>
    </row>
    <row r="130" spans="1:5">
      <c r="A130" s="66" t="str">
        <f t="shared" si="4"/>
        <v>Standard_H16m_Windows</v>
      </c>
      <c r="B130" s="446" t="s">
        <v>381</v>
      </c>
      <c r="C130" s="41">
        <v>2.7989999999999999</v>
      </c>
      <c r="D130" s="68">
        <f t="shared" si="3"/>
        <v>2015.28</v>
      </c>
      <c r="E130" s="41" t="s">
        <v>194</v>
      </c>
    </row>
    <row r="131" spans="1:5">
      <c r="A131" s="66" t="str">
        <f t="shared" si="4"/>
        <v>Standard_H16m_Windows</v>
      </c>
      <c r="B131" s="446" t="s">
        <v>381</v>
      </c>
      <c r="C131" s="41">
        <v>1.621</v>
      </c>
      <c r="D131" s="68">
        <f t="shared" si="3"/>
        <v>1167.1199999999999</v>
      </c>
      <c r="E131" s="41" t="s">
        <v>194</v>
      </c>
    </row>
    <row r="132" spans="1:5">
      <c r="A132" s="66" t="str">
        <f t="shared" si="4"/>
        <v>Standard_H16mr_Windows</v>
      </c>
      <c r="B132" s="446" t="s">
        <v>382</v>
      </c>
      <c r="C132" s="41">
        <v>1.7829999999999999</v>
      </c>
      <c r="D132" s="68">
        <f t="shared" si="3"/>
        <v>1283.76</v>
      </c>
      <c r="E132" s="41" t="s">
        <v>194</v>
      </c>
    </row>
    <row r="133" spans="1:5">
      <c r="A133" s="66" t="str">
        <f t="shared" si="4"/>
        <v>Standard_H16mr_Windows</v>
      </c>
      <c r="B133" s="446" t="s">
        <v>382</v>
      </c>
      <c r="C133" s="41">
        <v>1.2050000000000001</v>
      </c>
      <c r="D133" s="68">
        <f t="shared" si="3"/>
        <v>867.6</v>
      </c>
      <c r="E133" s="41" t="s">
        <v>194</v>
      </c>
    </row>
    <row r="134" spans="1:5">
      <c r="A134" s="66" t="str">
        <f t="shared" si="4"/>
        <v>Standard_H16r_Windows</v>
      </c>
      <c r="B134" s="446" t="s">
        <v>383</v>
      </c>
      <c r="C134" s="41">
        <v>2.4169999999999998</v>
      </c>
      <c r="D134" s="68">
        <f t="shared" ref="D134:D197" si="5">C134*24*30</f>
        <v>1740.2399999999998</v>
      </c>
      <c r="E134" s="41" t="s">
        <v>194</v>
      </c>
    </row>
    <row r="135" spans="1:5">
      <c r="A135" s="66" t="str">
        <f t="shared" ref="A135:A198" si="6">IF(E135="Windows",_xlfn.CONCAT(B135,"_",E135),B135)</f>
        <v>Standard_H16r_Windows</v>
      </c>
      <c r="B135" s="446" t="s">
        <v>383</v>
      </c>
      <c r="C135" s="41">
        <v>1.331</v>
      </c>
      <c r="D135" s="68">
        <f t="shared" si="5"/>
        <v>958.31999999999994</v>
      </c>
      <c r="E135" s="41" t="s">
        <v>194</v>
      </c>
    </row>
    <row r="136" spans="1:5">
      <c r="A136" s="66" t="str">
        <f t="shared" si="6"/>
        <v>Standard_L4s_Windows</v>
      </c>
      <c r="B136" s="446" t="s">
        <v>384</v>
      </c>
      <c r="C136" s="41">
        <v>0.496</v>
      </c>
      <c r="D136" s="68">
        <f t="shared" si="5"/>
        <v>357.12</v>
      </c>
      <c r="E136" s="41" t="s">
        <v>194</v>
      </c>
    </row>
    <row r="137" spans="1:5">
      <c r="A137" s="66" t="str">
        <f t="shared" si="6"/>
        <v>Standard_L4s_Windows</v>
      </c>
      <c r="B137" s="446" t="s">
        <v>384</v>
      </c>
      <c r="C137" s="41">
        <v>0.38800000000000001</v>
      </c>
      <c r="D137" s="68">
        <f t="shared" si="5"/>
        <v>279.36</v>
      </c>
      <c r="E137" s="41" t="s">
        <v>194</v>
      </c>
    </row>
    <row r="138" spans="1:5">
      <c r="A138" s="66" t="str">
        <f t="shared" si="6"/>
        <v>Standard_L8s_Windows</v>
      </c>
      <c r="B138" s="446" t="s">
        <v>385</v>
      </c>
      <c r="C138" s="41">
        <v>0.99199999999999999</v>
      </c>
      <c r="D138" s="68">
        <f t="shared" si="5"/>
        <v>714.24</v>
      </c>
      <c r="E138" s="41" t="s">
        <v>194</v>
      </c>
    </row>
    <row r="139" spans="1:5">
      <c r="A139" s="66" t="str">
        <f t="shared" si="6"/>
        <v>Standard_L8s_Windows</v>
      </c>
      <c r="B139" s="446" t="s">
        <v>385</v>
      </c>
      <c r="C139" s="41">
        <v>0.77800000000000002</v>
      </c>
      <c r="D139" s="68">
        <f t="shared" si="5"/>
        <v>560.16</v>
      </c>
      <c r="E139" s="41" t="s">
        <v>194</v>
      </c>
    </row>
    <row r="140" spans="1:5">
      <c r="A140" s="66" t="str">
        <f t="shared" si="6"/>
        <v>Standard_L16s_Windows</v>
      </c>
      <c r="B140" s="446" t="s">
        <v>386</v>
      </c>
      <c r="C140" s="41">
        <v>1.984</v>
      </c>
      <c r="D140" s="68">
        <f t="shared" si="5"/>
        <v>1428.48</v>
      </c>
      <c r="E140" s="41" t="s">
        <v>194</v>
      </c>
    </row>
    <row r="141" spans="1:5">
      <c r="A141" s="66" t="str">
        <f t="shared" si="6"/>
        <v>Standard_L16s_Windows</v>
      </c>
      <c r="B141" s="446" t="s">
        <v>386</v>
      </c>
      <c r="C141" s="41">
        <v>1.556</v>
      </c>
      <c r="D141" s="68">
        <f t="shared" si="5"/>
        <v>1120.32</v>
      </c>
      <c r="E141" s="41" t="s">
        <v>194</v>
      </c>
    </row>
    <row r="142" spans="1:5">
      <c r="A142" s="66" t="str">
        <f t="shared" si="6"/>
        <v>Standard_L32s_Windows</v>
      </c>
      <c r="B142" s="446" t="s">
        <v>387</v>
      </c>
      <c r="C142" s="41">
        <v>3.968</v>
      </c>
      <c r="D142" s="68">
        <f t="shared" si="5"/>
        <v>2856.96</v>
      </c>
      <c r="E142" s="41" t="s">
        <v>194</v>
      </c>
    </row>
    <row r="143" spans="1:5">
      <c r="A143" s="66" t="str">
        <f t="shared" si="6"/>
        <v>Standard_L32s_Windows</v>
      </c>
      <c r="B143" s="446" t="s">
        <v>387</v>
      </c>
      <c r="C143" s="41">
        <v>3.1120000000000001</v>
      </c>
      <c r="D143" s="68">
        <f t="shared" si="5"/>
        <v>2240.64</v>
      </c>
      <c r="E143" s="41" t="s">
        <v>194</v>
      </c>
    </row>
    <row r="144" spans="1:5">
      <c r="A144" s="66" t="str">
        <f t="shared" si="6"/>
        <v>Standard_A0</v>
      </c>
      <c r="B144" s="446" t="s">
        <v>229</v>
      </c>
      <c r="C144" s="41">
        <v>0.02</v>
      </c>
      <c r="D144" s="68">
        <f t="shared" si="5"/>
        <v>14.399999999999999</v>
      </c>
      <c r="E144" s="41" t="s">
        <v>262</v>
      </c>
    </row>
    <row r="145" spans="1:5">
      <c r="A145" s="66" t="str">
        <f t="shared" si="6"/>
        <v>Standard_A1</v>
      </c>
      <c r="B145" s="446" t="s">
        <v>274</v>
      </c>
      <c r="C145" s="41">
        <v>0.06</v>
      </c>
      <c r="D145" s="68">
        <f t="shared" si="5"/>
        <v>43.199999999999996</v>
      </c>
      <c r="E145" s="41" t="s">
        <v>262</v>
      </c>
    </row>
    <row r="146" spans="1:5">
      <c r="A146" s="66" t="str">
        <f t="shared" si="6"/>
        <v>Standard_A1</v>
      </c>
      <c r="B146" s="446" t="s">
        <v>274</v>
      </c>
      <c r="C146" s="41">
        <v>0.01</v>
      </c>
      <c r="D146" s="68">
        <f t="shared" si="5"/>
        <v>7.1999999999999993</v>
      </c>
      <c r="E146" s="41" t="s">
        <v>262</v>
      </c>
    </row>
    <row r="147" spans="1:5">
      <c r="A147" s="66" t="str">
        <f t="shared" si="6"/>
        <v>Standard_A1</v>
      </c>
      <c r="B147" s="446" t="s">
        <v>274</v>
      </c>
      <c r="C147" s="41">
        <v>0.01</v>
      </c>
      <c r="D147" s="68">
        <f t="shared" si="5"/>
        <v>7.1999999999999993</v>
      </c>
      <c r="E147" s="41" t="s">
        <v>262</v>
      </c>
    </row>
    <row r="148" spans="1:5">
      <c r="A148" s="66" t="str">
        <f t="shared" si="6"/>
        <v>Standard_A2</v>
      </c>
      <c r="B148" s="446" t="s">
        <v>276</v>
      </c>
      <c r="C148" s="41">
        <v>0.02</v>
      </c>
      <c r="D148" s="68">
        <f t="shared" si="5"/>
        <v>14.399999999999999</v>
      </c>
      <c r="E148" s="41" t="s">
        <v>262</v>
      </c>
    </row>
    <row r="149" spans="1:5">
      <c r="A149" s="66" t="str">
        <f t="shared" si="6"/>
        <v>Standard_A2</v>
      </c>
      <c r="B149" s="446" t="s">
        <v>276</v>
      </c>
      <c r="C149" s="41">
        <v>0.02</v>
      </c>
      <c r="D149" s="68">
        <f t="shared" si="5"/>
        <v>14.399999999999999</v>
      </c>
      <c r="E149" s="41" t="s">
        <v>262</v>
      </c>
    </row>
    <row r="150" spans="1:5">
      <c r="A150" s="66" t="str">
        <f t="shared" si="6"/>
        <v>Standard_A3</v>
      </c>
      <c r="B150" s="446" t="s">
        <v>278</v>
      </c>
      <c r="C150" s="41">
        <v>0.20200000000000001</v>
      </c>
      <c r="D150" s="68">
        <f t="shared" si="5"/>
        <v>145.44000000000003</v>
      </c>
      <c r="E150" s="41" t="s">
        <v>262</v>
      </c>
    </row>
    <row r="151" spans="1:5">
      <c r="A151" s="66" t="str">
        <f t="shared" si="6"/>
        <v>Standard_A3</v>
      </c>
      <c r="B151" s="446" t="s">
        <v>278</v>
      </c>
      <c r="C151" s="41">
        <v>3.5999999999999997E-2</v>
      </c>
      <c r="D151" s="68">
        <f t="shared" si="5"/>
        <v>25.919999999999995</v>
      </c>
      <c r="E151" s="41" t="s">
        <v>262</v>
      </c>
    </row>
    <row r="152" spans="1:5">
      <c r="A152" s="66" t="str">
        <f t="shared" si="6"/>
        <v>Standard_A4</v>
      </c>
      <c r="B152" s="446" t="s">
        <v>280</v>
      </c>
      <c r="C152" s="41">
        <v>0.40500000000000003</v>
      </c>
      <c r="D152" s="68">
        <f t="shared" si="5"/>
        <v>291.60000000000002</v>
      </c>
      <c r="E152" s="41" t="s">
        <v>262</v>
      </c>
    </row>
    <row r="153" spans="1:5">
      <c r="A153" s="66" t="str">
        <f t="shared" si="6"/>
        <v>Standard_A4</v>
      </c>
      <c r="B153" s="446" t="s">
        <v>280</v>
      </c>
      <c r="C153" s="41">
        <v>4.8000000000000001E-2</v>
      </c>
      <c r="D153" s="68">
        <f t="shared" si="5"/>
        <v>34.56</v>
      </c>
      <c r="E153" s="41" t="s">
        <v>262</v>
      </c>
    </row>
    <row r="154" spans="1:5">
      <c r="A154" s="66" t="str">
        <f t="shared" si="6"/>
        <v>Standard_A5</v>
      </c>
      <c r="B154" s="432" t="s">
        <v>282</v>
      </c>
      <c r="C154" s="41">
        <v>0.25</v>
      </c>
      <c r="D154" s="68">
        <f t="shared" si="5"/>
        <v>180</v>
      </c>
      <c r="E154" s="41" t="s">
        <v>262</v>
      </c>
    </row>
    <row r="155" spans="1:5">
      <c r="A155" s="66" t="str">
        <f t="shared" si="6"/>
        <v>Standard_A5</v>
      </c>
      <c r="B155" s="432" t="s">
        <v>282</v>
      </c>
      <c r="C155" s="41">
        <v>0.22</v>
      </c>
      <c r="D155" s="68">
        <f t="shared" si="5"/>
        <v>158.4</v>
      </c>
      <c r="E155" s="41" t="s">
        <v>262</v>
      </c>
    </row>
    <row r="156" spans="1:5">
      <c r="A156" s="66" t="str">
        <f t="shared" si="6"/>
        <v>Standard_A5</v>
      </c>
      <c r="B156" s="432" t="s">
        <v>282</v>
      </c>
      <c r="C156" s="41">
        <v>0.04</v>
      </c>
      <c r="D156" s="68">
        <f t="shared" si="5"/>
        <v>28.799999999999997</v>
      </c>
      <c r="E156" s="41" t="s">
        <v>262</v>
      </c>
    </row>
    <row r="157" spans="1:5">
      <c r="A157" s="66" t="str">
        <f t="shared" si="6"/>
        <v>Standard_A6</v>
      </c>
      <c r="B157" s="432" t="s">
        <v>284</v>
      </c>
      <c r="C157" s="41">
        <v>0.5</v>
      </c>
      <c r="D157" s="68">
        <f t="shared" si="5"/>
        <v>360</v>
      </c>
      <c r="E157" s="41" t="s">
        <v>262</v>
      </c>
    </row>
    <row r="158" spans="1:5">
      <c r="A158" s="66" t="str">
        <f t="shared" si="6"/>
        <v>Standard_A6</v>
      </c>
      <c r="B158" s="432" t="s">
        <v>284</v>
      </c>
      <c r="C158" s="41">
        <v>0.44</v>
      </c>
      <c r="D158" s="68">
        <f t="shared" si="5"/>
        <v>316.8</v>
      </c>
      <c r="E158" s="41" t="s">
        <v>262</v>
      </c>
    </row>
    <row r="159" spans="1:5">
      <c r="A159" s="66" t="str">
        <f t="shared" si="6"/>
        <v>Standard_A6</v>
      </c>
      <c r="B159" s="432" t="s">
        <v>284</v>
      </c>
      <c r="C159" s="41">
        <v>7.0999999999999994E-2</v>
      </c>
      <c r="D159" s="68">
        <f t="shared" si="5"/>
        <v>51.11999999999999</v>
      </c>
      <c r="E159" s="41" t="s">
        <v>262</v>
      </c>
    </row>
    <row r="160" spans="1:5">
      <c r="A160" s="66" t="str">
        <f t="shared" si="6"/>
        <v>Standard_A7</v>
      </c>
      <c r="B160" s="432" t="s">
        <v>286</v>
      </c>
      <c r="C160" s="41">
        <v>1</v>
      </c>
      <c r="D160" s="68">
        <f t="shared" si="5"/>
        <v>720</v>
      </c>
      <c r="E160" s="41" t="s">
        <v>262</v>
      </c>
    </row>
    <row r="161" spans="1:5">
      <c r="A161" s="66" t="str">
        <f t="shared" si="6"/>
        <v>Standard_A7</v>
      </c>
      <c r="B161" s="432" t="s">
        <v>286</v>
      </c>
      <c r="C161" s="41">
        <v>0.17599999999999999</v>
      </c>
      <c r="D161" s="68">
        <f t="shared" si="5"/>
        <v>126.72</v>
      </c>
      <c r="E161" s="41" t="s">
        <v>262</v>
      </c>
    </row>
    <row r="162" spans="1:5">
      <c r="A162" s="66" t="str">
        <f t="shared" si="6"/>
        <v>Standard_A7</v>
      </c>
      <c r="B162" s="432" t="s">
        <v>286</v>
      </c>
      <c r="C162" s="41">
        <v>8.3000000000000004E-2</v>
      </c>
      <c r="D162" s="68">
        <f t="shared" si="5"/>
        <v>59.76</v>
      </c>
      <c r="E162" s="41" t="s">
        <v>262</v>
      </c>
    </row>
    <row r="163" spans="1:5">
      <c r="A163" s="66" t="str">
        <f t="shared" si="6"/>
        <v>Standard_A8</v>
      </c>
      <c r="B163" s="432" t="s">
        <v>288</v>
      </c>
      <c r="C163" s="41">
        <v>0.17499999999999999</v>
      </c>
      <c r="D163" s="68">
        <f t="shared" si="5"/>
        <v>125.99999999999997</v>
      </c>
      <c r="E163" s="41" t="s">
        <v>262</v>
      </c>
    </row>
    <row r="164" spans="1:5">
      <c r="A164" s="66" t="str">
        <f t="shared" si="6"/>
        <v>Standard_A9</v>
      </c>
      <c r="B164" s="432" t="s">
        <v>290</v>
      </c>
      <c r="C164" s="41">
        <v>0.35</v>
      </c>
      <c r="D164" s="68">
        <f t="shared" si="5"/>
        <v>251.99999999999994</v>
      </c>
      <c r="E164" s="41" t="s">
        <v>262</v>
      </c>
    </row>
    <row r="165" spans="1:5">
      <c r="A165" s="66" t="str">
        <f t="shared" si="6"/>
        <v>Standard_A10</v>
      </c>
      <c r="B165" s="432" t="s">
        <v>292</v>
      </c>
      <c r="C165" s="41">
        <v>0.14000000000000001</v>
      </c>
      <c r="D165" s="68">
        <f t="shared" si="5"/>
        <v>100.80000000000001</v>
      </c>
      <c r="E165" s="41" t="s">
        <v>262</v>
      </c>
    </row>
    <row r="166" spans="1:5">
      <c r="A166" s="66" t="str">
        <f t="shared" si="6"/>
        <v>Standard_A11</v>
      </c>
      <c r="B166" s="432" t="s">
        <v>294</v>
      </c>
      <c r="C166" s="41">
        <v>0.28000000000000003</v>
      </c>
      <c r="D166" s="68">
        <f t="shared" si="5"/>
        <v>201.60000000000002</v>
      </c>
      <c r="E166" s="41" t="s">
        <v>262</v>
      </c>
    </row>
    <row r="167" spans="1:5">
      <c r="A167" s="66" t="str">
        <f t="shared" si="6"/>
        <v>Standard_A1_v2</v>
      </c>
      <c r="B167" s="432" t="s">
        <v>296</v>
      </c>
      <c r="C167" s="41">
        <v>3.5999999999999997E-2</v>
      </c>
      <c r="D167" s="68">
        <f t="shared" si="5"/>
        <v>25.919999999999995</v>
      </c>
      <c r="E167" s="41" t="s">
        <v>262</v>
      </c>
    </row>
    <row r="168" spans="1:5">
      <c r="A168" s="66" t="str">
        <f t="shared" si="6"/>
        <v>Standard_A1_v2</v>
      </c>
      <c r="B168" s="432" t="s">
        <v>296</v>
      </c>
      <c r="C168" s="41">
        <v>7.0000000000000001E-3</v>
      </c>
      <c r="D168" s="68">
        <f t="shared" si="5"/>
        <v>5.04</v>
      </c>
      <c r="E168" s="41" t="s">
        <v>262</v>
      </c>
    </row>
    <row r="169" spans="1:5">
      <c r="A169" s="66" t="str">
        <f t="shared" si="6"/>
        <v>Standard_A2_v2</v>
      </c>
      <c r="B169" s="432" t="s">
        <v>298</v>
      </c>
      <c r="C169" s="41">
        <v>1.4999999999999999E-2</v>
      </c>
      <c r="D169" s="68">
        <f t="shared" si="5"/>
        <v>10.799999999999999</v>
      </c>
      <c r="E169" s="41" t="s">
        <v>262</v>
      </c>
    </row>
    <row r="170" spans="1:5">
      <c r="A170" s="66" t="str">
        <f t="shared" si="6"/>
        <v>Standard_A2_v2</v>
      </c>
      <c r="B170" s="432" t="s">
        <v>298</v>
      </c>
      <c r="C170" s="41">
        <v>1.4999999999999999E-2</v>
      </c>
      <c r="D170" s="68">
        <f t="shared" si="5"/>
        <v>10.799999999999999</v>
      </c>
      <c r="E170" s="41" t="s">
        <v>262</v>
      </c>
    </row>
    <row r="171" spans="1:5">
      <c r="A171" s="66" t="str">
        <f t="shared" si="6"/>
        <v>Standard_A4_v2</v>
      </c>
      <c r="B171" s="432" t="s">
        <v>300</v>
      </c>
      <c r="C171" s="41">
        <v>3.2000000000000001E-2</v>
      </c>
      <c r="D171" s="68">
        <f t="shared" si="5"/>
        <v>23.04</v>
      </c>
      <c r="E171" s="41" t="s">
        <v>262</v>
      </c>
    </row>
    <row r="172" spans="1:5">
      <c r="A172" s="66" t="str">
        <f t="shared" si="6"/>
        <v>Standard_A4_v2</v>
      </c>
      <c r="B172" s="432" t="s">
        <v>300</v>
      </c>
      <c r="C172" s="41">
        <v>3.2000000000000001E-2</v>
      </c>
      <c r="D172" s="68">
        <f t="shared" si="5"/>
        <v>23.04</v>
      </c>
      <c r="E172" s="41" t="s">
        <v>262</v>
      </c>
    </row>
    <row r="173" spans="1:5">
      <c r="A173" s="66" t="str">
        <f t="shared" si="6"/>
        <v>Standard_A8_v2</v>
      </c>
      <c r="B173" s="432" t="s">
        <v>302</v>
      </c>
      <c r="C173" s="41">
        <v>6.7000000000000004E-2</v>
      </c>
      <c r="D173" s="68">
        <f t="shared" si="5"/>
        <v>48.24</v>
      </c>
      <c r="E173" s="41" t="s">
        <v>262</v>
      </c>
    </row>
    <row r="174" spans="1:5">
      <c r="A174" s="66" t="str">
        <f t="shared" si="6"/>
        <v>Standard_A8_v2</v>
      </c>
      <c r="B174" s="432" t="s">
        <v>302</v>
      </c>
      <c r="C174" s="41">
        <v>6.7000000000000004E-2</v>
      </c>
      <c r="D174" s="68">
        <f t="shared" si="5"/>
        <v>48.24</v>
      </c>
      <c r="E174" s="41" t="s">
        <v>262</v>
      </c>
    </row>
    <row r="175" spans="1:5">
      <c r="A175" s="66" t="str">
        <f t="shared" si="6"/>
        <v>Standard_A2m_v2</v>
      </c>
      <c r="B175" s="432" t="s">
        <v>304</v>
      </c>
      <c r="C175" s="41">
        <v>0.02</v>
      </c>
      <c r="D175" s="68">
        <f t="shared" si="5"/>
        <v>14.399999999999999</v>
      </c>
      <c r="E175" s="41" t="s">
        <v>262</v>
      </c>
    </row>
    <row r="176" spans="1:5">
      <c r="A176" s="66" t="str">
        <f t="shared" si="6"/>
        <v>Standard_A2m_v2</v>
      </c>
      <c r="B176" s="432" t="s">
        <v>304</v>
      </c>
      <c r="C176" s="41">
        <v>0.02</v>
      </c>
      <c r="D176" s="68">
        <f t="shared" si="5"/>
        <v>14.399999999999999</v>
      </c>
      <c r="E176" s="41" t="s">
        <v>262</v>
      </c>
    </row>
    <row r="177" spans="1:5">
      <c r="A177" s="66" t="str">
        <f t="shared" si="6"/>
        <v>Standard_A4m_v2</v>
      </c>
      <c r="B177" s="432" t="s">
        <v>306</v>
      </c>
      <c r="C177" s="41">
        <v>4.2000000000000003E-2</v>
      </c>
      <c r="D177" s="68">
        <f t="shared" si="5"/>
        <v>30.240000000000002</v>
      </c>
      <c r="E177" s="41" t="s">
        <v>262</v>
      </c>
    </row>
    <row r="178" spans="1:5">
      <c r="A178" s="66" t="str">
        <f t="shared" si="6"/>
        <v>Standard_A4m_v2</v>
      </c>
      <c r="B178" s="432" t="s">
        <v>306</v>
      </c>
      <c r="C178" s="41">
        <v>4.2000000000000003E-2</v>
      </c>
      <c r="D178" s="68">
        <f t="shared" si="5"/>
        <v>30.240000000000002</v>
      </c>
      <c r="E178" s="41" t="s">
        <v>262</v>
      </c>
    </row>
    <row r="179" spans="1:5">
      <c r="A179" s="66" t="str">
        <f t="shared" si="6"/>
        <v>Standard_A8m_v2</v>
      </c>
      <c r="B179" s="432" t="s">
        <v>308</v>
      </c>
      <c r="C179" s="41">
        <v>8.6999999999999994E-2</v>
      </c>
      <c r="D179" s="68">
        <f t="shared" si="5"/>
        <v>62.64</v>
      </c>
      <c r="E179" s="41" t="s">
        <v>262</v>
      </c>
    </row>
    <row r="180" spans="1:5">
      <c r="A180" s="66" t="str">
        <f t="shared" si="6"/>
        <v>Standard_A8m_v2</v>
      </c>
      <c r="B180" s="432" t="s">
        <v>308</v>
      </c>
      <c r="C180" s="41">
        <v>8.6999999999999994E-2</v>
      </c>
      <c r="D180" s="68">
        <f t="shared" si="5"/>
        <v>62.64</v>
      </c>
      <c r="E180" s="41" t="s">
        <v>262</v>
      </c>
    </row>
    <row r="181" spans="1:5">
      <c r="A181" s="66" t="str">
        <f t="shared" si="6"/>
        <v>Standard_D1</v>
      </c>
      <c r="B181" s="432" t="s">
        <v>310</v>
      </c>
      <c r="C181" s="41">
        <v>1.2999999999999999E-2</v>
      </c>
      <c r="D181" s="68">
        <f t="shared" si="5"/>
        <v>9.36</v>
      </c>
      <c r="E181" s="41" t="s">
        <v>262</v>
      </c>
    </row>
    <row r="182" spans="1:5">
      <c r="A182" s="66" t="str">
        <f t="shared" si="6"/>
        <v>Standard_D2</v>
      </c>
      <c r="B182" s="432" t="s">
        <v>312</v>
      </c>
      <c r="C182" s="41">
        <v>2.7E-2</v>
      </c>
      <c r="D182" s="68">
        <f t="shared" si="5"/>
        <v>19.440000000000001</v>
      </c>
      <c r="E182" s="41" t="s">
        <v>262</v>
      </c>
    </row>
    <row r="183" spans="1:5">
      <c r="A183" s="66" t="str">
        <f t="shared" si="6"/>
        <v>Standard_D3</v>
      </c>
      <c r="B183" s="432" t="s">
        <v>172</v>
      </c>
      <c r="C183" s="41">
        <v>5.3999999999999999E-2</v>
      </c>
      <c r="D183" s="68">
        <f t="shared" si="5"/>
        <v>38.880000000000003</v>
      </c>
      <c r="E183" s="41" t="s">
        <v>262</v>
      </c>
    </row>
    <row r="184" spans="1:5">
      <c r="A184" s="66" t="str">
        <f t="shared" si="6"/>
        <v>Standard_D4</v>
      </c>
      <c r="B184" s="432" t="s">
        <v>315</v>
      </c>
      <c r="C184" s="41">
        <v>0.107</v>
      </c>
      <c r="D184" s="68">
        <f t="shared" si="5"/>
        <v>77.040000000000006</v>
      </c>
      <c r="E184" s="41" t="s">
        <v>262</v>
      </c>
    </row>
    <row r="185" spans="1:5">
      <c r="A185" s="66" t="str">
        <f t="shared" si="6"/>
        <v>Standard_D11</v>
      </c>
      <c r="B185" s="432" t="s">
        <v>317</v>
      </c>
      <c r="C185" s="41">
        <v>3.5000000000000003E-2</v>
      </c>
      <c r="D185" s="68">
        <f t="shared" si="5"/>
        <v>25.200000000000003</v>
      </c>
      <c r="E185" s="41" t="s">
        <v>262</v>
      </c>
    </row>
    <row r="186" spans="1:5">
      <c r="A186" s="66" t="str">
        <f t="shared" si="6"/>
        <v>Standard_D12</v>
      </c>
      <c r="B186" s="432" t="s">
        <v>319</v>
      </c>
      <c r="C186" s="41">
        <v>7.0000000000000007E-2</v>
      </c>
      <c r="D186" s="68">
        <f t="shared" si="5"/>
        <v>50.400000000000006</v>
      </c>
      <c r="E186" s="41" t="s">
        <v>262</v>
      </c>
    </row>
    <row r="187" spans="1:5">
      <c r="A187" s="66" t="str">
        <f t="shared" si="6"/>
        <v>Standard_D13</v>
      </c>
      <c r="B187" s="432" t="s">
        <v>321</v>
      </c>
      <c r="C187" s="41">
        <v>0.14000000000000001</v>
      </c>
      <c r="D187" s="68">
        <f t="shared" si="5"/>
        <v>100.80000000000001</v>
      </c>
      <c r="E187" s="41" t="s">
        <v>262</v>
      </c>
    </row>
    <row r="188" spans="1:5">
      <c r="A188" s="66" t="str">
        <f t="shared" si="6"/>
        <v>Standard_D14</v>
      </c>
      <c r="B188" s="432" t="s">
        <v>323</v>
      </c>
      <c r="C188" s="41">
        <v>0.27700000000000002</v>
      </c>
      <c r="D188" s="68">
        <f t="shared" si="5"/>
        <v>199.44000000000003</v>
      </c>
      <c r="E188" s="41" t="s">
        <v>262</v>
      </c>
    </row>
    <row r="189" spans="1:5">
      <c r="A189" s="66" t="str">
        <f t="shared" si="6"/>
        <v>Standard_D1_v2</v>
      </c>
      <c r="B189" s="432" t="s">
        <v>338</v>
      </c>
      <c r="C189" s="41">
        <v>5.7000000000000002E-2</v>
      </c>
      <c r="D189" s="68">
        <f t="shared" si="5"/>
        <v>41.040000000000006</v>
      </c>
      <c r="E189" s="41" t="s">
        <v>262</v>
      </c>
    </row>
    <row r="190" spans="1:5">
      <c r="A190" s="66" t="str">
        <f t="shared" si="6"/>
        <v>Standard_D1_v2</v>
      </c>
      <c r="B190" s="432" t="s">
        <v>338</v>
      </c>
      <c r="C190" s="41">
        <v>1.0999999999999999E-2</v>
      </c>
      <c r="D190" s="68">
        <f t="shared" si="5"/>
        <v>7.92</v>
      </c>
      <c r="E190" s="41" t="s">
        <v>262</v>
      </c>
    </row>
    <row r="191" spans="1:5">
      <c r="A191" s="66" t="str">
        <f t="shared" si="6"/>
        <v>Standard_D2_v2</v>
      </c>
      <c r="B191" s="432" t="s">
        <v>339</v>
      </c>
      <c r="C191" s="41">
        <v>0.114</v>
      </c>
      <c r="D191" s="68">
        <f t="shared" si="5"/>
        <v>82.080000000000013</v>
      </c>
      <c r="E191" s="41" t="s">
        <v>262</v>
      </c>
    </row>
    <row r="192" spans="1:5">
      <c r="A192" s="66" t="str">
        <f t="shared" si="6"/>
        <v>Standard_D2_v2</v>
      </c>
      <c r="B192" s="432" t="s">
        <v>339</v>
      </c>
      <c r="C192" s="41">
        <v>2.3E-2</v>
      </c>
      <c r="D192" s="68">
        <f t="shared" si="5"/>
        <v>16.560000000000002</v>
      </c>
      <c r="E192" s="41" t="s">
        <v>262</v>
      </c>
    </row>
    <row r="193" spans="1:5">
      <c r="A193" s="66" t="str">
        <f t="shared" si="6"/>
        <v>Standard_D3_v2</v>
      </c>
      <c r="B193" s="432" t="s">
        <v>340</v>
      </c>
      <c r="C193" s="41">
        <v>4.5999999999999999E-2</v>
      </c>
      <c r="D193" s="68">
        <f t="shared" si="5"/>
        <v>33.120000000000005</v>
      </c>
      <c r="E193" s="41" t="s">
        <v>262</v>
      </c>
    </row>
    <row r="194" spans="1:5">
      <c r="A194" s="66" t="str">
        <f t="shared" si="6"/>
        <v>Standard_D3_v2</v>
      </c>
      <c r="B194" s="432" t="s">
        <v>340</v>
      </c>
      <c r="C194" s="41">
        <v>4.5999999999999999E-2</v>
      </c>
      <c r="D194" s="68">
        <f t="shared" si="5"/>
        <v>33.120000000000005</v>
      </c>
      <c r="E194" s="41" t="s">
        <v>262</v>
      </c>
    </row>
    <row r="195" spans="1:5">
      <c r="A195" s="66" t="str">
        <f t="shared" si="6"/>
        <v>Standard_D4_v2</v>
      </c>
      <c r="B195" s="432" t="s">
        <v>341</v>
      </c>
      <c r="C195" s="41">
        <v>9.1999999999999998E-2</v>
      </c>
      <c r="D195" s="68">
        <f t="shared" si="5"/>
        <v>66.240000000000009</v>
      </c>
      <c r="E195" s="41" t="s">
        <v>262</v>
      </c>
    </row>
    <row r="196" spans="1:5">
      <c r="A196" s="66" t="str">
        <f t="shared" si="6"/>
        <v>Standard_D4_v2</v>
      </c>
      <c r="B196" s="432" t="s">
        <v>341</v>
      </c>
      <c r="C196" s="41">
        <v>9.1999999999999998E-2</v>
      </c>
      <c r="D196" s="68">
        <f t="shared" si="5"/>
        <v>66.240000000000009</v>
      </c>
      <c r="E196" s="41" t="s">
        <v>262</v>
      </c>
    </row>
    <row r="197" spans="1:5">
      <c r="A197" s="66" t="str">
        <f t="shared" si="6"/>
        <v>Standard_D5_v2</v>
      </c>
      <c r="B197" s="432" t="s">
        <v>342</v>
      </c>
      <c r="C197" s="41">
        <v>0.183</v>
      </c>
      <c r="D197" s="68">
        <f t="shared" si="5"/>
        <v>131.76</v>
      </c>
      <c r="E197" s="41" t="s">
        <v>262</v>
      </c>
    </row>
    <row r="198" spans="1:5">
      <c r="A198" s="66" t="str">
        <f t="shared" si="6"/>
        <v>Standard_D5_v2</v>
      </c>
      <c r="B198" s="432" t="s">
        <v>342</v>
      </c>
      <c r="C198" s="41">
        <v>0.183</v>
      </c>
      <c r="D198" s="68">
        <f t="shared" ref="D198:D261" si="7">C198*24*30</f>
        <v>131.76</v>
      </c>
      <c r="E198" s="41" t="s">
        <v>262</v>
      </c>
    </row>
    <row r="199" spans="1:5">
      <c r="A199" s="66" t="str">
        <f t="shared" ref="A199:A262" si="8">IF(E199="Windows",_xlfn.CONCAT(B199,"_",E199),B199)</f>
        <v>Standard_D11_v2</v>
      </c>
      <c r="B199" s="432" t="s">
        <v>343</v>
      </c>
      <c r="C199" s="41">
        <v>0.14899999999999999</v>
      </c>
      <c r="D199" s="68">
        <f t="shared" si="7"/>
        <v>107.27999999999999</v>
      </c>
      <c r="E199" s="41" t="s">
        <v>262</v>
      </c>
    </row>
    <row r="200" spans="1:5">
      <c r="A200" s="66" t="str">
        <f t="shared" si="8"/>
        <v>Standard_D11_v2</v>
      </c>
      <c r="B200" s="432" t="s">
        <v>343</v>
      </c>
      <c r="C200" s="41">
        <v>0.03</v>
      </c>
      <c r="D200" s="68">
        <f t="shared" si="7"/>
        <v>21.599999999999998</v>
      </c>
      <c r="E200" s="41" t="s">
        <v>262</v>
      </c>
    </row>
    <row r="201" spans="1:5">
      <c r="A201" s="66" t="str">
        <f t="shared" si="8"/>
        <v>Standard_D12_v2</v>
      </c>
      <c r="B201" s="41" t="s">
        <v>344</v>
      </c>
      <c r="C201" s="41">
        <v>0.06</v>
      </c>
      <c r="D201" s="68">
        <f t="shared" si="7"/>
        <v>43.199999999999996</v>
      </c>
      <c r="E201" s="41" t="s">
        <v>262</v>
      </c>
    </row>
    <row r="202" spans="1:5">
      <c r="A202" s="66" t="str">
        <f t="shared" si="8"/>
        <v>Standard_D12_v2</v>
      </c>
      <c r="B202" s="41" t="s">
        <v>344</v>
      </c>
      <c r="C202" s="41">
        <v>0.06</v>
      </c>
      <c r="D202" s="68">
        <f t="shared" si="7"/>
        <v>43.199999999999996</v>
      </c>
      <c r="E202" s="41" t="s">
        <v>262</v>
      </c>
    </row>
    <row r="203" spans="1:5">
      <c r="A203" s="66" t="str">
        <f t="shared" si="8"/>
        <v>Standard_D13_v2</v>
      </c>
      <c r="B203" s="41" t="s">
        <v>345</v>
      </c>
      <c r="C203" s="41">
        <v>0.12</v>
      </c>
      <c r="D203" s="68">
        <f t="shared" si="7"/>
        <v>86.399999999999991</v>
      </c>
      <c r="E203" s="41" t="s">
        <v>262</v>
      </c>
    </row>
    <row r="204" spans="1:5">
      <c r="A204" s="66" t="str">
        <f t="shared" si="8"/>
        <v>Standard_D13_v2</v>
      </c>
      <c r="B204" s="41" t="s">
        <v>345</v>
      </c>
      <c r="C204" s="41">
        <v>0.12</v>
      </c>
      <c r="D204" s="68">
        <f t="shared" si="7"/>
        <v>86.399999999999991</v>
      </c>
      <c r="E204" s="41" t="s">
        <v>262</v>
      </c>
    </row>
    <row r="205" spans="1:5">
      <c r="A205" s="66" t="str">
        <f t="shared" si="8"/>
        <v>Standard_D14_v2</v>
      </c>
      <c r="B205" s="41" t="s">
        <v>346</v>
      </c>
      <c r="C205" s="41">
        <v>1.1970000000000001</v>
      </c>
      <c r="D205" s="68">
        <f t="shared" si="7"/>
        <v>861.84</v>
      </c>
      <c r="E205" s="41" t="s">
        <v>262</v>
      </c>
    </row>
    <row r="206" spans="1:5">
      <c r="A206" s="66" t="str">
        <f t="shared" si="8"/>
        <v>Standard_D14_v2</v>
      </c>
      <c r="B206" s="41" t="s">
        <v>346</v>
      </c>
      <c r="C206" s="41">
        <v>0.23899999999999999</v>
      </c>
      <c r="D206" s="68">
        <f t="shared" si="7"/>
        <v>172.07999999999998</v>
      </c>
      <c r="E206" s="41" t="s">
        <v>262</v>
      </c>
    </row>
    <row r="207" spans="1:5">
      <c r="A207" s="66" t="str">
        <f t="shared" si="8"/>
        <v>Standard_D15_v2</v>
      </c>
      <c r="B207" s="41" t="s">
        <v>347</v>
      </c>
      <c r="C207" s="41">
        <v>1.663</v>
      </c>
      <c r="D207" s="68">
        <f t="shared" si="7"/>
        <v>1197.3599999999999</v>
      </c>
      <c r="E207" s="41" t="s">
        <v>262</v>
      </c>
    </row>
    <row r="208" spans="1:5">
      <c r="A208" s="66" t="str">
        <f t="shared" si="8"/>
        <v>Standard_D15_v2</v>
      </c>
      <c r="B208" s="41" t="s">
        <v>347</v>
      </c>
      <c r="C208" s="41">
        <v>1.4970000000000001</v>
      </c>
      <c r="D208" s="68">
        <f t="shared" si="7"/>
        <v>1077.8400000000001</v>
      </c>
      <c r="E208" s="41" t="s">
        <v>262</v>
      </c>
    </row>
    <row r="209" spans="1:5">
      <c r="A209" s="66" t="str">
        <f t="shared" si="8"/>
        <v>Standard_D15_v2</v>
      </c>
      <c r="B209" s="41" t="s">
        <v>347</v>
      </c>
      <c r="C209" s="41">
        <v>0.29899999999999999</v>
      </c>
      <c r="D209" s="68">
        <f t="shared" si="7"/>
        <v>215.28</v>
      </c>
      <c r="E209" s="41" t="s">
        <v>262</v>
      </c>
    </row>
    <row r="210" spans="1:5">
      <c r="A210" s="66" t="str">
        <f t="shared" si="8"/>
        <v>Standard_DS1_v2</v>
      </c>
      <c r="B210" s="41" t="s">
        <v>348</v>
      </c>
      <c r="C210" s="41">
        <v>5.7000000000000002E-2</v>
      </c>
      <c r="D210" s="68">
        <f t="shared" si="7"/>
        <v>41.040000000000006</v>
      </c>
      <c r="E210" s="41" t="s">
        <v>262</v>
      </c>
    </row>
    <row r="211" spans="1:5">
      <c r="A211" s="66" t="str">
        <f t="shared" si="8"/>
        <v>Standard_DS2_v2</v>
      </c>
      <c r="B211" s="41" t="s">
        <v>349</v>
      </c>
      <c r="C211" s="41">
        <v>0.114</v>
      </c>
      <c r="D211" s="68">
        <f t="shared" si="7"/>
        <v>82.080000000000013</v>
      </c>
      <c r="E211" s="41" t="s">
        <v>262</v>
      </c>
    </row>
    <row r="212" spans="1:5">
      <c r="A212" s="66" t="str">
        <f t="shared" si="8"/>
        <v>Standard_DS3_v2</v>
      </c>
      <c r="B212" s="41" t="s">
        <v>350</v>
      </c>
      <c r="C212" s="41">
        <v>4.5999999999999999E-2</v>
      </c>
      <c r="D212" s="68">
        <f t="shared" si="7"/>
        <v>33.120000000000005</v>
      </c>
      <c r="E212" s="41" t="s">
        <v>262</v>
      </c>
    </row>
    <row r="213" spans="1:5">
      <c r="A213" s="66" t="str">
        <f t="shared" si="8"/>
        <v>Standard_DS4_v2</v>
      </c>
      <c r="B213" s="41" t="s">
        <v>351</v>
      </c>
      <c r="C213" s="41">
        <v>9.1999999999999998E-2</v>
      </c>
      <c r="D213" s="68">
        <f t="shared" si="7"/>
        <v>66.240000000000009</v>
      </c>
      <c r="E213" s="41" t="s">
        <v>262</v>
      </c>
    </row>
    <row r="214" spans="1:5">
      <c r="A214" s="66" t="str">
        <f t="shared" si="8"/>
        <v>Standard_DS5_v2</v>
      </c>
      <c r="B214" s="41" t="s">
        <v>352</v>
      </c>
      <c r="C214" s="41">
        <v>0.183</v>
      </c>
      <c r="D214" s="68">
        <f t="shared" si="7"/>
        <v>131.76</v>
      </c>
      <c r="E214" s="41" t="s">
        <v>262</v>
      </c>
    </row>
    <row r="215" spans="1:5">
      <c r="A215" s="66" t="str">
        <f t="shared" si="8"/>
        <v>Standard_DS11_v2</v>
      </c>
      <c r="B215" s="41" t="s">
        <v>353</v>
      </c>
      <c r="C215" s="41">
        <v>0.14899999999999999</v>
      </c>
      <c r="D215" s="68">
        <f t="shared" si="7"/>
        <v>107.27999999999999</v>
      </c>
      <c r="E215" s="41" t="s">
        <v>262</v>
      </c>
    </row>
    <row r="216" spans="1:5">
      <c r="A216" s="66" t="str">
        <f t="shared" si="8"/>
        <v>Standard_DS12_v2</v>
      </c>
      <c r="B216" s="41" t="s">
        <v>354</v>
      </c>
      <c r="C216" s="41">
        <v>0.06</v>
      </c>
      <c r="D216" s="68">
        <f t="shared" si="7"/>
        <v>43.199999999999996</v>
      </c>
      <c r="E216" s="41" t="s">
        <v>262</v>
      </c>
    </row>
    <row r="217" spans="1:5">
      <c r="A217" s="66" t="str">
        <f t="shared" si="8"/>
        <v>Standard_DS13_v2</v>
      </c>
      <c r="B217" s="41" t="s">
        <v>355</v>
      </c>
      <c r="C217" s="41">
        <v>0.12</v>
      </c>
      <c r="D217" s="68">
        <f t="shared" si="7"/>
        <v>86.399999999999991</v>
      </c>
      <c r="E217" s="41" t="s">
        <v>262</v>
      </c>
    </row>
    <row r="218" spans="1:5">
      <c r="A218" s="66" t="str">
        <f t="shared" si="8"/>
        <v>Standard_DS14_v2</v>
      </c>
      <c r="B218" s="41" t="s">
        <v>356</v>
      </c>
      <c r="C218" s="41">
        <v>1.1970000000000001</v>
      </c>
      <c r="D218" s="68">
        <f t="shared" si="7"/>
        <v>861.84</v>
      </c>
      <c r="E218" s="41" t="s">
        <v>262</v>
      </c>
    </row>
    <row r="219" spans="1:5">
      <c r="A219" s="66" t="str">
        <f t="shared" si="8"/>
        <v>Standard_DS15_v2</v>
      </c>
      <c r="B219" s="41" t="s">
        <v>357</v>
      </c>
      <c r="C219" s="41">
        <v>1.4970000000000001</v>
      </c>
      <c r="D219" s="68">
        <f t="shared" si="7"/>
        <v>1077.8400000000001</v>
      </c>
      <c r="E219" s="41" t="s">
        <v>262</v>
      </c>
    </row>
    <row r="220" spans="1:5">
      <c r="A220" s="66" t="str">
        <f t="shared" si="8"/>
        <v>Standard_F1</v>
      </c>
      <c r="B220" s="41" t="s">
        <v>358</v>
      </c>
      <c r="C220" s="41">
        <v>0.01</v>
      </c>
      <c r="D220" s="68">
        <f t="shared" si="7"/>
        <v>7.1999999999999993</v>
      </c>
      <c r="E220" s="41" t="s">
        <v>262</v>
      </c>
    </row>
    <row r="221" spans="1:5">
      <c r="A221" s="66" t="str">
        <f t="shared" si="8"/>
        <v>Standard_F1</v>
      </c>
      <c r="B221" s="41" t="s">
        <v>358</v>
      </c>
      <c r="C221" s="41">
        <v>0.01</v>
      </c>
      <c r="D221" s="68">
        <f t="shared" si="7"/>
        <v>7.1999999999999993</v>
      </c>
      <c r="E221" s="41" t="s">
        <v>262</v>
      </c>
    </row>
    <row r="222" spans="1:5">
      <c r="A222" s="66" t="str">
        <f t="shared" si="8"/>
        <v>Standard_F2</v>
      </c>
      <c r="B222" s="41" t="s">
        <v>359</v>
      </c>
      <c r="C222" s="41">
        <v>0.02</v>
      </c>
      <c r="D222" s="68">
        <f t="shared" si="7"/>
        <v>14.399999999999999</v>
      </c>
      <c r="E222" s="41" t="s">
        <v>262</v>
      </c>
    </row>
    <row r="223" spans="1:5">
      <c r="A223" s="66" t="str">
        <f t="shared" si="8"/>
        <v>Standard_F2</v>
      </c>
      <c r="B223" s="41" t="s">
        <v>359</v>
      </c>
      <c r="C223" s="41">
        <v>0.02</v>
      </c>
      <c r="D223" s="68">
        <f t="shared" si="7"/>
        <v>14.399999999999999</v>
      </c>
      <c r="E223" s="41" t="s">
        <v>262</v>
      </c>
    </row>
    <row r="224" spans="1:5">
      <c r="A224" s="66" t="str">
        <f t="shared" si="8"/>
        <v>Standard_F4</v>
      </c>
      <c r="B224" s="41" t="s">
        <v>360</v>
      </c>
      <c r="C224" s="41">
        <v>0.04</v>
      </c>
      <c r="D224" s="68">
        <f t="shared" si="7"/>
        <v>28.799999999999997</v>
      </c>
      <c r="E224" s="41" t="s">
        <v>262</v>
      </c>
    </row>
    <row r="225" spans="1:5">
      <c r="A225" s="66" t="str">
        <f t="shared" si="8"/>
        <v>Standard_F4</v>
      </c>
      <c r="B225" s="41" t="s">
        <v>360</v>
      </c>
      <c r="C225" s="41">
        <v>0.04</v>
      </c>
      <c r="D225" s="68">
        <f t="shared" si="7"/>
        <v>28.799999999999997</v>
      </c>
      <c r="E225" s="41" t="s">
        <v>262</v>
      </c>
    </row>
    <row r="226" spans="1:5">
      <c r="A226" s="66" t="str">
        <f t="shared" si="8"/>
        <v>Standard_F8</v>
      </c>
      <c r="B226" s="41" t="s">
        <v>361</v>
      </c>
      <c r="C226" s="41">
        <v>0.39800000000000002</v>
      </c>
      <c r="D226" s="68">
        <f t="shared" si="7"/>
        <v>286.56</v>
      </c>
      <c r="E226" s="41" t="s">
        <v>262</v>
      </c>
    </row>
    <row r="227" spans="1:5">
      <c r="A227" s="66" t="str">
        <f t="shared" si="8"/>
        <v>Standard_F8</v>
      </c>
      <c r="B227" s="41" t="s">
        <v>361</v>
      </c>
      <c r="C227" s="41">
        <v>0.08</v>
      </c>
      <c r="D227" s="68">
        <f t="shared" si="7"/>
        <v>57.599999999999994</v>
      </c>
      <c r="E227" s="41" t="s">
        <v>262</v>
      </c>
    </row>
    <row r="228" spans="1:5">
      <c r="A228" s="66" t="str">
        <f t="shared" si="8"/>
        <v>Standard_F16</v>
      </c>
      <c r="B228" s="41" t="s">
        <v>362</v>
      </c>
      <c r="C228" s="41">
        <v>0.79600000000000004</v>
      </c>
      <c r="D228" s="68">
        <f t="shared" si="7"/>
        <v>573.12</v>
      </c>
      <c r="E228" s="41" t="s">
        <v>262</v>
      </c>
    </row>
    <row r="229" spans="1:5">
      <c r="A229" s="66" t="str">
        <f t="shared" si="8"/>
        <v>Standard_F16</v>
      </c>
      <c r="B229" s="41" t="s">
        <v>362</v>
      </c>
      <c r="C229" s="41">
        <v>0.16</v>
      </c>
      <c r="D229" s="68">
        <f t="shared" si="7"/>
        <v>115.19999999999999</v>
      </c>
      <c r="E229" s="41" t="s">
        <v>262</v>
      </c>
    </row>
    <row r="230" spans="1:5">
      <c r="A230" s="66" t="str">
        <f t="shared" si="8"/>
        <v>Standard_F1s</v>
      </c>
      <c r="B230" s="41" t="s">
        <v>363</v>
      </c>
      <c r="C230" s="41">
        <v>0.01</v>
      </c>
      <c r="D230" s="68">
        <f t="shared" si="7"/>
        <v>7.1999999999999993</v>
      </c>
      <c r="E230" s="41" t="s">
        <v>262</v>
      </c>
    </row>
    <row r="231" spans="1:5">
      <c r="A231" s="66" t="str">
        <f t="shared" si="8"/>
        <v>Standard_F2s</v>
      </c>
      <c r="B231" s="41" t="s">
        <v>364</v>
      </c>
      <c r="C231" s="41">
        <v>0.02</v>
      </c>
      <c r="D231" s="68">
        <f t="shared" si="7"/>
        <v>14.399999999999999</v>
      </c>
      <c r="E231" s="41" t="s">
        <v>262</v>
      </c>
    </row>
    <row r="232" spans="1:5">
      <c r="A232" s="66" t="str">
        <f t="shared" si="8"/>
        <v>Standard_F4s</v>
      </c>
      <c r="B232" s="41" t="s">
        <v>365</v>
      </c>
      <c r="C232" s="41">
        <v>0.04</v>
      </c>
      <c r="D232" s="68">
        <f t="shared" si="7"/>
        <v>28.799999999999997</v>
      </c>
      <c r="E232" s="41" t="s">
        <v>262</v>
      </c>
    </row>
    <row r="233" spans="1:5">
      <c r="A233" s="66" t="str">
        <f t="shared" si="8"/>
        <v>Standard_F8s</v>
      </c>
      <c r="B233" s="41" t="s">
        <v>366</v>
      </c>
      <c r="C233" s="41">
        <v>0.39800000000000002</v>
      </c>
      <c r="D233" s="68">
        <f t="shared" si="7"/>
        <v>286.56</v>
      </c>
      <c r="E233" s="41" t="s">
        <v>262</v>
      </c>
    </row>
    <row r="234" spans="1:5">
      <c r="A234" s="66" t="str">
        <f t="shared" si="8"/>
        <v>Standard_F16s</v>
      </c>
      <c r="B234" s="41" t="s">
        <v>367</v>
      </c>
      <c r="C234" s="41">
        <v>0.79600000000000004</v>
      </c>
      <c r="D234" s="68">
        <f t="shared" si="7"/>
        <v>573.12</v>
      </c>
      <c r="E234" s="41" t="s">
        <v>262</v>
      </c>
    </row>
    <row r="235" spans="1:5">
      <c r="A235" s="66" t="str">
        <f t="shared" si="8"/>
        <v>Standard_G1</v>
      </c>
      <c r="B235" s="41" t="s">
        <v>368</v>
      </c>
      <c r="C235" s="41">
        <v>0.49</v>
      </c>
      <c r="D235" s="68">
        <f t="shared" si="7"/>
        <v>352.8</v>
      </c>
      <c r="E235" s="41" t="s">
        <v>262</v>
      </c>
    </row>
    <row r="236" spans="1:5">
      <c r="A236" s="66" t="str">
        <f t="shared" si="8"/>
        <v>Standard_G1</v>
      </c>
      <c r="B236" s="41" t="s">
        <v>368</v>
      </c>
      <c r="C236" s="41">
        <v>9.8000000000000004E-2</v>
      </c>
      <c r="D236" s="68">
        <f t="shared" si="7"/>
        <v>70.56</v>
      </c>
      <c r="E236" s="41" t="s">
        <v>262</v>
      </c>
    </row>
    <row r="237" spans="1:5">
      <c r="A237" s="66" t="str">
        <f t="shared" si="8"/>
        <v>Standard_G2</v>
      </c>
      <c r="B237" s="41" t="s">
        <v>369</v>
      </c>
      <c r="C237" s="41">
        <v>0.19600000000000001</v>
      </c>
      <c r="D237" s="68">
        <f t="shared" si="7"/>
        <v>141.12</v>
      </c>
      <c r="E237" s="41" t="s">
        <v>262</v>
      </c>
    </row>
    <row r="238" spans="1:5">
      <c r="A238" s="66" t="str">
        <f t="shared" si="8"/>
        <v>Standard_G2</v>
      </c>
      <c r="B238" s="41" t="s">
        <v>369</v>
      </c>
      <c r="C238" s="41">
        <v>0.19600000000000001</v>
      </c>
      <c r="D238" s="68">
        <f t="shared" si="7"/>
        <v>141.12</v>
      </c>
      <c r="E238" s="41" t="s">
        <v>262</v>
      </c>
    </row>
    <row r="239" spans="1:5">
      <c r="A239" s="66" t="str">
        <f t="shared" si="8"/>
        <v>Standard_G3</v>
      </c>
      <c r="B239" s="41" t="s">
        <v>370</v>
      </c>
      <c r="C239" s="41">
        <v>0.39200000000000002</v>
      </c>
      <c r="D239" s="68">
        <f t="shared" si="7"/>
        <v>282.24</v>
      </c>
      <c r="E239" s="41" t="s">
        <v>262</v>
      </c>
    </row>
    <row r="240" spans="1:5">
      <c r="A240" s="66" t="str">
        <f t="shared" si="8"/>
        <v>Standard_G3</v>
      </c>
      <c r="B240" s="41" t="s">
        <v>370</v>
      </c>
      <c r="C240" s="41">
        <v>0.39200000000000002</v>
      </c>
      <c r="D240" s="68">
        <f t="shared" si="7"/>
        <v>282.24</v>
      </c>
      <c r="E240" s="41" t="s">
        <v>262</v>
      </c>
    </row>
    <row r="241" spans="1:5">
      <c r="A241" s="66" t="str">
        <f t="shared" si="8"/>
        <v>Standard_G4</v>
      </c>
      <c r="B241" s="41" t="s">
        <v>371</v>
      </c>
      <c r="C241" s="41">
        <v>0.78400000000000003</v>
      </c>
      <c r="D241" s="68">
        <f t="shared" si="7"/>
        <v>564.48</v>
      </c>
      <c r="E241" s="41" t="s">
        <v>262</v>
      </c>
    </row>
    <row r="242" spans="1:5">
      <c r="A242" s="66" t="str">
        <f t="shared" si="8"/>
        <v>Standard_G4</v>
      </c>
      <c r="B242" s="41" t="s">
        <v>371</v>
      </c>
      <c r="C242" s="41">
        <v>0.78400000000000003</v>
      </c>
      <c r="D242" s="68">
        <f t="shared" si="7"/>
        <v>564.48</v>
      </c>
      <c r="E242" s="41" t="s">
        <v>262</v>
      </c>
    </row>
    <row r="243" spans="1:5">
      <c r="A243" s="66" t="str">
        <f t="shared" si="8"/>
        <v>Standard_G5</v>
      </c>
      <c r="B243" s="41" t="s">
        <v>372</v>
      </c>
      <c r="C243" s="41">
        <v>7.843</v>
      </c>
      <c r="D243" s="68">
        <f t="shared" si="7"/>
        <v>5646.96</v>
      </c>
      <c r="E243" s="41" t="s">
        <v>262</v>
      </c>
    </row>
    <row r="244" spans="1:5">
      <c r="A244" s="66" t="str">
        <f t="shared" si="8"/>
        <v>Standard_G5</v>
      </c>
      <c r="B244" s="41" t="s">
        <v>372</v>
      </c>
      <c r="C244" s="41">
        <v>1.5640000000000001</v>
      </c>
      <c r="D244" s="68">
        <f t="shared" si="7"/>
        <v>1126.08</v>
      </c>
      <c r="E244" s="41" t="s">
        <v>262</v>
      </c>
    </row>
    <row r="245" spans="1:5">
      <c r="A245" s="66" t="str">
        <f t="shared" si="8"/>
        <v>Standard_GS1</v>
      </c>
      <c r="B245" s="41" t="s">
        <v>373</v>
      </c>
      <c r="C245" s="41">
        <v>0.49</v>
      </c>
      <c r="D245" s="68">
        <f t="shared" si="7"/>
        <v>352.8</v>
      </c>
      <c r="E245" s="41" t="s">
        <v>262</v>
      </c>
    </row>
    <row r="246" spans="1:5">
      <c r="A246" s="66" t="str">
        <f t="shared" si="8"/>
        <v>Standard_GS2</v>
      </c>
      <c r="B246" s="41" t="s">
        <v>374</v>
      </c>
      <c r="C246" s="41">
        <v>0.19600000000000001</v>
      </c>
      <c r="D246" s="68">
        <f t="shared" si="7"/>
        <v>141.12</v>
      </c>
      <c r="E246" s="41" t="s">
        <v>262</v>
      </c>
    </row>
    <row r="247" spans="1:5">
      <c r="A247" s="66" t="str">
        <f t="shared" si="8"/>
        <v>Standard_GS3</v>
      </c>
      <c r="B247" s="41" t="s">
        <v>375</v>
      </c>
      <c r="C247" s="41">
        <v>0.39200000000000002</v>
      </c>
      <c r="D247" s="68">
        <f t="shared" si="7"/>
        <v>282.24</v>
      </c>
      <c r="E247" s="41" t="s">
        <v>262</v>
      </c>
    </row>
    <row r="248" spans="1:5">
      <c r="A248" s="66" t="str">
        <f t="shared" si="8"/>
        <v>Standard_GS4</v>
      </c>
      <c r="B248" s="41" t="s">
        <v>376</v>
      </c>
      <c r="C248" s="41">
        <v>0.78400000000000003</v>
      </c>
      <c r="D248" s="68">
        <f t="shared" si="7"/>
        <v>564.48</v>
      </c>
      <c r="E248" s="41" t="s">
        <v>262</v>
      </c>
    </row>
    <row r="249" spans="1:5">
      <c r="A249" s="66" t="str">
        <f t="shared" si="8"/>
        <v>Standard_GS5</v>
      </c>
      <c r="B249" s="41" t="s">
        <v>377</v>
      </c>
      <c r="C249" s="41">
        <v>7.843</v>
      </c>
      <c r="D249" s="68">
        <f t="shared" si="7"/>
        <v>5646.96</v>
      </c>
      <c r="E249" s="41" t="s">
        <v>262</v>
      </c>
    </row>
    <row r="250" spans="1:5">
      <c r="A250" s="66" t="str">
        <f t="shared" si="8"/>
        <v>Standard_H8</v>
      </c>
      <c r="B250" s="41" t="s">
        <v>378</v>
      </c>
      <c r="C250" s="41">
        <v>0.17499999999999999</v>
      </c>
      <c r="D250" s="68">
        <f t="shared" si="7"/>
        <v>125.99999999999997</v>
      </c>
      <c r="E250" s="41" t="s">
        <v>262</v>
      </c>
    </row>
    <row r="251" spans="1:5">
      <c r="A251" s="66" t="str">
        <f t="shared" si="8"/>
        <v>Standard_H8</v>
      </c>
      <c r="B251" s="41" t="s">
        <v>378</v>
      </c>
      <c r="C251" s="41">
        <v>0.159</v>
      </c>
      <c r="D251" s="68">
        <f t="shared" si="7"/>
        <v>114.47999999999999</v>
      </c>
      <c r="E251" s="41" t="s">
        <v>262</v>
      </c>
    </row>
    <row r="252" spans="1:5">
      <c r="A252" s="66" t="str">
        <f t="shared" si="8"/>
        <v>Standard_H8m</v>
      </c>
      <c r="B252" s="41" t="s">
        <v>379</v>
      </c>
      <c r="C252" s="41">
        <v>0.23400000000000001</v>
      </c>
      <c r="D252" s="68">
        <f t="shared" si="7"/>
        <v>168.48000000000002</v>
      </c>
      <c r="E252" s="41" t="s">
        <v>262</v>
      </c>
    </row>
    <row r="253" spans="1:5">
      <c r="A253" s="66" t="str">
        <f t="shared" si="8"/>
        <v>Standard_H8m</v>
      </c>
      <c r="B253" s="41" t="s">
        <v>379</v>
      </c>
      <c r="C253" s="41">
        <v>0.21299999999999999</v>
      </c>
      <c r="D253" s="68">
        <f t="shared" si="7"/>
        <v>153.36000000000001</v>
      </c>
      <c r="E253" s="41" t="s">
        <v>262</v>
      </c>
    </row>
    <row r="254" spans="1:5">
      <c r="A254" s="66" t="str">
        <f t="shared" si="8"/>
        <v>Standard_H16</v>
      </c>
      <c r="B254" s="41" t="s">
        <v>380</v>
      </c>
      <c r="C254" s="41">
        <v>0.35</v>
      </c>
      <c r="D254" s="68">
        <f t="shared" si="7"/>
        <v>251.99999999999994</v>
      </c>
      <c r="E254" s="41" t="s">
        <v>262</v>
      </c>
    </row>
    <row r="255" spans="1:5">
      <c r="A255" s="66" t="str">
        <f t="shared" si="8"/>
        <v>Standard_H16</v>
      </c>
      <c r="B255" s="41" t="s">
        <v>380</v>
      </c>
      <c r="C255" s="41">
        <v>0.318</v>
      </c>
      <c r="D255" s="68">
        <f t="shared" si="7"/>
        <v>228.95999999999998</v>
      </c>
      <c r="E255" s="41" t="s">
        <v>262</v>
      </c>
    </row>
    <row r="256" spans="1:5">
      <c r="A256" s="66" t="str">
        <f t="shared" si="8"/>
        <v>Standard_H16m</v>
      </c>
      <c r="B256" s="41" t="s">
        <v>381</v>
      </c>
      <c r="C256" s="41">
        <v>2.1320000000000001</v>
      </c>
      <c r="D256" s="68">
        <f t="shared" si="7"/>
        <v>1535.0400000000002</v>
      </c>
      <c r="E256" s="41" t="s">
        <v>262</v>
      </c>
    </row>
    <row r="257" spans="1:5">
      <c r="A257" s="66" t="str">
        <f t="shared" si="8"/>
        <v>Standard_H16m</v>
      </c>
      <c r="B257" s="41" t="s">
        <v>381</v>
      </c>
      <c r="C257" s="41">
        <v>0.46899999999999997</v>
      </c>
      <c r="D257" s="68">
        <f t="shared" si="7"/>
        <v>337.68</v>
      </c>
      <c r="E257" s="41" t="s">
        <v>262</v>
      </c>
    </row>
    <row r="258" spans="1:5">
      <c r="A258" s="66" t="str">
        <f t="shared" si="8"/>
        <v>Standard_H16mr</v>
      </c>
      <c r="B258" s="41" t="s">
        <v>382</v>
      </c>
      <c r="C258" s="41">
        <v>2.3450000000000002</v>
      </c>
      <c r="D258" s="68">
        <f t="shared" si="7"/>
        <v>1688.4</v>
      </c>
      <c r="E258" s="41" t="s">
        <v>262</v>
      </c>
    </row>
    <row r="259" spans="1:5">
      <c r="A259" s="66" t="str">
        <f t="shared" si="8"/>
        <v>Standard_H16mr</v>
      </c>
      <c r="B259" s="41" t="s">
        <v>382</v>
      </c>
      <c r="C259" s="41">
        <v>0.51500000000000001</v>
      </c>
      <c r="D259" s="68">
        <f t="shared" si="7"/>
        <v>370.79999999999995</v>
      </c>
      <c r="E259" s="41" t="s">
        <v>262</v>
      </c>
    </row>
    <row r="260" spans="1:5">
      <c r="A260" s="66" t="str">
        <f t="shared" si="8"/>
        <v>Standard_H16r</v>
      </c>
      <c r="B260" s="41" t="s">
        <v>383</v>
      </c>
      <c r="C260" s="41">
        <v>1.75</v>
      </c>
      <c r="D260" s="68">
        <f t="shared" si="7"/>
        <v>1260</v>
      </c>
      <c r="E260" s="41" t="s">
        <v>262</v>
      </c>
    </row>
    <row r="261" spans="1:5">
      <c r="A261" s="66" t="str">
        <f t="shared" si="8"/>
        <v>Standard_H16r</v>
      </c>
      <c r="B261" s="41" t="s">
        <v>383</v>
      </c>
      <c r="C261" s="41">
        <v>0.38500000000000001</v>
      </c>
      <c r="D261" s="68">
        <f t="shared" si="7"/>
        <v>277.2</v>
      </c>
      <c r="E261" s="41" t="s">
        <v>262</v>
      </c>
    </row>
    <row r="262" spans="1:5">
      <c r="A262" s="66" t="str">
        <f t="shared" si="8"/>
        <v>Standard_L4s</v>
      </c>
      <c r="B262" s="41" t="s">
        <v>384</v>
      </c>
      <c r="C262" s="41">
        <v>0.312</v>
      </c>
      <c r="D262" s="68">
        <f t="shared" ref="D262:D300" si="9">C262*24*30</f>
        <v>224.64</v>
      </c>
      <c r="E262" s="41" t="s">
        <v>262</v>
      </c>
    </row>
    <row r="263" spans="1:5">
      <c r="A263" s="66" t="str">
        <f t="shared" ref="A263:A300" si="10">IF(E263="Windows",_xlfn.CONCAT(B263,"_",E263),B263)</f>
        <v>Standard_L4s</v>
      </c>
      <c r="B263" s="41" t="s">
        <v>384</v>
      </c>
      <c r="C263" s="41">
        <v>0.17</v>
      </c>
      <c r="D263" s="68">
        <f t="shared" si="9"/>
        <v>122.4</v>
      </c>
      <c r="E263" s="41" t="s">
        <v>262</v>
      </c>
    </row>
    <row r="264" spans="1:5">
      <c r="A264" s="66" t="str">
        <f t="shared" si="10"/>
        <v>Standard_L8s</v>
      </c>
      <c r="B264" s="41" t="s">
        <v>385</v>
      </c>
      <c r="C264" s="41">
        <v>0.624</v>
      </c>
      <c r="D264" s="68">
        <f t="shared" si="9"/>
        <v>449.28</v>
      </c>
      <c r="E264" s="41" t="s">
        <v>262</v>
      </c>
    </row>
    <row r="265" spans="1:5">
      <c r="A265" s="66" t="str">
        <f t="shared" si="10"/>
        <v>Standard_L8s</v>
      </c>
      <c r="B265" s="41" t="s">
        <v>385</v>
      </c>
      <c r="C265" s="41">
        <v>0.34100000000000003</v>
      </c>
      <c r="D265" s="68">
        <f t="shared" si="9"/>
        <v>245.52000000000004</v>
      </c>
      <c r="E265" s="41" t="s">
        <v>262</v>
      </c>
    </row>
    <row r="266" spans="1:5">
      <c r="A266" s="66" t="str">
        <f t="shared" si="10"/>
        <v>Standard_L16s</v>
      </c>
      <c r="B266" s="41" t="s">
        <v>386</v>
      </c>
      <c r="C266" s="41">
        <v>1.248</v>
      </c>
      <c r="D266" s="68">
        <f t="shared" si="9"/>
        <v>898.56</v>
      </c>
      <c r="E266" s="41" t="s">
        <v>262</v>
      </c>
    </row>
    <row r="267" spans="1:5">
      <c r="A267" s="66" t="str">
        <f t="shared" si="10"/>
        <v>Standard_L16s</v>
      </c>
      <c r="B267" s="41" t="s">
        <v>386</v>
      </c>
      <c r="C267" s="41">
        <v>0.68200000000000005</v>
      </c>
      <c r="D267" s="68">
        <f t="shared" si="9"/>
        <v>491.04000000000008</v>
      </c>
      <c r="E267" s="41" t="s">
        <v>262</v>
      </c>
    </row>
    <row r="268" spans="1:5">
      <c r="A268" s="66" t="str">
        <f t="shared" si="10"/>
        <v>Standard_L32s</v>
      </c>
      <c r="B268" s="41" t="s">
        <v>387</v>
      </c>
      <c r="C268" s="41">
        <v>2.496</v>
      </c>
      <c r="D268" s="68">
        <f t="shared" si="9"/>
        <v>1797.12</v>
      </c>
      <c r="E268" s="41" t="s">
        <v>262</v>
      </c>
    </row>
    <row r="269" spans="1:5">
      <c r="A269" s="66" t="str">
        <f t="shared" si="10"/>
        <v>Standard_L32s</v>
      </c>
      <c r="B269" s="41" t="s">
        <v>387</v>
      </c>
      <c r="C269" s="41">
        <v>1.3640000000000001</v>
      </c>
      <c r="D269" s="68">
        <f t="shared" si="9"/>
        <v>982.08000000000015</v>
      </c>
      <c r="E269" s="41" t="s">
        <v>262</v>
      </c>
    </row>
    <row r="270" spans="1:5">
      <c r="A270" s="66">
        <f t="shared" si="10"/>
        <v>0</v>
      </c>
      <c r="B270" s="41"/>
      <c r="C270" s="41"/>
      <c r="D270" s="68">
        <f t="shared" si="9"/>
        <v>0</v>
      </c>
      <c r="E270" s="41"/>
    </row>
    <row r="271" spans="1:5">
      <c r="A271" s="66">
        <f t="shared" si="10"/>
        <v>0</v>
      </c>
      <c r="B271" s="41"/>
      <c r="C271" s="41"/>
      <c r="D271" s="68">
        <f t="shared" si="9"/>
        <v>0</v>
      </c>
      <c r="E271" s="41"/>
    </row>
    <row r="272" spans="1:5">
      <c r="A272" s="66">
        <f t="shared" si="10"/>
        <v>0</v>
      </c>
      <c r="B272" s="41"/>
      <c r="C272" s="41"/>
      <c r="D272" s="68">
        <f t="shared" si="9"/>
        <v>0</v>
      </c>
      <c r="E272" s="41"/>
    </row>
    <row r="273" spans="1:5">
      <c r="A273" s="66">
        <f t="shared" si="10"/>
        <v>0</v>
      </c>
      <c r="B273" s="41"/>
      <c r="C273" s="41"/>
      <c r="D273" s="68">
        <f t="shared" si="9"/>
        <v>0</v>
      </c>
      <c r="E273" s="41"/>
    </row>
    <row r="274" spans="1:5">
      <c r="A274" s="66">
        <f t="shared" si="10"/>
        <v>0</v>
      </c>
      <c r="B274" s="41"/>
      <c r="C274" s="41"/>
      <c r="D274" s="68">
        <f t="shared" si="9"/>
        <v>0</v>
      </c>
      <c r="E274" s="41"/>
    </row>
    <row r="275" spans="1:5">
      <c r="A275" s="66">
        <f t="shared" si="10"/>
        <v>0</v>
      </c>
      <c r="B275" s="41"/>
      <c r="C275" s="41"/>
      <c r="D275" s="68">
        <f t="shared" si="9"/>
        <v>0</v>
      </c>
      <c r="E275" s="41"/>
    </row>
    <row r="276" spans="1:5">
      <c r="A276" s="66">
        <f t="shared" si="10"/>
        <v>0</v>
      </c>
      <c r="B276" s="41"/>
      <c r="C276" s="41"/>
      <c r="D276" s="68">
        <f t="shared" si="9"/>
        <v>0</v>
      </c>
      <c r="E276" s="41"/>
    </row>
    <row r="277" spans="1:5">
      <c r="A277" s="66">
        <f t="shared" si="10"/>
        <v>0</v>
      </c>
      <c r="B277" s="41"/>
      <c r="C277" s="41"/>
      <c r="D277" s="68">
        <f t="shared" si="9"/>
        <v>0</v>
      </c>
      <c r="E277" s="41"/>
    </row>
    <row r="278" spans="1:5">
      <c r="A278" s="66">
        <f t="shared" si="10"/>
        <v>0</v>
      </c>
      <c r="B278" s="41"/>
      <c r="C278" s="41"/>
      <c r="D278" s="68">
        <f t="shared" si="9"/>
        <v>0</v>
      </c>
      <c r="E278" s="41"/>
    </row>
    <row r="279" spans="1:5">
      <c r="A279" s="66">
        <f t="shared" si="10"/>
        <v>0</v>
      </c>
      <c r="B279" s="41"/>
      <c r="C279" s="41"/>
      <c r="D279" s="68">
        <f t="shared" si="9"/>
        <v>0</v>
      </c>
      <c r="E279" s="41"/>
    </row>
    <row r="280" spans="1:5">
      <c r="A280" s="66">
        <f t="shared" si="10"/>
        <v>0</v>
      </c>
      <c r="B280" s="41"/>
      <c r="C280" s="41"/>
      <c r="D280" s="68">
        <f t="shared" si="9"/>
        <v>0</v>
      </c>
      <c r="E280" s="41"/>
    </row>
    <row r="281" spans="1:5">
      <c r="A281" s="66">
        <f t="shared" si="10"/>
        <v>0</v>
      </c>
      <c r="B281" s="41"/>
      <c r="C281" s="41"/>
      <c r="D281" s="68">
        <f t="shared" si="9"/>
        <v>0</v>
      </c>
      <c r="E281" s="41"/>
    </row>
    <row r="282" spans="1:5">
      <c r="A282" s="66">
        <f t="shared" si="10"/>
        <v>0</v>
      </c>
      <c r="B282" s="41"/>
      <c r="C282" s="41"/>
      <c r="D282" s="68">
        <f t="shared" si="9"/>
        <v>0</v>
      </c>
      <c r="E282" s="41"/>
    </row>
    <row r="283" spans="1:5">
      <c r="A283" s="66">
        <f t="shared" si="10"/>
        <v>0</v>
      </c>
      <c r="B283" s="41"/>
      <c r="C283" s="41"/>
      <c r="D283" s="68">
        <f t="shared" si="9"/>
        <v>0</v>
      </c>
      <c r="E283" s="41"/>
    </row>
    <row r="284" spans="1:5">
      <c r="A284" s="66">
        <f t="shared" si="10"/>
        <v>0</v>
      </c>
      <c r="B284" s="41"/>
      <c r="C284" s="41"/>
      <c r="D284" s="68">
        <f t="shared" si="9"/>
        <v>0</v>
      </c>
      <c r="E284" s="41"/>
    </row>
    <row r="285" spans="1:5">
      <c r="A285" s="66">
        <f t="shared" si="10"/>
        <v>0</v>
      </c>
      <c r="B285" s="41"/>
      <c r="C285" s="41"/>
      <c r="D285" s="68">
        <f t="shared" si="9"/>
        <v>0</v>
      </c>
      <c r="E285" s="41"/>
    </row>
    <row r="286" spans="1:5">
      <c r="A286" s="66">
        <f t="shared" si="10"/>
        <v>0</v>
      </c>
      <c r="B286" s="41"/>
      <c r="C286" s="41"/>
      <c r="D286" s="68">
        <f t="shared" si="9"/>
        <v>0</v>
      </c>
      <c r="E286" s="41"/>
    </row>
    <row r="287" spans="1:5">
      <c r="A287" s="66">
        <f t="shared" si="10"/>
        <v>0</v>
      </c>
      <c r="B287" s="41"/>
      <c r="C287" s="41"/>
      <c r="D287" s="68">
        <f t="shared" si="9"/>
        <v>0</v>
      </c>
      <c r="E287" s="41"/>
    </row>
    <row r="288" spans="1:5">
      <c r="A288" s="66">
        <f t="shared" si="10"/>
        <v>0</v>
      </c>
      <c r="B288" s="41"/>
      <c r="C288" s="41"/>
      <c r="D288" s="68">
        <f t="shared" si="9"/>
        <v>0</v>
      </c>
      <c r="E288" s="41"/>
    </row>
    <row r="289" spans="1:5">
      <c r="A289" s="66">
        <f t="shared" si="10"/>
        <v>0</v>
      </c>
      <c r="B289" s="41"/>
      <c r="C289" s="41"/>
      <c r="D289" s="68">
        <f t="shared" si="9"/>
        <v>0</v>
      </c>
      <c r="E289" s="41"/>
    </row>
    <row r="290" spans="1:5">
      <c r="A290" s="66">
        <f t="shared" si="10"/>
        <v>0</v>
      </c>
      <c r="B290" s="41"/>
      <c r="C290" s="41"/>
      <c r="D290" s="68">
        <f t="shared" si="9"/>
        <v>0</v>
      </c>
      <c r="E290" s="41"/>
    </row>
    <row r="291" spans="1:5">
      <c r="A291" s="66">
        <f t="shared" si="10"/>
        <v>0</v>
      </c>
      <c r="B291" s="41"/>
      <c r="C291" s="41"/>
      <c r="D291" s="68">
        <f t="shared" si="9"/>
        <v>0</v>
      </c>
      <c r="E291" s="41"/>
    </row>
    <row r="292" spans="1:5">
      <c r="A292" s="66">
        <f t="shared" si="10"/>
        <v>0</v>
      </c>
      <c r="B292" s="41"/>
      <c r="C292" s="41"/>
      <c r="D292" s="68">
        <f t="shared" si="9"/>
        <v>0</v>
      </c>
      <c r="E292" s="41"/>
    </row>
    <row r="293" spans="1:5">
      <c r="A293" s="66">
        <f t="shared" si="10"/>
        <v>0</v>
      </c>
      <c r="B293" s="41"/>
      <c r="C293" s="41"/>
      <c r="D293" s="68">
        <f t="shared" si="9"/>
        <v>0</v>
      </c>
      <c r="E293" s="41"/>
    </row>
    <row r="294" spans="1:5">
      <c r="A294" s="66">
        <f t="shared" si="10"/>
        <v>0</v>
      </c>
      <c r="B294" s="41"/>
      <c r="C294" s="41"/>
      <c r="D294" s="68">
        <f t="shared" si="9"/>
        <v>0</v>
      </c>
      <c r="E294" s="41"/>
    </row>
    <row r="295" spans="1:5">
      <c r="A295" s="66">
        <f t="shared" si="10"/>
        <v>0</v>
      </c>
      <c r="B295" s="41"/>
      <c r="C295" s="41"/>
      <c r="D295" s="68">
        <f t="shared" si="9"/>
        <v>0</v>
      </c>
      <c r="E295" s="41"/>
    </row>
    <row r="296" spans="1:5">
      <c r="A296" s="66">
        <f t="shared" si="10"/>
        <v>0</v>
      </c>
      <c r="B296" s="41"/>
      <c r="C296" s="41"/>
      <c r="D296" s="68">
        <f t="shared" si="9"/>
        <v>0</v>
      </c>
      <c r="E296" s="41"/>
    </row>
    <row r="297" spans="1:5">
      <c r="A297" s="66">
        <f t="shared" si="10"/>
        <v>0</v>
      </c>
      <c r="B297" s="41"/>
      <c r="C297" s="41"/>
      <c r="D297" s="68">
        <f t="shared" si="9"/>
        <v>0</v>
      </c>
      <c r="E297" s="41"/>
    </row>
    <row r="298" spans="1:5">
      <c r="A298" s="66">
        <f t="shared" si="10"/>
        <v>0</v>
      </c>
      <c r="B298" s="41"/>
      <c r="C298" s="41"/>
      <c r="D298" s="68">
        <f t="shared" si="9"/>
        <v>0</v>
      </c>
      <c r="E298" s="41"/>
    </row>
    <row r="299" spans="1:5">
      <c r="A299" s="66">
        <f t="shared" si="10"/>
        <v>0</v>
      </c>
      <c r="B299" s="41"/>
      <c r="C299" s="41"/>
      <c r="D299" s="68">
        <f t="shared" si="9"/>
        <v>0</v>
      </c>
      <c r="E299" s="41"/>
    </row>
    <row r="300" spans="1:5">
      <c r="A300" s="66">
        <f t="shared" si="10"/>
        <v>0</v>
      </c>
      <c r="B300" s="41"/>
      <c r="C300" s="41"/>
      <c r="D300" s="68">
        <f t="shared" si="9"/>
        <v>0</v>
      </c>
      <c r="E300" s="41"/>
    </row>
  </sheetData>
  <mergeCells count="3">
    <mergeCell ref="W2:X2"/>
    <mergeCell ref="G16:H16"/>
    <mergeCell ref="G26:H26"/>
  </mergeCells>
  <conditionalFormatting sqref="AP17">
    <cfRule type="expression" dxfId="85" priority="76">
      <formula>$AN$3="AUD"</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AN1068"/>
  <sheetViews>
    <sheetView zoomScaleNormal="100" workbookViewId="0">
      <selection activeCell="D2" sqref="D2"/>
    </sheetView>
  </sheetViews>
  <sheetFormatPr defaultColWidth="9" defaultRowHeight="14.25"/>
  <cols>
    <col min="1" max="1" width="9" style="178"/>
    <col min="2" max="2" width="74.265625" style="178" customWidth="1"/>
    <col min="3" max="3" width="21" style="178" customWidth="1"/>
    <col min="4" max="4" width="23.86328125" style="178" customWidth="1"/>
    <col min="5" max="5" width="18.265625" style="177" customWidth="1"/>
    <col min="6" max="6" width="20" style="177" customWidth="1"/>
    <col min="7" max="7" width="26" style="177" customWidth="1"/>
    <col min="8" max="8" width="20.86328125" style="177" customWidth="1"/>
    <col min="9" max="9" width="27.265625" style="177" customWidth="1"/>
    <col min="10" max="10" width="31" style="177" bestFit="1" customWidth="1"/>
    <col min="11" max="11" width="27.59765625" style="177" customWidth="1"/>
    <col min="12" max="17" width="20" style="177" customWidth="1"/>
    <col min="18" max="18" width="19.73046875" style="177" bestFit="1" customWidth="1"/>
    <col min="19" max="31" width="9" style="177"/>
    <col min="32" max="16384" width="9" style="178"/>
  </cols>
  <sheetData>
    <row r="2" spans="2:5" ht="77.25" customHeight="1">
      <c r="B2" s="561" t="s">
        <v>66</v>
      </c>
      <c r="C2" s="562"/>
      <c r="D2" s="176"/>
    </row>
    <row r="3" spans="2:5" ht="16.899999999999999">
      <c r="B3" s="459" t="s">
        <v>0</v>
      </c>
      <c r="C3" s="460" t="str">
        <f>Data!A6</f>
        <v>Hyper-V to Azure</v>
      </c>
    </row>
    <row r="4" spans="2:5">
      <c r="B4" s="179" t="s">
        <v>28</v>
      </c>
      <c r="C4" s="461">
        <f>Data!B2</f>
        <v>43054</v>
      </c>
    </row>
    <row r="5" spans="2:5">
      <c r="B5" s="179" t="s">
        <v>29</v>
      </c>
      <c r="C5" s="461">
        <f>Data!B3</f>
        <v>43055</v>
      </c>
    </row>
    <row r="6" spans="2:5">
      <c r="B6" s="179" t="s">
        <v>1</v>
      </c>
      <c r="C6" s="180">
        <f>Data!B4</f>
        <v>1.17</v>
      </c>
      <c r="D6" s="181"/>
    </row>
    <row r="8" spans="2:5">
      <c r="B8" s="182"/>
      <c r="C8" s="182"/>
    </row>
    <row r="9" spans="2:5" ht="14.25" customHeight="1">
      <c r="B9" s="182"/>
      <c r="C9" s="182"/>
    </row>
    <row r="10" spans="2:5" ht="15" customHeight="1">
      <c r="B10" s="558" t="s">
        <v>6</v>
      </c>
      <c r="C10" s="558"/>
    </row>
    <row r="11" spans="2:5" ht="31.5" customHeight="1">
      <c r="B11" s="559" t="s">
        <v>116</v>
      </c>
      <c r="C11" s="560"/>
      <c r="D11" s="177"/>
    </row>
    <row r="12" spans="2:5" ht="20.25" customHeight="1">
      <c r="B12" s="179" t="s">
        <v>84</v>
      </c>
      <c r="C12" s="384">
        <f>Data!B35</f>
        <v>86</v>
      </c>
      <c r="D12" s="177"/>
    </row>
    <row r="13" spans="2:5" ht="16.5" customHeight="1">
      <c r="B13" s="179" t="s">
        <v>67</v>
      </c>
      <c r="C13" s="384">
        <f>Data!B39</f>
        <v>84</v>
      </c>
      <c r="D13"/>
      <c r="E13"/>
    </row>
    <row r="14" spans="2:5" ht="16.5" customHeight="1">
      <c r="B14" s="179" t="s">
        <v>143</v>
      </c>
      <c r="C14" s="384">
        <f>Data!B42</f>
        <v>543</v>
      </c>
      <c r="D14"/>
      <c r="E14"/>
    </row>
    <row r="15" spans="2:5" ht="18.75" customHeight="1">
      <c r="B15" s="179" t="s">
        <v>62</v>
      </c>
      <c r="C15" s="385">
        <f>Data!C45</f>
        <v>6.4642857142857144</v>
      </c>
      <c r="D15"/>
      <c r="E15"/>
    </row>
    <row r="16" spans="2:5" ht="18" customHeight="1">
      <c r="B16" s="179" t="s">
        <v>63</v>
      </c>
      <c r="C16" s="384">
        <f>Data!B44</f>
        <v>168</v>
      </c>
      <c r="D16"/>
      <c r="E16"/>
    </row>
    <row r="17" spans="1:40" ht="18" customHeight="1">
      <c r="B17" s="179" t="s">
        <v>64</v>
      </c>
      <c r="C17" s="384">
        <f>C13*C15*C16</f>
        <v>91224</v>
      </c>
      <c r="D17"/>
      <c r="E17"/>
    </row>
    <row r="18" spans="1:40" ht="18.75" customHeight="1">
      <c r="B18" s="179" t="s">
        <v>65</v>
      </c>
      <c r="C18" s="384">
        <f>Data!B12</f>
        <v>15</v>
      </c>
      <c r="D18"/>
      <c r="E18"/>
    </row>
    <row r="19" spans="1:40" ht="21" customHeight="1">
      <c r="B19" s="183" t="s">
        <v>68</v>
      </c>
      <c r="C19" s="385" t="str">
        <f>Data!B13</f>
        <v>NA</v>
      </c>
      <c r="D19"/>
      <c r="E19"/>
    </row>
    <row r="20" spans="1:40">
      <c r="B20" s="179" t="s">
        <v>50</v>
      </c>
      <c r="C20" s="384">
        <f>Data!B50</f>
        <v>5086</v>
      </c>
      <c r="D20" s="177"/>
    </row>
    <row r="21" spans="1:40">
      <c r="A21" s="177"/>
      <c r="B21" s="177"/>
      <c r="C21" s="177"/>
      <c r="D21" s="177"/>
      <c r="AF21" s="177"/>
      <c r="AG21" s="177"/>
      <c r="AH21" s="177"/>
      <c r="AI21" s="177"/>
      <c r="AJ21" s="177"/>
      <c r="AK21" s="177"/>
      <c r="AL21" s="177"/>
      <c r="AM21" s="177"/>
      <c r="AN21" s="177"/>
    </row>
    <row r="22" spans="1:40">
      <c r="A22" s="177"/>
      <c r="B22" s="177"/>
      <c r="C22" s="177"/>
      <c r="D22" s="177"/>
      <c r="AF22" s="177"/>
      <c r="AG22" s="177"/>
      <c r="AH22" s="177"/>
      <c r="AI22" s="177"/>
      <c r="AJ22" s="177"/>
      <c r="AK22" s="177"/>
      <c r="AL22" s="177"/>
      <c r="AM22" s="177"/>
      <c r="AN22" s="177"/>
    </row>
    <row r="23" spans="1:40">
      <c r="A23" s="177"/>
      <c r="B23" s="177"/>
      <c r="C23" s="177"/>
      <c r="D23" s="177"/>
      <c r="AF23" s="177"/>
      <c r="AG23" s="177"/>
      <c r="AH23" s="177"/>
      <c r="AI23" s="177"/>
      <c r="AJ23" s="177"/>
      <c r="AK23" s="177"/>
      <c r="AL23" s="177"/>
      <c r="AM23" s="177"/>
      <c r="AN23" s="177"/>
    </row>
    <row r="24" spans="1:40" ht="15" customHeight="1">
      <c r="A24" s="177"/>
      <c r="B24" s="177"/>
      <c r="C24" s="177"/>
      <c r="D24" s="177"/>
      <c r="AF24" s="177"/>
      <c r="AG24" s="177"/>
      <c r="AH24" s="177"/>
      <c r="AI24" s="177"/>
      <c r="AJ24" s="177"/>
      <c r="AK24" s="177"/>
      <c r="AL24" s="177"/>
      <c r="AM24" s="177"/>
      <c r="AN24" s="177"/>
    </row>
    <row r="25" spans="1:40">
      <c r="A25" s="177"/>
      <c r="B25" s="177"/>
      <c r="C25" s="177"/>
      <c r="D25" s="177"/>
      <c r="AF25" s="177"/>
      <c r="AG25" s="177"/>
      <c r="AH25" s="177"/>
      <c r="AI25" s="177"/>
      <c r="AJ25" s="177"/>
      <c r="AK25" s="177"/>
      <c r="AL25" s="177"/>
      <c r="AM25" s="177"/>
      <c r="AN25" s="177"/>
    </row>
    <row r="26" spans="1:40">
      <c r="A26" s="177"/>
      <c r="B26" s="177"/>
      <c r="C26" s="177"/>
      <c r="D26" s="177"/>
      <c r="AF26" s="177"/>
      <c r="AG26" s="177"/>
      <c r="AH26" s="177"/>
      <c r="AI26" s="177"/>
      <c r="AJ26" s="177"/>
      <c r="AK26" s="177"/>
      <c r="AL26" s="177"/>
      <c r="AM26" s="177"/>
      <c r="AN26" s="177"/>
    </row>
    <row r="27" spans="1:40">
      <c r="A27" s="177"/>
      <c r="B27" s="177"/>
      <c r="C27" s="177"/>
      <c r="D27" s="177"/>
      <c r="AF27" s="177"/>
      <c r="AG27" s="177"/>
      <c r="AH27" s="177"/>
      <c r="AI27" s="177"/>
      <c r="AJ27" s="177"/>
      <c r="AK27" s="177"/>
      <c r="AL27" s="177"/>
      <c r="AM27" s="177"/>
      <c r="AN27" s="177"/>
    </row>
    <row r="28" spans="1:40">
      <c r="A28" s="177"/>
      <c r="B28" s="177"/>
      <c r="C28" s="177"/>
      <c r="D28" s="177"/>
      <c r="AF28" s="177"/>
      <c r="AG28" s="177"/>
      <c r="AH28" s="177"/>
      <c r="AI28" s="177"/>
      <c r="AJ28" s="177"/>
      <c r="AK28" s="177"/>
      <c r="AL28" s="177"/>
      <c r="AM28" s="177"/>
      <c r="AN28" s="177"/>
    </row>
    <row r="29" spans="1:40">
      <c r="A29" s="177"/>
      <c r="B29" s="177"/>
      <c r="C29" s="177"/>
      <c r="D29" s="177"/>
      <c r="AF29" s="177"/>
      <c r="AG29" s="177"/>
      <c r="AH29" s="177"/>
      <c r="AI29" s="177"/>
      <c r="AJ29" s="177"/>
      <c r="AK29" s="177"/>
      <c r="AL29" s="177"/>
      <c r="AM29" s="177"/>
      <c r="AN29" s="177"/>
    </row>
    <row r="30" spans="1:40">
      <c r="A30" s="177"/>
      <c r="B30" s="177"/>
      <c r="C30" s="177"/>
      <c r="D30" s="177"/>
      <c r="AF30" s="177"/>
      <c r="AG30" s="177"/>
      <c r="AH30" s="177"/>
      <c r="AI30" s="177"/>
      <c r="AJ30" s="177"/>
      <c r="AK30" s="177"/>
      <c r="AL30" s="177"/>
      <c r="AM30" s="177"/>
      <c r="AN30" s="177"/>
    </row>
    <row r="31" spans="1:40">
      <c r="A31" s="177"/>
      <c r="B31" s="177"/>
      <c r="C31" s="177"/>
      <c r="D31" s="177"/>
      <c r="AF31" s="177"/>
      <c r="AG31" s="177"/>
      <c r="AH31" s="177"/>
      <c r="AI31" s="177"/>
      <c r="AJ31" s="177"/>
      <c r="AK31" s="177"/>
      <c r="AL31" s="177"/>
      <c r="AM31" s="177"/>
      <c r="AN31" s="177"/>
    </row>
    <row r="32" spans="1:40">
      <c r="A32" s="177"/>
      <c r="B32" s="177"/>
      <c r="C32" s="177"/>
      <c r="D32" s="177"/>
      <c r="AF32" s="177"/>
      <c r="AG32" s="177"/>
      <c r="AH32" s="177"/>
      <c r="AI32" s="177"/>
      <c r="AJ32" s="177"/>
      <c r="AK32" s="177"/>
      <c r="AL32" s="177"/>
      <c r="AM32" s="177"/>
      <c r="AN32" s="177"/>
    </row>
    <row r="33" spans="1:40">
      <c r="A33" s="177"/>
      <c r="B33" s="177"/>
      <c r="C33" s="177"/>
      <c r="D33" s="177"/>
      <c r="AF33" s="177"/>
      <c r="AG33" s="177"/>
      <c r="AH33" s="177"/>
      <c r="AI33" s="177"/>
      <c r="AJ33" s="177"/>
      <c r="AK33" s="177"/>
      <c r="AL33" s="177"/>
      <c r="AM33" s="177"/>
      <c r="AN33" s="177"/>
    </row>
    <row r="34" spans="1:40">
      <c r="A34" s="177"/>
      <c r="B34" s="177"/>
      <c r="C34" s="177"/>
      <c r="D34" s="177"/>
      <c r="AF34" s="177"/>
      <c r="AG34" s="177"/>
      <c r="AH34" s="177"/>
      <c r="AI34" s="177"/>
      <c r="AJ34" s="177"/>
      <c r="AK34" s="177"/>
      <c r="AL34" s="177"/>
      <c r="AM34" s="177"/>
      <c r="AN34" s="177"/>
    </row>
    <row r="35" spans="1:40">
      <c r="A35" s="177"/>
      <c r="B35" s="177"/>
      <c r="C35" s="177"/>
      <c r="D35" s="177"/>
      <c r="AF35" s="177"/>
      <c r="AG35" s="177"/>
      <c r="AH35" s="177"/>
      <c r="AI35" s="177"/>
      <c r="AJ35" s="177"/>
      <c r="AK35" s="177"/>
      <c r="AL35" s="177"/>
      <c r="AM35" s="177"/>
      <c r="AN35" s="177"/>
    </row>
    <row r="36" spans="1:40">
      <c r="A36" s="177"/>
      <c r="B36" s="177"/>
      <c r="C36" s="177"/>
      <c r="D36" s="177"/>
      <c r="AF36" s="177"/>
      <c r="AG36" s="177"/>
      <c r="AH36" s="177"/>
      <c r="AI36" s="177"/>
      <c r="AJ36" s="177"/>
      <c r="AK36" s="177"/>
      <c r="AL36" s="177"/>
      <c r="AM36" s="177"/>
      <c r="AN36" s="177"/>
    </row>
    <row r="37" spans="1:40">
      <c r="A37" s="177"/>
      <c r="B37" s="177"/>
      <c r="C37" s="177"/>
      <c r="D37" s="177"/>
      <c r="AF37" s="177"/>
      <c r="AG37" s="177"/>
      <c r="AH37" s="177"/>
      <c r="AI37" s="177"/>
      <c r="AJ37" s="177"/>
      <c r="AK37" s="177"/>
      <c r="AL37" s="177"/>
      <c r="AM37" s="177"/>
      <c r="AN37" s="177"/>
    </row>
    <row r="38" spans="1:40">
      <c r="A38" s="177"/>
      <c r="B38" s="177"/>
      <c r="C38" s="177"/>
      <c r="D38" s="177"/>
      <c r="AF38" s="177"/>
      <c r="AG38" s="177"/>
      <c r="AH38" s="177"/>
      <c r="AI38" s="177"/>
      <c r="AJ38" s="177"/>
      <c r="AK38" s="177"/>
      <c r="AL38" s="177"/>
      <c r="AM38" s="177"/>
      <c r="AN38" s="177"/>
    </row>
    <row r="39" spans="1:40">
      <c r="A39" s="177"/>
      <c r="B39" s="177"/>
      <c r="C39" s="177"/>
      <c r="D39" s="177"/>
      <c r="AF39" s="177"/>
      <c r="AG39" s="177"/>
      <c r="AH39" s="177"/>
      <c r="AI39" s="177"/>
      <c r="AJ39" s="177"/>
      <c r="AK39" s="177"/>
      <c r="AL39" s="177"/>
      <c r="AM39" s="177"/>
      <c r="AN39" s="177"/>
    </row>
    <row r="40" spans="1:40">
      <c r="A40" s="177"/>
      <c r="B40" s="177"/>
      <c r="C40" s="177"/>
      <c r="D40" s="177"/>
      <c r="AF40" s="177"/>
      <c r="AG40" s="177"/>
      <c r="AH40" s="177"/>
      <c r="AI40" s="177"/>
      <c r="AJ40" s="177"/>
      <c r="AK40" s="177"/>
      <c r="AL40" s="177"/>
      <c r="AM40" s="177"/>
      <c r="AN40" s="177"/>
    </row>
    <row r="41" spans="1:40">
      <c r="A41" s="177"/>
      <c r="B41" s="177"/>
      <c r="C41" s="177"/>
      <c r="D41" s="177"/>
      <c r="AF41" s="177"/>
      <c r="AG41" s="177"/>
      <c r="AH41" s="177"/>
      <c r="AI41" s="177"/>
      <c r="AJ41" s="177"/>
      <c r="AK41" s="177"/>
      <c r="AL41" s="177"/>
      <c r="AM41" s="177"/>
      <c r="AN41" s="177"/>
    </row>
    <row r="42" spans="1:40">
      <c r="A42" s="177"/>
      <c r="B42" s="177"/>
      <c r="C42" s="177"/>
      <c r="D42" s="177"/>
      <c r="AF42" s="177"/>
      <c r="AG42" s="177"/>
      <c r="AH42" s="177"/>
      <c r="AI42" s="177"/>
      <c r="AJ42" s="177"/>
      <c r="AK42" s="177"/>
      <c r="AL42" s="177"/>
      <c r="AM42" s="177"/>
      <c r="AN42" s="177"/>
    </row>
    <row r="43" spans="1:40">
      <c r="A43" s="177"/>
      <c r="B43" s="177"/>
      <c r="C43" s="177"/>
      <c r="D43" s="177"/>
      <c r="AF43" s="177"/>
      <c r="AG43" s="177"/>
      <c r="AH43" s="177"/>
      <c r="AI43" s="177"/>
      <c r="AJ43" s="177"/>
      <c r="AK43" s="177"/>
      <c r="AL43" s="177"/>
      <c r="AM43" s="177"/>
      <c r="AN43" s="177"/>
    </row>
    <row r="44" spans="1:40">
      <c r="A44" s="177"/>
      <c r="B44" s="177"/>
      <c r="C44" s="177"/>
      <c r="D44" s="177"/>
      <c r="AF44" s="177"/>
      <c r="AG44" s="177"/>
      <c r="AH44" s="177"/>
      <c r="AI44" s="177"/>
      <c r="AJ44" s="177"/>
      <c r="AK44" s="177"/>
      <c r="AL44" s="177"/>
      <c r="AM44" s="177"/>
      <c r="AN44" s="177"/>
    </row>
    <row r="45" spans="1:40">
      <c r="A45" s="177"/>
      <c r="B45" s="177"/>
      <c r="C45" s="177"/>
      <c r="D45" s="177"/>
      <c r="AF45" s="177"/>
      <c r="AG45" s="177"/>
      <c r="AH45" s="177"/>
      <c r="AI45" s="177"/>
      <c r="AJ45" s="177"/>
      <c r="AK45" s="177"/>
      <c r="AL45" s="177"/>
      <c r="AM45" s="177"/>
      <c r="AN45" s="177"/>
    </row>
    <row r="46" spans="1:40">
      <c r="A46" s="177"/>
      <c r="B46" s="177"/>
      <c r="C46" s="177"/>
      <c r="D46" s="177"/>
      <c r="AF46" s="177"/>
      <c r="AG46" s="177"/>
      <c r="AH46" s="177"/>
      <c r="AI46" s="177"/>
      <c r="AJ46" s="177"/>
      <c r="AK46" s="177"/>
      <c r="AL46" s="177"/>
      <c r="AM46" s="177"/>
      <c r="AN46" s="177"/>
    </row>
    <row r="47" spans="1:40">
      <c r="A47" s="177"/>
      <c r="B47" s="177"/>
      <c r="C47" s="177"/>
      <c r="D47" s="177"/>
      <c r="AF47" s="177"/>
      <c r="AG47" s="177"/>
      <c r="AH47" s="177"/>
      <c r="AI47" s="177"/>
      <c r="AJ47" s="177"/>
      <c r="AK47" s="177"/>
      <c r="AL47" s="177"/>
      <c r="AM47" s="177"/>
      <c r="AN47" s="177"/>
    </row>
    <row r="48" spans="1:40">
      <c r="A48" s="177"/>
      <c r="B48" s="177"/>
      <c r="C48" s="177"/>
      <c r="D48" s="177"/>
      <c r="AF48" s="177"/>
      <c r="AG48" s="177"/>
      <c r="AH48" s="177"/>
      <c r="AI48" s="177"/>
      <c r="AJ48" s="177"/>
      <c r="AK48" s="177"/>
      <c r="AL48" s="177"/>
      <c r="AM48" s="177"/>
      <c r="AN48" s="177"/>
    </row>
    <row r="49" spans="1:40">
      <c r="A49" s="177"/>
      <c r="B49" s="177"/>
      <c r="C49" s="177"/>
      <c r="D49" s="177"/>
      <c r="AF49" s="177"/>
      <c r="AG49" s="177"/>
      <c r="AH49" s="177"/>
      <c r="AI49" s="177"/>
      <c r="AJ49" s="177"/>
      <c r="AK49" s="177"/>
      <c r="AL49" s="177"/>
      <c r="AM49" s="177"/>
      <c r="AN49" s="177"/>
    </row>
    <row r="50" spans="1:40">
      <c r="A50" s="177"/>
      <c r="B50" s="177"/>
      <c r="C50" s="177"/>
      <c r="D50" s="177"/>
      <c r="AF50" s="177"/>
      <c r="AG50" s="177"/>
      <c r="AH50" s="177"/>
      <c r="AI50" s="177"/>
      <c r="AJ50" s="177"/>
      <c r="AK50" s="177"/>
      <c r="AL50" s="177"/>
      <c r="AM50" s="177"/>
      <c r="AN50" s="177"/>
    </row>
    <row r="51" spans="1:40">
      <c r="A51" s="177"/>
      <c r="B51" s="177"/>
      <c r="C51" s="177"/>
      <c r="D51" s="177"/>
      <c r="AF51" s="177"/>
      <c r="AG51" s="177"/>
      <c r="AH51" s="177"/>
      <c r="AI51" s="177"/>
      <c r="AJ51" s="177"/>
      <c r="AK51" s="177"/>
      <c r="AL51" s="177"/>
      <c r="AM51" s="177"/>
      <c r="AN51" s="177"/>
    </row>
    <row r="52" spans="1:40">
      <c r="A52" s="177"/>
      <c r="B52" s="177"/>
      <c r="C52" s="177"/>
      <c r="D52" s="177"/>
      <c r="AF52" s="177"/>
      <c r="AG52" s="177"/>
      <c r="AH52" s="177"/>
      <c r="AI52" s="177"/>
      <c r="AJ52" s="177"/>
      <c r="AK52" s="177"/>
      <c r="AL52" s="177"/>
      <c r="AM52" s="177"/>
      <c r="AN52" s="177"/>
    </row>
    <row r="53" spans="1:40">
      <c r="A53" s="177"/>
      <c r="B53" s="177"/>
      <c r="C53" s="177"/>
      <c r="D53" s="177"/>
      <c r="AF53" s="177"/>
      <c r="AG53" s="177"/>
      <c r="AH53" s="177"/>
      <c r="AI53" s="177"/>
      <c r="AJ53" s="177"/>
      <c r="AK53" s="177"/>
      <c r="AL53" s="177"/>
      <c r="AM53" s="177"/>
      <c r="AN53" s="177"/>
    </row>
    <row r="54" spans="1:40">
      <c r="A54" s="177"/>
      <c r="B54" s="177"/>
      <c r="C54" s="177"/>
      <c r="D54" s="177"/>
      <c r="AF54" s="177"/>
      <c r="AG54" s="177"/>
      <c r="AH54" s="177"/>
      <c r="AI54" s="177"/>
      <c r="AJ54" s="177"/>
      <c r="AK54" s="177"/>
      <c r="AL54" s="177"/>
      <c r="AM54" s="177"/>
      <c r="AN54" s="177"/>
    </row>
    <row r="55" spans="1:40">
      <c r="A55" s="177"/>
      <c r="B55" s="177"/>
      <c r="C55" s="177"/>
      <c r="D55" s="177"/>
      <c r="AF55" s="177"/>
      <c r="AG55" s="177"/>
      <c r="AH55" s="177"/>
      <c r="AI55" s="177"/>
      <c r="AJ55" s="177"/>
      <c r="AK55" s="177"/>
      <c r="AL55" s="177"/>
      <c r="AM55" s="177"/>
      <c r="AN55" s="177"/>
    </row>
    <row r="56" spans="1:40">
      <c r="A56" s="177"/>
      <c r="B56" s="177"/>
      <c r="C56" s="177"/>
      <c r="D56" s="177"/>
      <c r="AF56" s="177"/>
      <c r="AG56" s="177"/>
      <c r="AH56" s="177"/>
      <c r="AI56" s="177"/>
      <c r="AJ56" s="177"/>
      <c r="AK56" s="177"/>
      <c r="AL56" s="177"/>
      <c r="AM56" s="177"/>
      <c r="AN56" s="177"/>
    </row>
    <row r="57" spans="1:40">
      <c r="A57" s="177"/>
      <c r="B57" s="177"/>
      <c r="C57" s="177"/>
      <c r="D57" s="177"/>
      <c r="AF57" s="177"/>
      <c r="AG57" s="177"/>
      <c r="AH57" s="177"/>
      <c r="AI57" s="177"/>
      <c r="AJ57" s="177"/>
      <c r="AK57" s="177"/>
      <c r="AL57" s="177"/>
      <c r="AM57" s="177"/>
      <c r="AN57" s="177"/>
    </row>
    <row r="58" spans="1:40">
      <c r="A58" s="177"/>
      <c r="B58" s="177"/>
      <c r="C58" s="177"/>
      <c r="D58" s="177"/>
      <c r="AF58" s="177"/>
      <c r="AG58" s="177"/>
      <c r="AH58" s="177"/>
      <c r="AI58" s="177"/>
      <c r="AJ58" s="177"/>
      <c r="AK58" s="177"/>
      <c r="AL58" s="177"/>
      <c r="AM58" s="177"/>
      <c r="AN58" s="177"/>
    </row>
    <row r="59" spans="1:40">
      <c r="A59" s="177"/>
      <c r="B59" s="177"/>
      <c r="C59" s="177"/>
      <c r="D59" s="177"/>
      <c r="AF59" s="177"/>
      <c r="AG59" s="177"/>
      <c r="AH59" s="177"/>
      <c r="AI59" s="177"/>
      <c r="AJ59" s="177"/>
      <c r="AK59" s="177"/>
      <c r="AL59" s="177"/>
      <c r="AM59" s="177"/>
      <c r="AN59" s="177"/>
    </row>
    <row r="60" spans="1:40">
      <c r="A60" s="177"/>
      <c r="B60" s="177"/>
      <c r="C60" s="177"/>
      <c r="D60" s="177"/>
      <c r="AF60" s="177"/>
      <c r="AG60" s="177"/>
      <c r="AH60" s="177"/>
      <c r="AI60" s="177"/>
      <c r="AJ60" s="177"/>
      <c r="AK60" s="177"/>
      <c r="AL60" s="177"/>
      <c r="AM60" s="177"/>
      <c r="AN60" s="177"/>
    </row>
    <row r="61" spans="1:40">
      <c r="A61" s="177"/>
      <c r="B61" s="177"/>
      <c r="C61" s="177"/>
      <c r="D61" s="177"/>
      <c r="AF61" s="177"/>
      <c r="AG61" s="177"/>
      <c r="AH61" s="177"/>
      <c r="AI61" s="177"/>
      <c r="AJ61" s="177"/>
      <c r="AK61" s="177"/>
      <c r="AL61" s="177"/>
      <c r="AM61" s="177"/>
      <c r="AN61" s="177"/>
    </row>
    <row r="62" spans="1:40">
      <c r="A62" s="177"/>
      <c r="B62" s="177"/>
      <c r="C62" s="177"/>
      <c r="D62" s="177"/>
      <c r="AF62" s="177"/>
      <c r="AG62" s="177"/>
      <c r="AH62" s="177"/>
      <c r="AI62" s="177"/>
      <c r="AJ62" s="177"/>
      <c r="AK62" s="177"/>
      <c r="AL62" s="177"/>
      <c r="AM62" s="177"/>
      <c r="AN62" s="177"/>
    </row>
    <row r="63" spans="1:40">
      <c r="A63" s="177"/>
      <c r="B63" s="177"/>
      <c r="C63" s="177"/>
      <c r="D63" s="177"/>
      <c r="AF63" s="177"/>
      <c r="AG63" s="177"/>
      <c r="AH63" s="177"/>
      <c r="AI63" s="177"/>
      <c r="AJ63" s="177"/>
      <c r="AK63" s="177"/>
      <c r="AL63" s="177"/>
      <c r="AM63" s="177"/>
      <c r="AN63" s="177"/>
    </row>
    <row r="64" spans="1:40">
      <c r="A64" s="177"/>
      <c r="B64" s="177"/>
      <c r="C64" s="177"/>
      <c r="D64" s="177"/>
      <c r="AF64" s="177"/>
      <c r="AG64" s="177"/>
      <c r="AH64" s="177"/>
      <c r="AI64" s="177"/>
      <c r="AJ64" s="177"/>
      <c r="AK64" s="177"/>
      <c r="AL64" s="177"/>
      <c r="AM64" s="177"/>
      <c r="AN64" s="177"/>
    </row>
    <row r="65" spans="1:40">
      <c r="A65" s="177"/>
      <c r="B65" s="177"/>
      <c r="C65" s="177"/>
      <c r="D65" s="177"/>
      <c r="AF65" s="177"/>
      <c r="AG65" s="177"/>
      <c r="AH65" s="177"/>
      <c r="AI65" s="177"/>
      <c r="AJ65" s="177"/>
      <c r="AK65" s="177"/>
      <c r="AL65" s="177"/>
      <c r="AM65" s="177"/>
      <c r="AN65" s="177"/>
    </row>
    <row r="66" spans="1:40">
      <c r="A66" s="177"/>
      <c r="B66" s="177"/>
      <c r="C66" s="177"/>
      <c r="D66" s="177"/>
      <c r="AF66" s="177"/>
      <c r="AG66" s="177"/>
      <c r="AH66" s="177"/>
      <c r="AI66" s="177"/>
      <c r="AJ66" s="177"/>
      <c r="AK66" s="177"/>
      <c r="AL66" s="177"/>
      <c r="AM66" s="177"/>
      <c r="AN66" s="177"/>
    </row>
    <row r="67" spans="1:40">
      <c r="A67" s="177"/>
      <c r="B67" s="177"/>
      <c r="C67" s="177"/>
      <c r="D67" s="177"/>
      <c r="AF67" s="177"/>
      <c r="AG67" s="177"/>
      <c r="AH67" s="177"/>
      <c r="AI67" s="177"/>
      <c r="AJ67" s="177"/>
      <c r="AK67" s="177"/>
      <c r="AL67" s="177"/>
      <c r="AM67" s="177"/>
      <c r="AN67" s="177"/>
    </row>
    <row r="68" spans="1:40">
      <c r="A68" s="177"/>
      <c r="B68" s="177"/>
      <c r="C68" s="177"/>
      <c r="D68" s="177"/>
      <c r="AF68" s="177"/>
      <c r="AG68" s="177"/>
      <c r="AH68" s="177"/>
      <c r="AI68" s="177"/>
      <c r="AJ68" s="177"/>
      <c r="AK68" s="177"/>
      <c r="AL68" s="177"/>
      <c r="AM68" s="177"/>
      <c r="AN68" s="177"/>
    </row>
    <row r="69" spans="1:40">
      <c r="A69" s="177"/>
      <c r="B69" s="177"/>
      <c r="C69" s="177"/>
      <c r="D69" s="177"/>
      <c r="AF69" s="177"/>
      <c r="AG69" s="177"/>
      <c r="AH69" s="177"/>
      <c r="AI69" s="177"/>
      <c r="AJ69" s="177"/>
      <c r="AK69" s="177"/>
      <c r="AL69" s="177"/>
      <c r="AM69" s="177"/>
      <c r="AN69" s="177"/>
    </row>
    <row r="70" spans="1:40">
      <c r="A70" s="177"/>
      <c r="B70" s="177"/>
      <c r="C70" s="177"/>
      <c r="D70" s="177"/>
      <c r="AF70" s="177"/>
      <c r="AG70" s="177"/>
      <c r="AH70" s="177"/>
      <c r="AI70" s="177"/>
      <c r="AJ70" s="177"/>
      <c r="AK70" s="177"/>
      <c r="AL70" s="177"/>
      <c r="AM70" s="177"/>
      <c r="AN70" s="177"/>
    </row>
    <row r="71" spans="1:40">
      <c r="A71" s="177"/>
      <c r="B71" s="177"/>
      <c r="C71" s="177"/>
      <c r="D71" s="177"/>
      <c r="AF71" s="177"/>
      <c r="AG71" s="177"/>
      <c r="AH71" s="177"/>
      <c r="AI71" s="177"/>
      <c r="AJ71" s="177"/>
      <c r="AK71" s="177"/>
      <c r="AL71" s="177"/>
      <c r="AM71" s="177"/>
      <c r="AN71" s="177"/>
    </row>
    <row r="72" spans="1:40">
      <c r="A72" s="177"/>
      <c r="B72" s="177"/>
      <c r="C72" s="177"/>
      <c r="D72" s="177"/>
      <c r="AF72" s="177"/>
      <c r="AG72" s="177"/>
      <c r="AH72" s="177"/>
      <c r="AI72" s="177"/>
      <c r="AJ72" s="177"/>
      <c r="AK72" s="177"/>
      <c r="AL72" s="177"/>
      <c r="AM72" s="177"/>
      <c r="AN72" s="177"/>
    </row>
    <row r="73" spans="1:40">
      <c r="A73" s="177"/>
      <c r="B73" s="177"/>
      <c r="C73" s="177"/>
      <c r="D73" s="177"/>
      <c r="AF73" s="177"/>
      <c r="AG73" s="177"/>
      <c r="AH73" s="177"/>
      <c r="AI73" s="177"/>
      <c r="AJ73" s="177"/>
      <c r="AK73" s="177"/>
      <c r="AL73" s="177"/>
      <c r="AM73" s="177"/>
      <c r="AN73" s="177"/>
    </row>
    <row r="74" spans="1:40">
      <c r="A74" s="177"/>
      <c r="B74" s="177"/>
      <c r="C74" s="177"/>
      <c r="D74" s="177"/>
      <c r="AF74" s="177"/>
      <c r="AG74" s="177"/>
      <c r="AH74" s="177"/>
      <c r="AI74" s="177"/>
      <c r="AJ74" s="177"/>
      <c r="AK74" s="177"/>
      <c r="AL74" s="177"/>
      <c r="AM74" s="177"/>
      <c r="AN74" s="177"/>
    </row>
    <row r="75" spans="1:40">
      <c r="A75" s="177"/>
      <c r="B75" s="177"/>
      <c r="C75" s="177"/>
      <c r="D75" s="177"/>
      <c r="AF75" s="177"/>
      <c r="AG75" s="177"/>
      <c r="AH75" s="177"/>
      <c r="AI75" s="177"/>
      <c r="AJ75" s="177"/>
      <c r="AK75" s="177"/>
      <c r="AL75" s="177"/>
      <c r="AM75" s="177"/>
      <c r="AN75" s="177"/>
    </row>
    <row r="76" spans="1:40">
      <c r="A76" s="177"/>
      <c r="B76" s="177"/>
      <c r="C76" s="177"/>
      <c r="D76" s="177"/>
      <c r="AF76" s="177"/>
      <c r="AG76" s="177"/>
      <c r="AH76" s="177"/>
      <c r="AI76" s="177"/>
      <c r="AJ76" s="177"/>
      <c r="AK76" s="177"/>
      <c r="AL76" s="177"/>
      <c r="AM76" s="177"/>
      <c r="AN76" s="177"/>
    </row>
    <row r="77" spans="1:40">
      <c r="A77" s="177"/>
      <c r="B77" s="177"/>
      <c r="C77" s="177"/>
      <c r="D77" s="177"/>
      <c r="AF77" s="177"/>
      <c r="AG77" s="177"/>
      <c r="AH77" s="177"/>
      <c r="AI77" s="177"/>
      <c r="AJ77" s="177"/>
      <c r="AK77" s="177"/>
      <c r="AL77" s="177"/>
      <c r="AM77" s="177"/>
      <c r="AN77" s="177"/>
    </row>
    <row r="78" spans="1:40">
      <c r="A78" s="177"/>
      <c r="B78" s="177"/>
      <c r="C78" s="177"/>
      <c r="D78" s="177"/>
      <c r="AF78" s="177"/>
      <c r="AG78" s="177"/>
      <c r="AH78" s="177"/>
      <c r="AI78" s="177"/>
      <c r="AJ78" s="177"/>
      <c r="AK78" s="177"/>
      <c r="AL78" s="177"/>
      <c r="AM78" s="177"/>
      <c r="AN78" s="177"/>
    </row>
    <row r="79" spans="1:40">
      <c r="A79" s="177"/>
      <c r="B79" s="177"/>
      <c r="C79" s="177"/>
      <c r="D79" s="177"/>
      <c r="AF79" s="177"/>
      <c r="AG79" s="177"/>
      <c r="AH79" s="177"/>
      <c r="AI79" s="177"/>
      <c r="AJ79" s="177"/>
      <c r="AK79" s="177"/>
      <c r="AL79" s="177"/>
      <c r="AM79" s="177"/>
      <c r="AN79" s="177"/>
    </row>
    <row r="80" spans="1:40">
      <c r="A80" s="177"/>
      <c r="B80" s="177"/>
      <c r="C80" s="177"/>
      <c r="D80" s="177"/>
      <c r="AF80" s="177"/>
      <c r="AG80" s="177"/>
      <c r="AH80" s="177"/>
      <c r="AI80" s="177"/>
      <c r="AJ80" s="177"/>
      <c r="AK80" s="177"/>
      <c r="AL80" s="177"/>
      <c r="AM80" s="177"/>
      <c r="AN80" s="177"/>
    </row>
    <row r="81" spans="1:40">
      <c r="A81" s="177"/>
      <c r="B81" s="177"/>
      <c r="C81" s="177"/>
      <c r="D81" s="177"/>
      <c r="AF81" s="177"/>
      <c r="AG81" s="177"/>
      <c r="AH81" s="177"/>
      <c r="AI81" s="177"/>
      <c r="AJ81" s="177"/>
      <c r="AK81" s="177"/>
      <c r="AL81" s="177"/>
      <c r="AM81" s="177"/>
      <c r="AN81" s="177"/>
    </row>
    <row r="82" spans="1:40">
      <c r="A82" s="177"/>
      <c r="B82" s="177"/>
      <c r="C82" s="177"/>
      <c r="D82" s="177"/>
      <c r="AF82" s="177"/>
      <c r="AG82" s="177"/>
      <c r="AH82" s="177"/>
      <c r="AI82" s="177"/>
      <c r="AJ82" s="177"/>
      <c r="AK82" s="177"/>
      <c r="AL82" s="177"/>
      <c r="AM82" s="177"/>
      <c r="AN82" s="177"/>
    </row>
    <row r="83" spans="1:40">
      <c r="A83" s="177"/>
      <c r="B83" s="177"/>
      <c r="C83" s="177"/>
      <c r="D83" s="177"/>
      <c r="AF83" s="177"/>
      <c r="AG83" s="177"/>
      <c r="AH83" s="177"/>
      <c r="AI83" s="177"/>
      <c r="AJ83" s="177"/>
      <c r="AK83" s="177"/>
      <c r="AL83" s="177"/>
      <c r="AM83" s="177"/>
      <c r="AN83" s="177"/>
    </row>
    <row r="84" spans="1:40">
      <c r="A84" s="177"/>
      <c r="B84" s="177"/>
      <c r="C84" s="177"/>
      <c r="D84" s="177"/>
      <c r="AF84" s="177"/>
      <c r="AG84" s="177"/>
      <c r="AH84" s="177"/>
      <c r="AI84" s="177"/>
      <c r="AJ84" s="177"/>
      <c r="AK84" s="177"/>
      <c r="AL84" s="177"/>
      <c r="AM84" s="177"/>
      <c r="AN84" s="177"/>
    </row>
    <row r="85" spans="1:40">
      <c r="A85" s="177"/>
      <c r="B85" s="177"/>
      <c r="C85" s="177"/>
      <c r="D85" s="177"/>
      <c r="AF85" s="177"/>
      <c r="AG85" s="177"/>
      <c r="AH85" s="177"/>
      <c r="AI85" s="177"/>
      <c r="AJ85" s="177"/>
      <c r="AK85" s="177"/>
      <c r="AL85" s="177"/>
      <c r="AM85" s="177"/>
      <c r="AN85" s="177"/>
    </row>
    <row r="86" spans="1:40">
      <c r="A86" s="177"/>
      <c r="B86" s="177"/>
      <c r="C86" s="177"/>
      <c r="D86" s="177"/>
      <c r="AF86" s="177"/>
      <c r="AG86" s="177"/>
      <c r="AH86" s="177"/>
      <c r="AI86" s="177"/>
      <c r="AJ86" s="177"/>
      <c r="AK86" s="177"/>
      <c r="AL86" s="177"/>
      <c r="AM86" s="177"/>
      <c r="AN86" s="177"/>
    </row>
    <row r="87" spans="1:40">
      <c r="A87" s="177"/>
      <c r="B87" s="177"/>
      <c r="C87" s="177"/>
      <c r="D87" s="177"/>
      <c r="AF87" s="177"/>
      <c r="AG87" s="177"/>
      <c r="AH87" s="177"/>
      <c r="AI87" s="177"/>
      <c r="AJ87" s="177"/>
      <c r="AK87" s="177"/>
      <c r="AL87" s="177"/>
      <c r="AM87" s="177"/>
      <c r="AN87" s="177"/>
    </row>
    <row r="88" spans="1:40">
      <c r="A88" s="177"/>
      <c r="B88" s="177"/>
      <c r="C88" s="177"/>
      <c r="D88" s="177"/>
      <c r="AF88" s="177"/>
      <c r="AG88" s="177"/>
      <c r="AH88" s="177"/>
      <c r="AI88" s="177"/>
      <c r="AJ88" s="177"/>
      <c r="AK88" s="177"/>
      <c r="AL88" s="177"/>
      <c r="AM88" s="177"/>
      <c r="AN88" s="177"/>
    </row>
    <row r="89" spans="1:40">
      <c r="A89" s="177"/>
      <c r="B89" s="177"/>
      <c r="C89" s="177"/>
      <c r="D89" s="177"/>
      <c r="AF89" s="177"/>
      <c r="AG89" s="177"/>
      <c r="AH89" s="177"/>
      <c r="AI89" s="177"/>
      <c r="AJ89" s="177"/>
      <c r="AK89" s="177"/>
      <c r="AL89" s="177"/>
      <c r="AM89" s="177"/>
      <c r="AN89" s="177"/>
    </row>
    <row r="90" spans="1:40">
      <c r="A90" s="177"/>
      <c r="B90" s="177"/>
      <c r="C90" s="177"/>
      <c r="D90" s="177"/>
      <c r="AF90" s="177"/>
      <c r="AG90" s="177"/>
      <c r="AH90" s="177"/>
      <c r="AI90" s="177"/>
      <c r="AJ90" s="177"/>
      <c r="AK90" s="177"/>
      <c r="AL90" s="177"/>
      <c r="AM90" s="177"/>
      <c r="AN90" s="177"/>
    </row>
    <row r="91" spans="1:40">
      <c r="A91" s="177"/>
      <c r="B91" s="177"/>
      <c r="C91" s="177"/>
      <c r="D91" s="177"/>
      <c r="AF91" s="177"/>
      <c r="AG91" s="177"/>
      <c r="AH91" s="177"/>
      <c r="AI91" s="177"/>
      <c r="AJ91" s="177"/>
      <c r="AK91" s="177"/>
      <c r="AL91" s="177"/>
      <c r="AM91" s="177"/>
      <c r="AN91" s="177"/>
    </row>
    <row r="92" spans="1:40">
      <c r="A92" s="177"/>
      <c r="B92" s="177"/>
      <c r="C92" s="177"/>
      <c r="D92" s="177"/>
      <c r="AF92" s="177"/>
      <c r="AG92" s="177"/>
      <c r="AH92" s="177"/>
      <c r="AI92" s="177"/>
      <c r="AJ92" s="177"/>
      <c r="AK92" s="177"/>
      <c r="AL92" s="177"/>
      <c r="AM92" s="177"/>
      <c r="AN92" s="177"/>
    </row>
    <row r="93" spans="1:40">
      <c r="A93" s="177"/>
      <c r="B93" s="177"/>
      <c r="C93" s="177"/>
      <c r="D93" s="177"/>
      <c r="AF93" s="177"/>
      <c r="AG93" s="177"/>
      <c r="AH93" s="177"/>
      <c r="AI93" s="177"/>
      <c r="AJ93" s="177"/>
      <c r="AK93" s="177"/>
      <c r="AL93" s="177"/>
      <c r="AM93" s="177"/>
      <c r="AN93" s="177"/>
    </row>
    <row r="94" spans="1:40">
      <c r="A94" s="177"/>
      <c r="B94" s="177"/>
      <c r="C94" s="177"/>
      <c r="D94" s="177"/>
      <c r="AF94" s="177"/>
      <c r="AG94" s="177"/>
      <c r="AH94" s="177"/>
      <c r="AI94" s="177"/>
      <c r="AJ94" s="177"/>
      <c r="AK94" s="177"/>
      <c r="AL94" s="177"/>
      <c r="AM94" s="177"/>
      <c r="AN94" s="177"/>
    </row>
    <row r="95" spans="1:40">
      <c r="A95" s="177"/>
      <c r="B95" s="177"/>
      <c r="C95" s="177"/>
      <c r="D95" s="177"/>
      <c r="AF95" s="177"/>
      <c r="AG95" s="177"/>
      <c r="AH95" s="177"/>
      <c r="AI95" s="177"/>
      <c r="AJ95" s="177"/>
      <c r="AK95" s="177"/>
      <c r="AL95" s="177"/>
      <c r="AM95" s="177"/>
      <c r="AN95" s="177"/>
    </row>
    <row r="96" spans="1:40">
      <c r="A96" s="177"/>
      <c r="B96" s="177"/>
      <c r="C96" s="177"/>
      <c r="D96" s="177"/>
      <c r="AF96" s="177"/>
      <c r="AG96" s="177"/>
      <c r="AH96" s="177"/>
      <c r="AI96" s="177"/>
      <c r="AJ96" s="177"/>
      <c r="AK96" s="177"/>
      <c r="AL96" s="177"/>
      <c r="AM96" s="177"/>
      <c r="AN96" s="177"/>
    </row>
    <row r="97" spans="1:40">
      <c r="A97" s="177"/>
      <c r="B97" s="177"/>
      <c r="C97" s="177"/>
      <c r="D97" s="177"/>
      <c r="AF97" s="177"/>
      <c r="AG97" s="177"/>
      <c r="AH97" s="177"/>
      <c r="AI97" s="177"/>
      <c r="AJ97" s="177"/>
      <c r="AK97" s="177"/>
      <c r="AL97" s="177"/>
      <c r="AM97" s="177"/>
      <c r="AN97" s="177"/>
    </row>
    <row r="98" spans="1:40">
      <c r="A98" s="177"/>
      <c r="B98" s="177"/>
      <c r="C98" s="177"/>
      <c r="D98" s="177"/>
      <c r="AF98" s="177"/>
      <c r="AG98" s="177"/>
      <c r="AH98" s="177"/>
      <c r="AI98" s="177"/>
      <c r="AJ98" s="177"/>
      <c r="AK98" s="177"/>
      <c r="AL98" s="177"/>
      <c r="AM98" s="177"/>
      <c r="AN98" s="177"/>
    </row>
    <row r="99" spans="1:40">
      <c r="A99" s="177"/>
      <c r="B99" s="177"/>
      <c r="C99" s="177"/>
      <c r="D99" s="177"/>
      <c r="AF99" s="177"/>
      <c r="AG99" s="177"/>
      <c r="AH99" s="177"/>
      <c r="AI99" s="177"/>
      <c r="AJ99" s="177"/>
      <c r="AK99" s="177"/>
      <c r="AL99" s="177"/>
      <c r="AM99" s="177"/>
      <c r="AN99" s="177"/>
    </row>
    <row r="100" spans="1:40">
      <c r="A100" s="177"/>
      <c r="B100" s="177"/>
      <c r="C100" s="177"/>
      <c r="D100" s="177"/>
      <c r="AF100" s="177"/>
      <c r="AG100" s="177"/>
      <c r="AH100" s="177"/>
      <c r="AI100" s="177"/>
      <c r="AJ100" s="177"/>
      <c r="AK100" s="177"/>
      <c r="AL100" s="177"/>
      <c r="AM100" s="177"/>
      <c r="AN100" s="177"/>
    </row>
    <row r="101" spans="1:40">
      <c r="A101" s="177"/>
      <c r="B101" s="177"/>
      <c r="C101" s="177"/>
      <c r="D101" s="177"/>
      <c r="AF101" s="177"/>
      <c r="AG101" s="177"/>
      <c r="AH101" s="177"/>
      <c r="AI101" s="177"/>
      <c r="AJ101" s="177"/>
      <c r="AK101" s="177"/>
      <c r="AL101" s="177"/>
      <c r="AM101" s="177"/>
      <c r="AN101" s="177"/>
    </row>
    <row r="102" spans="1:40">
      <c r="A102" s="177"/>
      <c r="B102" s="177"/>
      <c r="C102" s="177"/>
      <c r="D102" s="177"/>
      <c r="AF102" s="177"/>
      <c r="AG102" s="177"/>
      <c r="AH102" s="177"/>
      <c r="AI102" s="177"/>
      <c r="AJ102" s="177"/>
      <c r="AK102" s="177"/>
      <c r="AL102" s="177"/>
      <c r="AM102" s="177"/>
      <c r="AN102" s="177"/>
    </row>
    <row r="103" spans="1:40">
      <c r="A103" s="177"/>
      <c r="B103" s="177"/>
      <c r="C103" s="177"/>
      <c r="D103" s="177"/>
      <c r="AF103" s="177"/>
      <c r="AG103" s="177"/>
      <c r="AH103" s="177"/>
      <c r="AI103" s="177"/>
      <c r="AJ103" s="177"/>
      <c r="AK103" s="177"/>
      <c r="AL103" s="177"/>
      <c r="AM103" s="177"/>
      <c r="AN103" s="177"/>
    </row>
    <row r="104" spans="1:40">
      <c r="A104" s="177"/>
      <c r="B104" s="177"/>
      <c r="C104" s="177"/>
      <c r="D104" s="177"/>
      <c r="AF104" s="177"/>
      <c r="AG104" s="177"/>
      <c r="AH104" s="177"/>
      <c r="AI104" s="177"/>
      <c r="AJ104" s="177"/>
      <c r="AK104" s="177"/>
      <c r="AL104" s="177"/>
      <c r="AM104" s="177"/>
      <c r="AN104" s="177"/>
    </row>
    <row r="105" spans="1:40">
      <c r="A105" s="177"/>
      <c r="B105" s="177"/>
      <c r="C105" s="177"/>
      <c r="D105" s="177"/>
      <c r="AF105" s="177"/>
      <c r="AG105" s="177"/>
      <c r="AH105" s="177"/>
      <c r="AI105" s="177"/>
      <c r="AJ105" s="177"/>
      <c r="AK105" s="177"/>
      <c r="AL105" s="177"/>
      <c r="AM105" s="177"/>
      <c r="AN105" s="177"/>
    </row>
    <row r="106" spans="1:40">
      <c r="A106" s="177"/>
      <c r="B106" s="177"/>
      <c r="C106" s="177"/>
      <c r="D106" s="177"/>
      <c r="AF106" s="177"/>
      <c r="AG106" s="177"/>
      <c r="AH106" s="177"/>
      <c r="AI106" s="177"/>
      <c r="AJ106" s="177"/>
      <c r="AK106" s="177"/>
      <c r="AL106" s="177"/>
      <c r="AM106" s="177"/>
      <c r="AN106" s="177"/>
    </row>
    <row r="107" spans="1:40">
      <c r="A107" s="177"/>
      <c r="B107" s="177"/>
      <c r="C107" s="177"/>
      <c r="D107" s="177"/>
      <c r="AF107" s="177"/>
      <c r="AG107" s="177"/>
      <c r="AH107" s="177"/>
      <c r="AI107" s="177"/>
      <c r="AJ107" s="177"/>
      <c r="AK107" s="177"/>
      <c r="AL107" s="177"/>
      <c r="AM107" s="177"/>
      <c r="AN107" s="177"/>
    </row>
    <row r="108" spans="1:40">
      <c r="A108" s="177"/>
      <c r="B108" s="177"/>
      <c r="C108" s="177"/>
      <c r="D108" s="177"/>
      <c r="AF108" s="177"/>
      <c r="AG108" s="177"/>
      <c r="AH108" s="177"/>
      <c r="AI108" s="177"/>
      <c r="AJ108" s="177"/>
      <c r="AK108" s="177"/>
      <c r="AL108" s="177"/>
      <c r="AM108" s="177"/>
      <c r="AN108" s="177"/>
    </row>
    <row r="109" spans="1:40">
      <c r="A109" s="177"/>
      <c r="B109" s="177"/>
      <c r="C109" s="177"/>
      <c r="D109" s="177"/>
      <c r="AF109" s="177"/>
      <c r="AG109" s="177"/>
      <c r="AH109" s="177"/>
      <c r="AI109" s="177"/>
      <c r="AJ109" s="177"/>
      <c r="AK109" s="177"/>
      <c r="AL109" s="177"/>
      <c r="AM109" s="177"/>
      <c r="AN109" s="177"/>
    </row>
    <row r="110" spans="1:40">
      <c r="A110" s="177"/>
      <c r="B110" s="177"/>
      <c r="C110" s="177"/>
      <c r="D110" s="177"/>
      <c r="AF110" s="177"/>
      <c r="AG110" s="177"/>
      <c r="AH110" s="177"/>
      <c r="AI110" s="177"/>
      <c r="AJ110" s="177"/>
      <c r="AK110" s="177"/>
      <c r="AL110" s="177"/>
      <c r="AM110" s="177"/>
      <c r="AN110" s="177"/>
    </row>
    <row r="111" spans="1:40">
      <c r="A111" s="177"/>
      <c r="B111" s="177"/>
      <c r="C111" s="177"/>
      <c r="D111" s="177"/>
      <c r="AF111" s="177"/>
      <c r="AG111" s="177"/>
      <c r="AH111" s="177"/>
      <c r="AI111" s="177"/>
      <c r="AJ111" s="177"/>
      <c r="AK111" s="177"/>
      <c r="AL111" s="177"/>
      <c r="AM111" s="177"/>
      <c r="AN111" s="177"/>
    </row>
    <row r="112" spans="1:40">
      <c r="A112" s="177"/>
      <c r="B112" s="177"/>
      <c r="C112" s="177"/>
      <c r="D112" s="177"/>
      <c r="AF112" s="177"/>
      <c r="AG112" s="177"/>
      <c r="AH112" s="177"/>
      <c r="AI112" s="177"/>
      <c r="AJ112" s="177"/>
      <c r="AK112" s="177"/>
      <c r="AL112" s="177"/>
      <c r="AM112" s="177"/>
      <c r="AN112" s="177"/>
    </row>
    <row r="113" spans="1:40">
      <c r="A113" s="177"/>
      <c r="B113" s="177"/>
      <c r="C113" s="177"/>
      <c r="D113" s="177"/>
      <c r="AF113" s="177"/>
      <c r="AG113" s="177"/>
      <c r="AH113" s="177"/>
      <c r="AI113" s="177"/>
      <c r="AJ113" s="177"/>
      <c r="AK113" s="177"/>
      <c r="AL113" s="177"/>
      <c r="AM113" s="177"/>
      <c r="AN113" s="177"/>
    </row>
    <row r="114" spans="1:40">
      <c r="A114" s="177"/>
      <c r="B114" s="177"/>
      <c r="C114" s="177"/>
      <c r="D114" s="177"/>
      <c r="AF114" s="177"/>
      <c r="AG114" s="177"/>
      <c r="AH114" s="177"/>
      <c r="AI114" s="177"/>
      <c r="AJ114" s="177"/>
      <c r="AK114" s="177"/>
      <c r="AL114" s="177"/>
      <c r="AM114" s="177"/>
      <c r="AN114" s="177"/>
    </row>
    <row r="115" spans="1:40">
      <c r="A115" s="177"/>
      <c r="B115" s="177"/>
      <c r="C115" s="177"/>
      <c r="D115" s="177"/>
      <c r="AF115" s="177"/>
      <c r="AG115" s="177"/>
      <c r="AH115" s="177"/>
      <c r="AI115" s="177"/>
      <c r="AJ115" s="177"/>
      <c r="AK115" s="177"/>
      <c r="AL115" s="177"/>
      <c r="AM115" s="177"/>
      <c r="AN115" s="177"/>
    </row>
    <row r="116" spans="1:40">
      <c r="A116" s="177"/>
      <c r="B116" s="177"/>
      <c r="C116" s="177"/>
      <c r="D116" s="177"/>
      <c r="AF116" s="177"/>
      <c r="AG116" s="177"/>
      <c r="AH116" s="177"/>
      <c r="AI116" s="177"/>
      <c r="AJ116" s="177"/>
      <c r="AK116" s="177"/>
      <c r="AL116" s="177"/>
      <c r="AM116" s="177"/>
      <c r="AN116" s="177"/>
    </row>
    <row r="117" spans="1:40">
      <c r="A117" s="177"/>
      <c r="B117" s="177"/>
      <c r="C117" s="177"/>
      <c r="D117" s="177"/>
      <c r="AF117" s="177"/>
      <c r="AG117" s="177"/>
      <c r="AH117" s="177"/>
      <c r="AI117" s="177"/>
      <c r="AJ117" s="177"/>
      <c r="AK117" s="177"/>
      <c r="AL117" s="177"/>
      <c r="AM117" s="177"/>
      <c r="AN117" s="177"/>
    </row>
    <row r="118" spans="1:40">
      <c r="A118" s="177"/>
      <c r="B118" s="177"/>
      <c r="C118" s="177"/>
      <c r="D118" s="177"/>
      <c r="AF118" s="177"/>
      <c r="AG118" s="177"/>
      <c r="AH118" s="177"/>
      <c r="AI118" s="177"/>
      <c r="AJ118" s="177"/>
      <c r="AK118" s="177"/>
      <c r="AL118" s="177"/>
      <c r="AM118" s="177"/>
      <c r="AN118" s="177"/>
    </row>
    <row r="119" spans="1:40">
      <c r="A119" s="177"/>
      <c r="B119" s="177"/>
      <c r="C119" s="177"/>
      <c r="D119" s="177"/>
      <c r="AF119" s="177"/>
      <c r="AG119" s="177"/>
      <c r="AH119" s="177"/>
      <c r="AI119" s="177"/>
      <c r="AJ119" s="177"/>
      <c r="AK119" s="177"/>
      <c r="AL119" s="177"/>
      <c r="AM119" s="177"/>
      <c r="AN119" s="177"/>
    </row>
    <row r="120" spans="1:40">
      <c r="A120" s="177"/>
      <c r="B120" s="177"/>
      <c r="C120" s="177"/>
      <c r="D120" s="177"/>
      <c r="AF120" s="177"/>
      <c r="AG120" s="177"/>
      <c r="AH120" s="177"/>
      <c r="AI120" s="177"/>
      <c r="AJ120" s="177"/>
      <c r="AK120" s="177"/>
      <c r="AL120" s="177"/>
      <c r="AM120" s="177"/>
      <c r="AN120" s="177"/>
    </row>
    <row r="121" spans="1:40">
      <c r="A121" s="177"/>
      <c r="B121" s="177"/>
      <c r="C121" s="177"/>
      <c r="D121" s="177"/>
      <c r="AF121" s="177"/>
      <c r="AG121" s="177"/>
      <c r="AH121" s="177"/>
      <c r="AI121" s="177"/>
      <c r="AJ121" s="177"/>
      <c r="AK121" s="177"/>
      <c r="AL121" s="177"/>
      <c r="AM121" s="177"/>
      <c r="AN121" s="177"/>
    </row>
    <row r="122" spans="1:40">
      <c r="A122" s="177"/>
      <c r="B122" s="177"/>
      <c r="C122" s="177"/>
      <c r="D122" s="177"/>
      <c r="AF122" s="177"/>
      <c r="AG122" s="177"/>
      <c r="AH122" s="177"/>
      <c r="AI122" s="177"/>
      <c r="AJ122" s="177"/>
      <c r="AK122" s="177"/>
      <c r="AL122" s="177"/>
      <c r="AM122" s="177"/>
      <c r="AN122" s="177"/>
    </row>
    <row r="123" spans="1:40">
      <c r="A123" s="177"/>
      <c r="B123" s="177"/>
      <c r="C123" s="177"/>
      <c r="D123" s="177"/>
      <c r="AF123" s="177"/>
      <c r="AG123" s="177"/>
      <c r="AH123" s="177"/>
      <c r="AI123" s="177"/>
      <c r="AJ123" s="177"/>
      <c r="AK123" s="177"/>
      <c r="AL123" s="177"/>
      <c r="AM123" s="177"/>
      <c r="AN123" s="177"/>
    </row>
    <row r="124" spans="1:40">
      <c r="A124" s="177"/>
      <c r="B124" s="177"/>
      <c r="C124" s="177"/>
      <c r="D124" s="177"/>
      <c r="AF124" s="177"/>
      <c r="AG124" s="177"/>
      <c r="AH124" s="177"/>
      <c r="AI124" s="177"/>
      <c r="AJ124" s="177"/>
      <c r="AK124" s="177"/>
      <c r="AL124" s="177"/>
      <c r="AM124" s="177"/>
      <c r="AN124" s="177"/>
    </row>
    <row r="125" spans="1:40">
      <c r="A125" s="177"/>
      <c r="B125" s="177"/>
      <c r="C125" s="177"/>
      <c r="D125" s="177"/>
      <c r="AF125" s="177"/>
      <c r="AG125" s="177"/>
      <c r="AH125" s="177"/>
      <c r="AI125" s="177"/>
      <c r="AJ125" s="177"/>
      <c r="AK125" s="177"/>
      <c r="AL125" s="177"/>
      <c r="AM125" s="177"/>
      <c r="AN125" s="177"/>
    </row>
    <row r="126" spans="1:40">
      <c r="A126" s="177"/>
      <c r="B126" s="177"/>
      <c r="C126" s="177"/>
      <c r="D126" s="177"/>
      <c r="AF126" s="177"/>
      <c r="AG126" s="177"/>
      <c r="AH126" s="177"/>
      <c r="AI126" s="177"/>
      <c r="AJ126" s="177"/>
      <c r="AK126" s="177"/>
      <c r="AL126" s="177"/>
      <c r="AM126" s="177"/>
      <c r="AN126" s="177"/>
    </row>
    <row r="127" spans="1:40">
      <c r="A127" s="177"/>
      <c r="B127" s="177"/>
      <c r="C127" s="177"/>
      <c r="D127" s="177"/>
      <c r="AF127" s="177"/>
      <c r="AG127" s="177"/>
      <c r="AH127" s="177"/>
      <c r="AI127" s="177"/>
      <c r="AJ127" s="177"/>
      <c r="AK127" s="177"/>
      <c r="AL127" s="177"/>
      <c r="AM127" s="177"/>
      <c r="AN127" s="177"/>
    </row>
    <row r="128" spans="1:40">
      <c r="A128" s="177"/>
      <c r="B128" s="177"/>
      <c r="C128" s="177"/>
      <c r="D128" s="177"/>
      <c r="AF128" s="177"/>
      <c r="AG128" s="177"/>
      <c r="AH128" s="177"/>
      <c r="AI128" s="177"/>
      <c r="AJ128" s="177"/>
      <c r="AK128" s="177"/>
      <c r="AL128" s="177"/>
      <c r="AM128" s="177"/>
      <c r="AN128" s="177"/>
    </row>
    <row r="129" spans="1:40">
      <c r="A129" s="177"/>
      <c r="B129" s="177"/>
      <c r="C129" s="177"/>
      <c r="D129" s="177"/>
      <c r="AF129" s="177"/>
      <c r="AG129" s="177"/>
      <c r="AH129" s="177"/>
      <c r="AI129" s="177"/>
      <c r="AJ129" s="177"/>
      <c r="AK129" s="177"/>
      <c r="AL129" s="177"/>
      <c r="AM129" s="177"/>
      <c r="AN129" s="177"/>
    </row>
    <row r="130" spans="1:40">
      <c r="A130" s="177"/>
      <c r="B130" s="177"/>
      <c r="C130" s="177"/>
      <c r="D130" s="177"/>
      <c r="AF130" s="177"/>
      <c r="AG130" s="177"/>
      <c r="AH130" s="177"/>
      <c r="AI130" s="177"/>
      <c r="AJ130" s="177"/>
      <c r="AK130" s="177"/>
      <c r="AL130" s="177"/>
      <c r="AM130" s="177"/>
      <c r="AN130" s="177"/>
    </row>
    <row r="131" spans="1:40">
      <c r="A131" s="177"/>
      <c r="B131" s="177"/>
      <c r="C131" s="177"/>
      <c r="D131" s="177"/>
      <c r="AF131" s="177"/>
      <c r="AG131" s="177"/>
      <c r="AH131" s="177"/>
      <c r="AI131" s="177"/>
      <c r="AJ131" s="177"/>
      <c r="AK131" s="177"/>
      <c r="AL131" s="177"/>
      <c r="AM131" s="177"/>
      <c r="AN131" s="177"/>
    </row>
    <row r="132" spans="1:40">
      <c r="A132" s="177"/>
      <c r="B132" s="177"/>
      <c r="C132" s="177"/>
      <c r="D132" s="177"/>
      <c r="AF132" s="177"/>
      <c r="AG132" s="177"/>
      <c r="AH132" s="177"/>
      <c r="AI132" s="177"/>
      <c r="AJ132" s="177"/>
      <c r="AK132" s="177"/>
      <c r="AL132" s="177"/>
      <c r="AM132" s="177"/>
      <c r="AN132" s="177"/>
    </row>
    <row r="133" spans="1:40">
      <c r="A133" s="177"/>
      <c r="B133" s="177"/>
      <c r="C133" s="177"/>
      <c r="D133" s="177"/>
      <c r="AF133" s="177"/>
      <c r="AG133" s="177"/>
      <c r="AH133" s="177"/>
      <c r="AI133" s="177"/>
      <c r="AJ133" s="177"/>
      <c r="AK133" s="177"/>
      <c r="AL133" s="177"/>
      <c r="AM133" s="177"/>
      <c r="AN133" s="177"/>
    </row>
    <row r="134" spans="1:40">
      <c r="A134" s="177"/>
      <c r="B134" s="177"/>
      <c r="C134" s="177"/>
      <c r="D134" s="177"/>
      <c r="AF134" s="177"/>
      <c r="AG134" s="177"/>
      <c r="AH134" s="177"/>
      <c r="AI134" s="177"/>
      <c r="AJ134" s="177"/>
      <c r="AK134" s="177"/>
      <c r="AL134" s="177"/>
      <c r="AM134" s="177"/>
      <c r="AN134" s="177"/>
    </row>
    <row r="135" spans="1:40">
      <c r="A135" s="177"/>
      <c r="B135" s="177"/>
      <c r="C135" s="177"/>
      <c r="D135" s="177"/>
      <c r="AF135" s="177"/>
      <c r="AG135" s="177"/>
      <c r="AH135" s="177"/>
      <c r="AI135" s="177"/>
      <c r="AJ135" s="177"/>
      <c r="AK135" s="177"/>
      <c r="AL135" s="177"/>
      <c r="AM135" s="177"/>
      <c r="AN135" s="177"/>
    </row>
    <row r="136" spans="1:40">
      <c r="A136" s="177"/>
      <c r="B136" s="177"/>
      <c r="C136" s="177"/>
      <c r="D136" s="177"/>
      <c r="AF136" s="177"/>
      <c r="AG136" s="177"/>
      <c r="AH136" s="177"/>
      <c r="AI136" s="177"/>
      <c r="AJ136" s="177"/>
      <c r="AK136" s="177"/>
      <c r="AL136" s="177"/>
      <c r="AM136" s="177"/>
      <c r="AN136" s="177"/>
    </row>
    <row r="137" spans="1:40">
      <c r="A137" s="177"/>
      <c r="B137" s="177"/>
      <c r="C137" s="177"/>
      <c r="D137" s="177"/>
      <c r="AF137" s="177"/>
      <c r="AG137" s="177"/>
      <c r="AH137" s="177"/>
      <c r="AI137" s="177"/>
      <c r="AJ137" s="177"/>
      <c r="AK137" s="177"/>
      <c r="AL137" s="177"/>
      <c r="AM137" s="177"/>
      <c r="AN137" s="177"/>
    </row>
    <row r="138" spans="1:40">
      <c r="A138" s="177"/>
      <c r="B138" s="177"/>
      <c r="C138" s="177"/>
      <c r="D138" s="177"/>
      <c r="AF138" s="177"/>
      <c r="AG138" s="177"/>
      <c r="AH138" s="177"/>
      <c r="AI138" s="177"/>
      <c r="AJ138" s="177"/>
      <c r="AK138" s="177"/>
      <c r="AL138" s="177"/>
      <c r="AM138" s="177"/>
      <c r="AN138" s="177"/>
    </row>
    <row r="139" spans="1:40">
      <c r="A139" s="177"/>
      <c r="B139" s="177"/>
      <c r="C139" s="177"/>
      <c r="D139" s="177"/>
      <c r="AF139" s="177"/>
      <c r="AG139" s="177"/>
      <c r="AH139" s="177"/>
      <c r="AI139" s="177"/>
      <c r="AJ139" s="177"/>
      <c r="AK139" s="177"/>
      <c r="AL139" s="177"/>
      <c r="AM139" s="177"/>
      <c r="AN139" s="177"/>
    </row>
    <row r="140" spans="1:40">
      <c r="A140" s="177"/>
      <c r="B140" s="177"/>
      <c r="C140" s="177"/>
      <c r="D140" s="177"/>
      <c r="AF140" s="177"/>
      <c r="AG140" s="177"/>
      <c r="AH140" s="177"/>
      <c r="AI140" s="177"/>
      <c r="AJ140" s="177"/>
      <c r="AK140" s="177"/>
      <c r="AL140" s="177"/>
      <c r="AM140" s="177"/>
      <c r="AN140" s="177"/>
    </row>
    <row r="141" spans="1:40">
      <c r="A141" s="177"/>
      <c r="B141" s="177"/>
      <c r="C141" s="177"/>
      <c r="D141" s="177"/>
      <c r="AF141" s="177"/>
      <c r="AG141" s="177"/>
      <c r="AH141" s="177"/>
      <c r="AI141" s="177"/>
      <c r="AJ141" s="177"/>
      <c r="AK141" s="177"/>
      <c r="AL141" s="177"/>
      <c r="AM141" s="177"/>
      <c r="AN141" s="177"/>
    </row>
    <row r="142" spans="1:40">
      <c r="A142" s="177"/>
      <c r="B142" s="177"/>
      <c r="C142" s="177"/>
      <c r="D142" s="177"/>
      <c r="AF142" s="177"/>
      <c r="AG142" s="177"/>
      <c r="AH142" s="177"/>
      <c r="AI142" s="177"/>
      <c r="AJ142" s="177"/>
      <c r="AK142" s="177"/>
      <c r="AL142" s="177"/>
      <c r="AM142" s="177"/>
      <c r="AN142" s="177"/>
    </row>
    <row r="143" spans="1:40">
      <c r="A143" s="177"/>
      <c r="B143" s="177"/>
      <c r="C143" s="177"/>
      <c r="D143" s="177"/>
      <c r="AF143" s="177"/>
      <c r="AG143" s="177"/>
      <c r="AH143" s="177"/>
      <c r="AI143" s="177"/>
      <c r="AJ143" s="177"/>
      <c r="AK143" s="177"/>
      <c r="AL143" s="177"/>
      <c r="AM143" s="177"/>
      <c r="AN143" s="177"/>
    </row>
    <row r="144" spans="1:40">
      <c r="A144" s="177"/>
      <c r="B144" s="177"/>
      <c r="C144" s="177"/>
      <c r="D144" s="177"/>
      <c r="AF144" s="177"/>
      <c r="AG144" s="177"/>
      <c r="AH144" s="177"/>
      <c r="AI144" s="177"/>
      <c r="AJ144" s="177"/>
      <c r="AK144" s="177"/>
      <c r="AL144" s="177"/>
      <c r="AM144" s="177"/>
      <c r="AN144" s="177"/>
    </row>
    <row r="145" spans="1:40">
      <c r="A145" s="177"/>
      <c r="B145" s="177"/>
      <c r="C145" s="177"/>
      <c r="D145" s="177"/>
      <c r="AF145" s="177"/>
      <c r="AG145" s="177"/>
      <c r="AH145" s="177"/>
      <c r="AI145" s="177"/>
      <c r="AJ145" s="177"/>
      <c r="AK145" s="177"/>
      <c r="AL145" s="177"/>
      <c r="AM145" s="177"/>
      <c r="AN145" s="177"/>
    </row>
    <row r="146" spans="1:40">
      <c r="A146" s="177"/>
      <c r="B146" s="177"/>
      <c r="C146" s="177"/>
      <c r="D146" s="177"/>
      <c r="AF146" s="177"/>
      <c r="AG146" s="177"/>
      <c r="AH146" s="177"/>
      <c r="AI146" s="177"/>
      <c r="AJ146" s="177"/>
      <c r="AK146" s="177"/>
      <c r="AL146" s="177"/>
      <c r="AM146" s="177"/>
      <c r="AN146" s="177"/>
    </row>
    <row r="147" spans="1:40">
      <c r="A147" s="177"/>
      <c r="B147" s="177"/>
      <c r="C147" s="177"/>
      <c r="D147" s="177"/>
      <c r="AF147" s="177"/>
      <c r="AG147" s="177"/>
      <c r="AH147" s="177"/>
      <c r="AI147" s="177"/>
      <c r="AJ147" s="177"/>
      <c r="AK147" s="177"/>
      <c r="AL147" s="177"/>
      <c r="AM147" s="177"/>
      <c r="AN147" s="177"/>
    </row>
    <row r="148" spans="1:40">
      <c r="A148" s="177"/>
      <c r="B148" s="177"/>
      <c r="C148" s="177"/>
      <c r="D148" s="177"/>
      <c r="AF148" s="177"/>
      <c r="AG148" s="177"/>
      <c r="AH148" s="177"/>
      <c r="AI148" s="177"/>
      <c r="AJ148" s="177"/>
      <c r="AK148" s="177"/>
      <c r="AL148" s="177"/>
      <c r="AM148" s="177"/>
      <c r="AN148" s="177"/>
    </row>
    <row r="149" spans="1:40">
      <c r="A149" s="177"/>
      <c r="B149" s="177"/>
      <c r="C149" s="177"/>
      <c r="D149" s="177"/>
      <c r="AF149" s="177"/>
      <c r="AG149" s="177"/>
      <c r="AH149" s="177"/>
      <c r="AI149" s="177"/>
      <c r="AJ149" s="177"/>
      <c r="AK149" s="177"/>
      <c r="AL149" s="177"/>
      <c r="AM149" s="177"/>
      <c r="AN149" s="177"/>
    </row>
    <row r="150" spans="1:40">
      <c r="A150" s="177"/>
      <c r="B150" s="177"/>
      <c r="C150" s="177"/>
      <c r="D150" s="177"/>
      <c r="AF150" s="177"/>
      <c r="AG150" s="177"/>
      <c r="AH150" s="177"/>
      <c r="AI150" s="177"/>
      <c r="AJ150" s="177"/>
      <c r="AK150" s="177"/>
      <c r="AL150" s="177"/>
      <c r="AM150" s="177"/>
      <c r="AN150" s="177"/>
    </row>
    <row r="151" spans="1:40">
      <c r="A151" s="177"/>
      <c r="B151" s="177"/>
      <c r="C151" s="177"/>
      <c r="D151" s="177"/>
      <c r="AF151" s="177"/>
      <c r="AG151" s="177"/>
      <c r="AH151" s="177"/>
      <c r="AI151" s="177"/>
      <c r="AJ151" s="177"/>
      <c r="AK151" s="177"/>
      <c r="AL151" s="177"/>
      <c r="AM151" s="177"/>
      <c r="AN151" s="177"/>
    </row>
    <row r="152" spans="1:40">
      <c r="A152" s="177"/>
      <c r="B152" s="177"/>
      <c r="C152" s="177"/>
      <c r="D152" s="177"/>
      <c r="AF152" s="177"/>
      <c r="AG152" s="177"/>
      <c r="AH152" s="177"/>
      <c r="AI152" s="177"/>
      <c r="AJ152" s="177"/>
      <c r="AK152" s="177"/>
      <c r="AL152" s="177"/>
      <c r="AM152" s="177"/>
      <c r="AN152" s="177"/>
    </row>
    <row r="153" spans="1:40">
      <c r="A153" s="177"/>
      <c r="B153" s="177"/>
      <c r="C153" s="177"/>
      <c r="D153" s="177"/>
      <c r="AF153" s="177"/>
      <c r="AG153" s="177"/>
      <c r="AH153" s="177"/>
      <c r="AI153" s="177"/>
      <c r="AJ153" s="177"/>
      <c r="AK153" s="177"/>
      <c r="AL153" s="177"/>
      <c r="AM153" s="177"/>
      <c r="AN153" s="177"/>
    </row>
    <row r="154" spans="1:40">
      <c r="A154" s="177"/>
      <c r="B154" s="177"/>
      <c r="C154" s="177"/>
      <c r="D154" s="177"/>
      <c r="AF154" s="177"/>
      <c r="AG154" s="177"/>
      <c r="AH154" s="177"/>
      <c r="AI154" s="177"/>
      <c r="AJ154" s="177"/>
      <c r="AK154" s="177"/>
      <c r="AL154" s="177"/>
      <c r="AM154" s="177"/>
      <c r="AN154" s="177"/>
    </row>
    <row r="155" spans="1:40">
      <c r="A155" s="177"/>
      <c r="B155" s="177"/>
      <c r="C155" s="177"/>
      <c r="D155" s="177"/>
      <c r="AF155" s="177"/>
      <c r="AG155" s="177"/>
      <c r="AH155" s="177"/>
      <c r="AI155" s="177"/>
      <c r="AJ155" s="177"/>
      <c r="AK155" s="177"/>
      <c r="AL155" s="177"/>
      <c r="AM155" s="177"/>
      <c r="AN155" s="177"/>
    </row>
    <row r="156" spans="1:40">
      <c r="A156" s="177"/>
      <c r="B156" s="177"/>
      <c r="C156" s="177"/>
      <c r="D156" s="177"/>
      <c r="AF156" s="177"/>
      <c r="AG156" s="177"/>
      <c r="AH156" s="177"/>
      <c r="AI156" s="177"/>
      <c r="AJ156" s="177"/>
      <c r="AK156" s="177"/>
      <c r="AL156" s="177"/>
      <c r="AM156" s="177"/>
      <c r="AN156" s="177"/>
    </row>
    <row r="157" spans="1:40">
      <c r="A157" s="177"/>
      <c r="B157" s="177"/>
      <c r="C157" s="177"/>
      <c r="D157" s="177"/>
      <c r="AF157" s="177"/>
      <c r="AG157" s="177"/>
      <c r="AH157" s="177"/>
      <c r="AI157" s="177"/>
      <c r="AJ157" s="177"/>
      <c r="AK157" s="177"/>
      <c r="AL157" s="177"/>
      <c r="AM157" s="177"/>
      <c r="AN157" s="177"/>
    </row>
    <row r="158" spans="1:40">
      <c r="A158" s="177"/>
      <c r="B158" s="177"/>
      <c r="C158" s="177"/>
      <c r="D158" s="177"/>
      <c r="AF158" s="177"/>
      <c r="AG158" s="177"/>
      <c r="AH158" s="177"/>
      <c r="AI158" s="177"/>
      <c r="AJ158" s="177"/>
      <c r="AK158" s="177"/>
      <c r="AL158" s="177"/>
      <c r="AM158" s="177"/>
      <c r="AN158" s="177"/>
    </row>
    <row r="159" spans="1:40">
      <c r="A159" s="177"/>
      <c r="B159" s="177"/>
      <c r="C159" s="177"/>
      <c r="D159" s="177"/>
      <c r="AF159" s="177"/>
      <c r="AG159" s="177"/>
      <c r="AH159" s="177"/>
      <c r="AI159" s="177"/>
      <c r="AJ159" s="177"/>
      <c r="AK159" s="177"/>
      <c r="AL159" s="177"/>
      <c r="AM159" s="177"/>
      <c r="AN159" s="177"/>
    </row>
    <row r="160" spans="1:40">
      <c r="A160" s="177"/>
      <c r="B160" s="177"/>
      <c r="C160" s="177"/>
      <c r="D160" s="177"/>
      <c r="AF160" s="177"/>
      <c r="AG160" s="177"/>
      <c r="AH160" s="177"/>
      <c r="AI160" s="177"/>
      <c r="AJ160" s="177"/>
      <c r="AK160" s="177"/>
      <c r="AL160" s="177"/>
      <c r="AM160" s="177"/>
      <c r="AN160" s="177"/>
    </row>
    <row r="161" spans="1:40">
      <c r="A161" s="177"/>
      <c r="B161" s="177"/>
      <c r="C161" s="177"/>
      <c r="D161" s="177"/>
      <c r="AF161" s="177"/>
      <c r="AG161" s="177"/>
      <c r="AH161" s="177"/>
      <c r="AI161" s="177"/>
      <c r="AJ161" s="177"/>
      <c r="AK161" s="177"/>
      <c r="AL161" s="177"/>
      <c r="AM161" s="177"/>
      <c r="AN161" s="177"/>
    </row>
    <row r="162" spans="1:40">
      <c r="A162" s="177"/>
      <c r="B162" s="177"/>
      <c r="C162" s="177"/>
      <c r="D162" s="177"/>
      <c r="AF162" s="177"/>
      <c r="AG162" s="177"/>
      <c r="AH162" s="177"/>
      <c r="AI162" s="177"/>
      <c r="AJ162" s="177"/>
      <c r="AK162" s="177"/>
      <c r="AL162" s="177"/>
      <c r="AM162" s="177"/>
      <c r="AN162" s="177"/>
    </row>
    <row r="163" spans="1:40">
      <c r="A163" s="177"/>
      <c r="B163" s="177"/>
      <c r="C163" s="177"/>
      <c r="D163" s="177"/>
      <c r="AF163" s="177"/>
      <c r="AG163" s="177"/>
      <c r="AH163" s="177"/>
      <c r="AI163" s="177"/>
      <c r="AJ163" s="177"/>
      <c r="AK163" s="177"/>
      <c r="AL163" s="177"/>
      <c r="AM163" s="177"/>
      <c r="AN163" s="177"/>
    </row>
    <row r="164" spans="1:40">
      <c r="A164" s="177"/>
      <c r="B164" s="177"/>
      <c r="C164" s="177"/>
      <c r="D164" s="177"/>
      <c r="AF164" s="177"/>
      <c r="AG164" s="177"/>
      <c r="AH164" s="177"/>
      <c r="AI164" s="177"/>
      <c r="AJ164" s="177"/>
      <c r="AK164" s="177"/>
      <c r="AL164" s="177"/>
      <c r="AM164" s="177"/>
      <c r="AN164" s="177"/>
    </row>
    <row r="165" spans="1:40">
      <c r="A165" s="177"/>
      <c r="B165" s="177"/>
      <c r="C165" s="177"/>
      <c r="D165" s="177"/>
      <c r="AF165" s="177"/>
      <c r="AG165" s="177"/>
      <c r="AH165" s="177"/>
      <c r="AI165" s="177"/>
      <c r="AJ165" s="177"/>
      <c r="AK165" s="177"/>
      <c r="AL165" s="177"/>
      <c r="AM165" s="177"/>
      <c r="AN165" s="177"/>
    </row>
    <row r="166" spans="1:40">
      <c r="A166" s="177"/>
      <c r="B166" s="177"/>
      <c r="C166" s="177"/>
      <c r="D166" s="177"/>
      <c r="AF166" s="177"/>
      <c r="AG166" s="177"/>
      <c r="AH166" s="177"/>
      <c r="AI166" s="177"/>
      <c r="AJ166" s="177"/>
      <c r="AK166" s="177"/>
      <c r="AL166" s="177"/>
      <c r="AM166" s="177"/>
      <c r="AN166" s="177"/>
    </row>
    <row r="167" spans="1:40">
      <c r="A167" s="177"/>
      <c r="B167" s="177"/>
      <c r="C167" s="177"/>
      <c r="D167" s="177"/>
      <c r="AF167" s="177"/>
      <c r="AG167" s="177"/>
      <c r="AH167" s="177"/>
      <c r="AI167" s="177"/>
      <c r="AJ167" s="177"/>
      <c r="AK167" s="177"/>
      <c r="AL167" s="177"/>
      <c r="AM167" s="177"/>
      <c r="AN167" s="177"/>
    </row>
    <row r="168" spans="1:40">
      <c r="A168" s="177"/>
      <c r="B168" s="177"/>
      <c r="C168" s="177"/>
      <c r="D168" s="177"/>
      <c r="AF168" s="177"/>
      <c r="AG168" s="177"/>
      <c r="AH168" s="177"/>
      <c r="AI168" s="177"/>
      <c r="AJ168" s="177"/>
      <c r="AK168" s="177"/>
      <c r="AL168" s="177"/>
      <c r="AM168" s="177"/>
      <c r="AN168" s="177"/>
    </row>
    <row r="169" spans="1:40">
      <c r="A169" s="177"/>
      <c r="B169" s="177"/>
      <c r="C169" s="177"/>
      <c r="D169" s="177"/>
      <c r="AF169" s="177"/>
      <c r="AG169" s="177"/>
      <c r="AH169" s="177"/>
      <c r="AI169" s="177"/>
      <c r="AJ169" s="177"/>
      <c r="AK169" s="177"/>
      <c r="AL169" s="177"/>
      <c r="AM169" s="177"/>
      <c r="AN169" s="177"/>
    </row>
    <row r="170" spans="1:40">
      <c r="A170" s="177"/>
      <c r="B170" s="177"/>
      <c r="C170" s="177"/>
      <c r="D170" s="177"/>
      <c r="AF170" s="177"/>
      <c r="AG170" s="177"/>
      <c r="AH170" s="177"/>
      <c r="AI170" s="177"/>
      <c r="AJ170" s="177"/>
      <c r="AK170" s="177"/>
      <c r="AL170" s="177"/>
      <c r="AM170" s="177"/>
      <c r="AN170" s="177"/>
    </row>
    <row r="171" spans="1:40">
      <c r="A171" s="177"/>
      <c r="B171" s="177"/>
      <c r="C171" s="177"/>
      <c r="D171" s="177"/>
      <c r="AF171" s="177"/>
      <c r="AG171" s="177"/>
      <c r="AH171" s="177"/>
      <c r="AI171" s="177"/>
      <c r="AJ171" s="177"/>
      <c r="AK171" s="177"/>
      <c r="AL171" s="177"/>
      <c r="AM171" s="177"/>
      <c r="AN171" s="177"/>
    </row>
    <row r="172" spans="1:40">
      <c r="A172" s="177"/>
      <c r="B172" s="177"/>
      <c r="C172" s="177"/>
      <c r="D172" s="177"/>
      <c r="AF172" s="177"/>
      <c r="AG172" s="177"/>
      <c r="AH172" s="177"/>
      <c r="AI172" s="177"/>
      <c r="AJ172" s="177"/>
      <c r="AK172" s="177"/>
      <c r="AL172" s="177"/>
      <c r="AM172" s="177"/>
      <c r="AN172" s="177"/>
    </row>
    <row r="173" spans="1:40">
      <c r="A173" s="177"/>
      <c r="B173" s="177"/>
      <c r="C173" s="177"/>
      <c r="D173" s="177"/>
      <c r="AF173" s="177"/>
      <c r="AG173" s="177"/>
      <c r="AH173" s="177"/>
      <c r="AI173" s="177"/>
      <c r="AJ173" s="177"/>
      <c r="AK173" s="177"/>
      <c r="AL173" s="177"/>
      <c r="AM173" s="177"/>
      <c r="AN173" s="177"/>
    </row>
    <row r="174" spans="1:40">
      <c r="A174" s="177"/>
      <c r="B174" s="177"/>
      <c r="C174" s="177"/>
      <c r="D174" s="177"/>
      <c r="AF174" s="177"/>
      <c r="AG174" s="177"/>
      <c r="AH174" s="177"/>
      <c r="AI174" s="177"/>
      <c r="AJ174" s="177"/>
      <c r="AK174" s="177"/>
      <c r="AL174" s="177"/>
      <c r="AM174" s="177"/>
      <c r="AN174" s="177"/>
    </row>
    <row r="175" spans="1:40">
      <c r="A175" s="177"/>
      <c r="B175" s="177"/>
      <c r="C175" s="177"/>
      <c r="D175" s="177"/>
      <c r="AF175" s="177"/>
      <c r="AG175" s="177"/>
      <c r="AH175" s="177"/>
      <c r="AI175" s="177"/>
      <c r="AJ175" s="177"/>
      <c r="AK175" s="177"/>
      <c r="AL175" s="177"/>
      <c r="AM175" s="177"/>
      <c r="AN175" s="177"/>
    </row>
    <row r="176" spans="1:40">
      <c r="A176" s="177"/>
      <c r="B176" s="177"/>
      <c r="C176" s="177"/>
      <c r="D176" s="177"/>
      <c r="AF176" s="177"/>
      <c r="AG176" s="177"/>
      <c r="AH176" s="177"/>
      <c r="AI176" s="177"/>
      <c r="AJ176" s="177"/>
      <c r="AK176" s="177"/>
      <c r="AL176" s="177"/>
      <c r="AM176" s="177"/>
      <c r="AN176" s="177"/>
    </row>
    <row r="177" spans="1:40">
      <c r="A177" s="177"/>
      <c r="B177" s="177"/>
      <c r="C177" s="177"/>
      <c r="D177" s="177"/>
      <c r="AF177" s="177"/>
      <c r="AG177" s="177"/>
      <c r="AH177" s="177"/>
      <c r="AI177" s="177"/>
      <c r="AJ177" s="177"/>
      <c r="AK177" s="177"/>
      <c r="AL177" s="177"/>
      <c r="AM177" s="177"/>
      <c r="AN177" s="177"/>
    </row>
    <row r="178" spans="1:40">
      <c r="A178" s="177"/>
      <c r="B178" s="177"/>
      <c r="C178" s="177"/>
      <c r="D178" s="177"/>
      <c r="AF178" s="177"/>
      <c r="AG178" s="177"/>
      <c r="AH178" s="177"/>
      <c r="AI178" s="177"/>
      <c r="AJ178" s="177"/>
      <c r="AK178" s="177"/>
      <c r="AL178" s="177"/>
      <c r="AM178" s="177"/>
      <c r="AN178" s="177"/>
    </row>
    <row r="179" spans="1:40">
      <c r="A179" s="177"/>
      <c r="B179" s="177"/>
      <c r="C179" s="177"/>
      <c r="D179" s="177"/>
      <c r="AF179" s="177"/>
      <c r="AG179" s="177"/>
      <c r="AH179" s="177"/>
      <c r="AI179" s="177"/>
      <c r="AJ179" s="177"/>
      <c r="AK179" s="177"/>
      <c r="AL179" s="177"/>
      <c r="AM179" s="177"/>
      <c r="AN179" s="177"/>
    </row>
    <row r="180" spans="1:40">
      <c r="A180" s="177"/>
      <c r="B180" s="177"/>
      <c r="C180" s="177"/>
      <c r="D180" s="177"/>
      <c r="AF180" s="177"/>
      <c r="AG180" s="177"/>
      <c r="AH180" s="177"/>
      <c r="AI180" s="177"/>
      <c r="AJ180" s="177"/>
      <c r="AK180" s="177"/>
      <c r="AL180" s="177"/>
      <c r="AM180" s="177"/>
      <c r="AN180" s="177"/>
    </row>
    <row r="181" spans="1:40">
      <c r="A181" s="177"/>
      <c r="B181" s="177"/>
      <c r="C181" s="177"/>
      <c r="D181" s="177"/>
      <c r="AF181" s="177"/>
      <c r="AG181" s="177"/>
      <c r="AH181" s="177"/>
      <c r="AI181" s="177"/>
      <c r="AJ181" s="177"/>
      <c r="AK181" s="177"/>
      <c r="AL181" s="177"/>
      <c r="AM181" s="177"/>
      <c r="AN181" s="177"/>
    </row>
    <row r="182" spans="1:40">
      <c r="A182" s="177"/>
      <c r="B182" s="177"/>
      <c r="C182" s="177"/>
      <c r="D182" s="177"/>
      <c r="AF182" s="177"/>
      <c r="AG182" s="177"/>
      <c r="AH182" s="177"/>
      <c r="AI182" s="177"/>
      <c r="AJ182" s="177"/>
      <c r="AK182" s="177"/>
      <c r="AL182" s="177"/>
      <c r="AM182" s="177"/>
      <c r="AN182" s="177"/>
    </row>
    <row r="183" spans="1:40">
      <c r="A183" s="177"/>
      <c r="B183" s="177"/>
      <c r="C183" s="177"/>
      <c r="D183" s="177"/>
      <c r="AF183" s="177"/>
      <c r="AG183" s="177"/>
      <c r="AH183" s="177"/>
      <c r="AI183" s="177"/>
      <c r="AJ183" s="177"/>
      <c r="AK183" s="177"/>
      <c r="AL183" s="177"/>
      <c r="AM183" s="177"/>
      <c r="AN183" s="177"/>
    </row>
    <row r="184" spans="1:40">
      <c r="A184" s="177"/>
      <c r="B184" s="177"/>
      <c r="C184" s="177"/>
      <c r="D184" s="177"/>
      <c r="AF184" s="177"/>
      <c r="AG184" s="177"/>
      <c r="AH184" s="177"/>
      <c r="AI184" s="177"/>
      <c r="AJ184" s="177"/>
      <c r="AK184" s="177"/>
      <c r="AL184" s="177"/>
      <c r="AM184" s="177"/>
      <c r="AN184" s="177"/>
    </row>
    <row r="185" spans="1:40">
      <c r="A185" s="177"/>
      <c r="B185" s="177"/>
      <c r="C185" s="177"/>
      <c r="D185" s="177"/>
      <c r="AF185" s="177"/>
      <c r="AG185" s="177"/>
      <c r="AH185" s="177"/>
      <c r="AI185" s="177"/>
      <c r="AJ185" s="177"/>
      <c r="AK185" s="177"/>
      <c r="AL185" s="177"/>
      <c r="AM185" s="177"/>
      <c r="AN185" s="177"/>
    </row>
    <row r="186" spans="1:40">
      <c r="A186" s="177"/>
      <c r="B186" s="177"/>
      <c r="C186" s="177"/>
      <c r="D186" s="177"/>
      <c r="AF186" s="177"/>
      <c r="AG186" s="177"/>
      <c r="AH186" s="177"/>
      <c r="AI186" s="177"/>
      <c r="AJ186" s="177"/>
      <c r="AK186" s="177"/>
      <c r="AL186" s="177"/>
      <c r="AM186" s="177"/>
      <c r="AN186" s="177"/>
    </row>
    <row r="187" spans="1:40">
      <c r="A187" s="177"/>
      <c r="B187" s="177"/>
      <c r="C187" s="177"/>
      <c r="D187" s="177"/>
      <c r="AF187" s="177"/>
      <c r="AG187" s="177"/>
      <c r="AH187" s="177"/>
      <c r="AI187" s="177"/>
      <c r="AJ187" s="177"/>
      <c r="AK187" s="177"/>
      <c r="AL187" s="177"/>
      <c r="AM187" s="177"/>
      <c r="AN187" s="177"/>
    </row>
    <row r="188" spans="1:40">
      <c r="A188" s="177"/>
      <c r="B188" s="177"/>
      <c r="C188" s="177"/>
      <c r="D188" s="177"/>
      <c r="AF188" s="177"/>
      <c r="AG188" s="177"/>
      <c r="AH188" s="177"/>
      <c r="AI188" s="177"/>
      <c r="AJ188" s="177"/>
      <c r="AK188" s="177"/>
      <c r="AL188" s="177"/>
      <c r="AM188" s="177"/>
      <c r="AN188" s="177"/>
    </row>
    <row r="189" spans="1:40">
      <c r="A189" s="177"/>
      <c r="B189" s="177"/>
      <c r="C189" s="177"/>
      <c r="D189" s="177"/>
      <c r="AF189" s="177"/>
      <c r="AG189" s="177"/>
      <c r="AH189" s="177"/>
      <c r="AI189" s="177"/>
      <c r="AJ189" s="177"/>
      <c r="AK189" s="177"/>
      <c r="AL189" s="177"/>
      <c r="AM189" s="177"/>
      <c r="AN189" s="177"/>
    </row>
    <row r="190" spans="1:40">
      <c r="A190" s="177"/>
      <c r="B190" s="177"/>
      <c r="C190" s="177"/>
      <c r="D190" s="177"/>
      <c r="AF190" s="177"/>
      <c r="AG190" s="177"/>
      <c r="AH190" s="177"/>
      <c r="AI190" s="177"/>
      <c r="AJ190" s="177"/>
      <c r="AK190" s="177"/>
      <c r="AL190" s="177"/>
      <c r="AM190" s="177"/>
      <c r="AN190" s="177"/>
    </row>
    <row r="191" spans="1:40">
      <c r="A191" s="177"/>
      <c r="B191" s="177"/>
      <c r="C191" s="177"/>
      <c r="D191" s="177"/>
      <c r="AF191" s="177"/>
      <c r="AG191" s="177"/>
      <c r="AH191" s="177"/>
      <c r="AI191" s="177"/>
      <c r="AJ191" s="177"/>
      <c r="AK191" s="177"/>
      <c r="AL191" s="177"/>
      <c r="AM191" s="177"/>
      <c r="AN191" s="177"/>
    </row>
    <row r="192" spans="1:40">
      <c r="A192" s="177"/>
      <c r="B192" s="177"/>
      <c r="C192" s="177"/>
      <c r="D192" s="177"/>
      <c r="AF192" s="177"/>
      <c r="AG192" s="177"/>
      <c r="AH192" s="177"/>
      <c r="AI192" s="177"/>
      <c r="AJ192" s="177"/>
      <c r="AK192" s="177"/>
      <c r="AL192" s="177"/>
      <c r="AM192" s="177"/>
      <c r="AN192" s="177"/>
    </row>
    <row r="193" spans="1:40">
      <c r="A193" s="177"/>
      <c r="B193" s="177"/>
      <c r="C193" s="177"/>
      <c r="D193" s="177"/>
      <c r="AF193" s="177"/>
      <c r="AG193" s="177"/>
      <c r="AH193" s="177"/>
      <c r="AI193" s="177"/>
      <c r="AJ193" s="177"/>
      <c r="AK193" s="177"/>
      <c r="AL193" s="177"/>
      <c r="AM193" s="177"/>
      <c r="AN193" s="177"/>
    </row>
    <row r="194" spans="1:40">
      <c r="A194" s="177"/>
      <c r="B194" s="177"/>
      <c r="C194" s="177"/>
      <c r="D194" s="177"/>
      <c r="AF194" s="177"/>
      <c r="AG194" s="177"/>
      <c r="AH194" s="177"/>
      <c r="AI194" s="177"/>
      <c r="AJ194" s="177"/>
      <c r="AK194" s="177"/>
      <c r="AL194" s="177"/>
      <c r="AM194" s="177"/>
      <c r="AN194" s="177"/>
    </row>
    <row r="195" spans="1:40">
      <c r="A195" s="177"/>
      <c r="B195" s="177"/>
      <c r="C195" s="177"/>
      <c r="D195" s="177"/>
      <c r="AF195" s="177"/>
      <c r="AG195" s="177"/>
      <c r="AH195" s="177"/>
      <c r="AI195" s="177"/>
      <c r="AJ195" s="177"/>
      <c r="AK195" s="177"/>
      <c r="AL195" s="177"/>
      <c r="AM195" s="177"/>
      <c r="AN195" s="177"/>
    </row>
    <row r="196" spans="1:40">
      <c r="A196" s="177"/>
      <c r="B196" s="177"/>
      <c r="C196" s="177"/>
      <c r="D196" s="177"/>
      <c r="AF196" s="177"/>
      <c r="AG196" s="177"/>
      <c r="AH196" s="177"/>
      <c r="AI196" s="177"/>
      <c r="AJ196" s="177"/>
      <c r="AK196" s="177"/>
      <c r="AL196" s="177"/>
      <c r="AM196" s="177"/>
      <c r="AN196" s="177"/>
    </row>
    <row r="197" spans="1:40">
      <c r="A197" s="177"/>
      <c r="B197" s="177"/>
      <c r="C197" s="177"/>
      <c r="D197" s="177"/>
      <c r="AF197" s="177"/>
      <c r="AG197" s="177"/>
      <c r="AH197" s="177"/>
      <c r="AI197" s="177"/>
      <c r="AJ197" s="177"/>
      <c r="AK197" s="177"/>
      <c r="AL197" s="177"/>
      <c r="AM197" s="177"/>
      <c r="AN197" s="177"/>
    </row>
    <row r="198" spans="1:40">
      <c r="A198" s="177"/>
      <c r="B198" s="177"/>
      <c r="C198" s="177"/>
      <c r="D198" s="177"/>
      <c r="AF198" s="177"/>
      <c r="AG198" s="177"/>
      <c r="AH198" s="177"/>
      <c r="AI198" s="177"/>
      <c r="AJ198" s="177"/>
      <c r="AK198" s="177"/>
      <c r="AL198" s="177"/>
      <c r="AM198" s="177"/>
      <c r="AN198" s="177"/>
    </row>
    <row r="199" spans="1:40">
      <c r="A199" s="177"/>
      <c r="B199" s="177"/>
      <c r="C199" s="177"/>
      <c r="D199" s="177"/>
      <c r="AF199" s="177"/>
      <c r="AG199" s="177"/>
      <c r="AH199" s="177"/>
      <c r="AI199" s="177"/>
      <c r="AJ199" s="177"/>
      <c r="AK199" s="177"/>
      <c r="AL199" s="177"/>
      <c r="AM199" s="177"/>
      <c r="AN199" s="177"/>
    </row>
    <row r="200" spans="1:40">
      <c r="A200" s="177"/>
      <c r="B200" s="177"/>
      <c r="C200" s="177"/>
      <c r="D200" s="177"/>
      <c r="AF200" s="177"/>
      <c r="AG200" s="177"/>
      <c r="AH200" s="177"/>
      <c r="AI200" s="177"/>
      <c r="AJ200" s="177"/>
      <c r="AK200" s="177"/>
      <c r="AL200" s="177"/>
      <c r="AM200" s="177"/>
      <c r="AN200" s="177"/>
    </row>
    <row r="201" spans="1:40">
      <c r="A201" s="177"/>
      <c r="B201" s="177"/>
      <c r="C201" s="177"/>
      <c r="D201" s="177"/>
      <c r="AF201" s="177"/>
      <c r="AG201" s="177"/>
      <c r="AH201" s="177"/>
      <c r="AI201" s="177"/>
      <c r="AJ201" s="177"/>
      <c r="AK201" s="177"/>
      <c r="AL201" s="177"/>
      <c r="AM201" s="177"/>
      <c r="AN201" s="177"/>
    </row>
    <row r="202" spans="1:40">
      <c r="A202" s="177"/>
      <c r="B202" s="177"/>
      <c r="C202" s="177"/>
      <c r="D202" s="177"/>
      <c r="AF202" s="177"/>
      <c r="AG202" s="177"/>
      <c r="AH202" s="177"/>
      <c r="AI202" s="177"/>
      <c r="AJ202" s="177"/>
      <c r="AK202" s="177"/>
      <c r="AL202" s="177"/>
      <c r="AM202" s="177"/>
      <c r="AN202" s="177"/>
    </row>
    <row r="203" spans="1:40">
      <c r="A203" s="177"/>
      <c r="B203" s="177"/>
      <c r="C203" s="177"/>
      <c r="D203" s="177"/>
      <c r="AF203" s="177"/>
      <c r="AG203" s="177"/>
      <c r="AH203" s="177"/>
      <c r="AI203" s="177"/>
      <c r="AJ203" s="177"/>
      <c r="AK203" s="177"/>
      <c r="AL203" s="177"/>
      <c r="AM203" s="177"/>
      <c r="AN203" s="177"/>
    </row>
    <row r="204" spans="1:40">
      <c r="A204" s="177"/>
      <c r="B204" s="177"/>
      <c r="C204" s="177"/>
      <c r="D204" s="177"/>
      <c r="AF204" s="177"/>
      <c r="AG204" s="177"/>
      <c r="AH204" s="177"/>
      <c r="AI204" s="177"/>
      <c r="AJ204" s="177"/>
      <c r="AK204" s="177"/>
      <c r="AL204" s="177"/>
      <c r="AM204" s="177"/>
      <c r="AN204" s="177"/>
    </row>
    <row r="205" spans="1:40">
      <c r="A205" s="177"/>
      <c r="B205" s="177"/>
      <c r="C205" s="177"/>
      <c r="D205" s="177"/>
      <c r="AF205" s="177"/>
      <c r="AG205" s="177"/>
      <c r="AH205" s="177"/>
      <c r="AI205" s="177"/>
      <c r="AJ205" s="177"/>
      <c r="AK205" s="177"/>
      <c r="AL205" s="177"/>
      <c r="AM205" s="177"/>
      <c r="AN205" s="177"/>
    </row>
    <row r="206" spans="1:40">
      <c r="A206" s="177"/>
      <c r="B206" s="177"/>
      <c r="C206" s="177"/>
      <c r="D206" s="177"/>
      <c r="AF206" s="177"/>
      <c r="AG206" s="177"/>
      <c r="AH206" s="177"/>
      <c r="AI206" s="177"/>
      <c r="AJ206" s="177"/>
      <c r="AK206" s="177"/>
      <c r="AL206" s="177"/>
      <c r="AM206" s="177"/>
      <c r="AN206" s="177"/>
    </row>
    <row r="207" spans="1:40">
      <c r="A207" s="177"/>
      <c r="B207" s="177"/>
      <c r="C207" s="177"/>
      <c r="D207" s="177"/>
      <c r="AF207" s="177"/>
      <c r="AG207" s="177"/>
      <c r="AH207" s="177"/>
      <c r="AI207" s="177"/>
      <c r="AJ207" s="177"/>
      <c r="AK207" s="177"/>
      <c r="AL207" s="177"/>
      <c r="AM207" s="177"/>
      <c r="AN207" s="177"/>
    </row>
    <row r="208" spans="1:40">
      <c r="A208" s="177"/>
      <c r="B208" s="177"/>
      <c r="C208" s="177"/>
      <c r="D208" s="177"/>
      <c r="AF208" s="177"/>
      <c r="AG208" s="177"/>
      <c r="AH208" s="177"/>
      <c r="AI208" s="177"/>
      <c r="AJ208" s="177"/>
      <c r="AK208" s="177"/>
      <c r="AL208" s="177"/>
      <c r="AM208" s="177"/>
      <c r="AN208" s="177"/>
    </row>
    <row r="209" spans="1:40">
      <c r="A209" s="177"/>
      <c r="B209" s="177"/>
      <c r="C209" s="177"/>
      <c r="D209" s="177"/>
      <c r="AF209" s="177"/>
      <c r="AG209" s="177"/>
      <c r="AH209" s="177"/>
      <c r="AI209" s="177"/>
      <c r="AJ209" s="177"/>
      <c r="AK209" s="177"/>
      <c r="AL209" s="177"/>
      <c r="AM209" s="177"/>
      <c r="AN209" s="177"/>
    </row>
    <row r="210" spans="1:40">
      <c r="A210" s="177"/>
      <c r="B210" s="177"/>
      <c r="C210" s="177"/>
      <c r="D210" s="177"/>
      <c r="AF210" s="177"/>
      <c r="AG210" s="177"/>
      <c r="AH210" s="177"/>
      <c r="AI210" s="177"/>
      <c r="AJ210" s="177"/>
      <c r="AK210" s="177"/>
      <c r="AL210" s="177"/>
      <c r="AM210" s="177"/>
      <c r="AN210" s="177"/>
    </row>
    <row r="211" spans="1:40">
      <c r="A211" s="177"/>
      <c r="B211" s="177"/>
      <c r="C211" s="177"/>
      <c r="D211" s="177"/>
      <c r="AF211" s="177"/>
      <c r="AG211" s="177"/>
      <c r="AH211" s="177"/>
      <c r="AI211" s="177"/>
      <c r="AJ211" s="177"/>
      <c r="AK211" s="177"/>
      <c r="AL211" s="177"/>
      <c r="AM211" s="177"/>
      <c r="AN211" s="177"/>
    </row>
    <row r="212" spans="1:40">
      <c r="A212" s="177"/>
      <c r="B212" s="177"/>
      <c r="C212" s="177"/>
      <c r="D212" s="177"/>
      <c r="AF212" s="177"/>
      <c r="AG212" s="177"/>
      <c r="AH212" s="177"/>
      <c r="AI212" s="177"/>
      <c r="AJ212" s="177"/>
      <c r="AK212" s="177"/>
      <c r="AL212" s="177"/>
      <c r="AM212" s="177"/>
      <c r="AN212" s="177"/>
    </row>
    <row r="213" spans="1:40">
      <c r="A213" s="177"/>
      <c r="B213" s="177"/>
      <c r="C213" s="177"/>
      <c r="D213" s="177"/>
      <c r="AF213" s="177"/>
      <c r="AG213" s="177"/>
      <c r="AH213" s="177"/>
      <c r="AI213" s="177"/>
      <c r="AJ213" s="177"/>
      <c r="AK213" s="177"/>
      <c r="AL213" s="177"/>
      <c r="AM213" s="177"/>
      <c r="AN213" s="177"/>
    </row>
    <row r="214" spans="1:40">
      <c r="A214" s="177"/>
      <c r="B214" s="177"/>
      <c r="C214" s="177"/>
      <c r="D214" s="177"/>
      <c r="AF214" s="177"/>
      <c r="AG214" s="177"/>
      <c r="AH214" s="177"/>
      <c r="AI214" s="177"/>
      <c r="AJ214" s="177"/>
      <c r="AK214" s="177"/>
      <c r="AL214" s="177"/>
      <c r="AM214" s="177"/>
      <c r="AN214" s="177"/>
    </row>
    <row r="215" spans="1:40">
      <c r="A215" s="177"/>
      <c r="B215" s="177"/>
      <c r="C215" s="177"/>
      <c r="D215" s="177"/>
      <c r="AF215" s="177"/>
      <c r="AG215" s="177"/>
      <c r="AH215" s="177"/>
      <c r="AI215" s="177"/>
      <c r="AJ215" s="177"/>
      <c r="AK215" s="177"/>
      <c r="AL215" s="177"/>
      <c r="AM215" s="177"/>
      <c r="AN215" s="177"/>
    </row>
    <row r="216" spans="1:40">
      <c r="A216" s="177"/>
      <c r="B216" s="177"/>
      <c r="C216" s="177"/>
      <c r="D216" s="177"/>
      <c r="AF216" s="177"/>
      <c r="AG216" s="177"/>
      <c r="AH216" s="177"/>
      <c r="AI216" s="177"/>
      <c r="AJ216" s="177"/>
      <c r="AK216" s="177"/>
      <c r="AL216" s="177"/>
      <c r="AM216" s="177"/>
      <c r="AN216" s="177"/>
    </row>
    <row r="217" spans="1:40">
      <c r="A217" s="177"/>
      <c r="B217" s="177"/>
      <c r="C217" s="177"/>
      <c r="D217" s="177"/>
      <c r="AF217" s="177"/>
      <c r="AG217" s="177"/>
      <c r="AH217" s="177"/>
      <c r="AI217" s="177"/>
      <c r="AJ217" s="177"/>
      <c r="AK217" s="177"/>
      <c r="AL217" s="177"/>
      <c r="AM217" s="177"/>
      <c r="AN217" s="177"/>
    </row>
    <row r="218" spans="1:40">
      <c r="A218" s="177"/>
      <c r="B218" s="177"/>
      <c r="C218" s="177"/>
      <c r="D218" s="177"/>
      <c r="AF218" s="177"/>
      <c r="AG218" s="177"/>
      <c r="AH218" s="177"/>
      <c r="AI218" s="177"/>
      <c r="AJ218" s="177"/>
      <c r="AK218" s="177"/>
      <c r="AL218" s="177"/>
      <c r="AM218" s="177"/>
      <c r="AN218" s="177"/>
    </row>
    <row r="219" spans="1:40">
      <c r="A219" s="177"/>
      <c r="B219" s="177"/>
      <c r="C219" s="177"/>
      <c r="D219" s="177"/>
      <c r="AF219" s="177"/>
      <c r="AG219" s="177"/>
      <c r="AH219" s="177"/>
      <c r="AI219" s="177"/>
      <c r="AJ219" s="177"/>
      <c r="AK219" s="177"/>
      <c r="AL219" s="177"/>
      <c r="AM219" s="177"/>
      <c r="AN219" s="177"/>
    </row>
    <row r="220" spans="1:40">
      <c r="A220" s="177"/>
      <c r="B220" s="177"/>
      <c r="C220" s="177"/>
      <c r="D220" s="177"/>
      <c r="AF220" s="177"/>
      <c r="AG220" s="177"/>
      <c r="AH220" s="177"/>
      <c r="AI220" s="177"/>
      <c r="AJ220" s="177"/>
      <c r="AK220" s="177"/>
      <c r="AL220" s="177"/>
      <c r="AM220" s="177"/>
      <c r="AN220" s="177"/>
    </row>
    <row r="221" spans="1:40">
      <c r="A221" s="177"/>
      <c r="B221" s="177"/>
      <c r="C221" s="177"/>
      <c r="D221" s="177"/>
      <c r="AF221" s="177"/>
      <c r="AG221" s="177"/>
      <c r="AH221" s="177"/>
      <c r="AI221" s="177"/>
      <c r="AJ221" s="177"/>
      <c r="AK221" s="177"/>
      <c r="AL221" s="177"/>
      <c r="AM221" s="177"/>
      <c r="AN221" s="177"/>
    </row>
    <row r="222" spans="1:40">
      <c r="A222" s="177"/>
      <c r="B222" s="177"/>
      <c r="C222" s="177"/>
      <c r="D222" s="177"/>
      <c r="AF222" s="177"/>
      <c r="AG222" s="177"/>
      <c r="AH222" s="177"/>
      <c r="AI222" s="177"/>
      <c r="AJ222" s="177"/>
      <c r="AK222" s="177"/>
      <c r="AL222" s="177"/>
      <c r="AM222" s="177"/>
      <c r="AN222" s="177"/>
    </row>
    <row r="223" spans="1:40">
      <c r="A223" s="177"/>
      <c r="B223" s="177"/>
      <c r="C223" s="177"/>
      <c r="D223" s="177"/>
      <c r="AF223" s="177"/>
      <c r="AG223" s="177"/>
      <c r="AH223" s="177"/>
      <c r="AI223" s="177"/>
      <c r="AJ223" s="177"/>
      <c r="AK223" s="177"/>
      <c r="AL223" s="177"/>
      <c r="AM223" s="177"/>
      <c r="AN223" s="177"/>
    </row>
    <row r="224" spans="1:40">
      <c r="A224" s="177"/>
      <c r="B224" s="177"/>
      <c r="C224" s="177"/>
      <c r="D224" s="177"/>
      <c r="AF224" s="177"/>
      <c r="AG224" s="177"/>
      <c r="AH224" s="177"/>
      <c r="AI224" s="177"/>
      <c r="AJ224" s="177"/>
      <c r="AK224" s="177"/>
      <c r="AL224" s="177"/>
      <c r="AM224" s="177"/>
      <c r="AN224" s="177"/>
    </row>
    <row r="225" spans="1:40">
      <c r="A225" s="177"/>
      <c r="B225" s="177"/>
      <c r="C225" s="177"/>
      <c r="D225" s="177"/>
      <c r="AF225" s="177"/>
      <c r="AG225" s="177"/>
      <c r="AH225" s="177"/>
      <c r="AI225" s="177"/>
      <c r="AJ225" s="177"/>
      <c r="AK225" s="177"/>
      <c r="AL225" s="177"/>
      <c r="AM225" s="177"/>
      <c r="AN225" s="177"/>
    </row>
    <row r="226" spans="1:40">
      <c r="A226" s="177"/>
      <c r="B226" s="177"/>
      <c r="C226" s="177"/>
      <c r="D226" s="177"/>
      <c r="AF226" s="177"/>
      <c r="AG226" s="177"/>
      <c r="AH226" s="177"/>
      <c r="AI226" s="177"/>
      <c r="AJ226" s="177"/>
      <c r="AK226" s="177"/>
      <c r="AL226" s="177"/>
      <c r="AM226" s="177"/>
      <c r="AN226" s="177"/>
    </row>
    <row r="227" spans="1:40">
      <c r="A227" s="177"/>
      <c r="B227" s="177"/>
      <c r="C227" s="177"/>
      <c r="D227" s="177"/>
      <c r="AF227" s="177"/>
      <c r="AG227" s="177"/>
      <c r="AH227" s="177"/>
      <c r="AI227" s="177"/>
      <c r="AJ227" s="177"/>
      <c r="AK227" s="177"/>
      <c r="AL227" s="177"/>
      <c r="AM227" s="177"/>
      <c r="AN227" s="177"/>
    </row>
    <row r="228" spans="1:40">
      <c r="A228" s="177"/>
      <c r="B228" s="177"/>
      <c r="C228" s="177"/>
      <c r="D228" s="177"/>
      <c r="AF228" s="177"/>
      <c r="AG228" s="177"/>
      <c r="AH228" s="177"/>
      <c r="AI228" s="177"/>
      <c r="AJ228" s="177"/>
      <c r="AK228" s="177"/>
      <c r="AL228" s="177"/>
      <c r="AM228" s="177"/>
      <c r="AN228" s="177"/>
    </row>
    <row r="229" spans="1:40">
      <c r="A229" s="177"/>
      <c r="B229" s="177"/>
      <c r="C229" s="177"/>
      <c r="D229" s="177"/>
      <c r="AF229" s="177"/>
      <c r="AG229" s="177"/>
      <c r="AH229" s="177"/>
      <c r="AI229" s="177"/>
      <c r="AJ229" s="177"/>
      <c r="AK229" s="177"/>
      <c r="AL229" s="177"/>
      <c r="AM229" s="177"/>
      <c r="AN229" s="177"/>
    </row>
    <row r="230" spans="1:40">
      <c r="A230" s="177"/>
      <c r="B230" s="177"/>
      <c r="C230" s="177"/>
      <c r="D230" s="177"/>
      <c r="AF230" s="177"/>
      <c r="AG230" s="177"/>
      <c r="AH230" s="177"/>
      <c r="AI230" s="177"/>
      <c r="AJ230" s="177"/>
      <c r="AK230" s="177"/>
      <c r="AL230" s="177"/>
      <c r="AM230" s="177"/>
      <c r="AN230" s="177"/>
    </row>
    <row r="231" spans="1:40">
      <c r="A231" s="177"/>
      <c r="B231" s="177"/>
      <c r="C231" s="177"/>
      <c r="D231" s="177"/>
      <c r="AF231" s="177"/>
      <c r="AG231" s="177"/>
      <c r="AH231" s="177"/>
      <c r="AI231" s="177"/>
      <c r="AJ231" s="177"/>
      <c r="AK231" s="177"/>
      <c r="AL231" s="177"/>
      <c r="AM231" s="177"/>
      <c r="AN231" s="177"/>
    </row>
    <row r="232" spans="1:40">
      <c r="A232" s="177"/>
      <c r="B232" s="177"/>
      <c r="C232" s="177"/>
      <c r="D232" s="177"/>
      <c r="AF232" s="177"/>
      <c r="AG232" s="177"/>
      <c r="AH232" s="177"/>
      <c r="AI232" s="177"/>
      <c r="AJ232" s="177"/>
      <c r="AK232" s="177"/>
      <c r="AL232" s="177"/>
      <c r="AM232" s="177"/>
      <c r="AN232" s="177"/>
    </row>
    <row r="233" spans="1:40">
      <c r="A233" s="177"/>
      <c r="B233" s="177"/>
      <c r="C233" s="177"/>
      <c r="D233" s="177"/>
      <c r="AF233" s="177"/>
      <c r="AG233" s="177"/>
      <c r="AH233" s="177"/>
      <c r="AI233" s="177"/>
      <c r="AJ233" s="177"/>
      <c r="AK233" s="177"/>
      <c r="AL233" s="177"/>
      <c r="AM233" s="177"/>
      <c r="AN233" s="177"/>
    </row>
    <row r="234" spans="1:40">
      <c r="A234" s="177"/>
      <c r="B234" s="177"/>
      <c r="C234" s="177"/>
      <c r="D234" s="177"/>
      <c r="AF234" s="177"/>
      <c r="AG234" s="177"/>
      <c r="AH234" s="177"/>
      <c r="AI234" s="177"/>
      <c r="AJ234" s="177"/>
      <c r="AK234" s="177"/>
      <c r="AL234" s="177"/>
      <c r="AM234" s="177"/>
      <c r="AN234" s="177"/>
    </row>
    <row r="235" spans="1:40">
      <c r="A235" s="177"/>
      <c r="B235" s="177"/>
      <c r="C235" s="177"/>
      <c r="D235" s="177"/>
      <c r="AF235" s="177"/>
      <c r="AG235" s="177"/>
      <c r="AH235" s="177"/>
      <c r="AI235" s="177"/>
      <c r="AJ235" s="177"/>
      <c r="AK235" s="177"/>
      <c r="AL235" s="177"/>
      <c r="AM235" s="177"/>
      <c r="AN235" s="177"/>
    </row>
    <row r="236" spans="1:40">
      <c r="A236" s="177"/>
      <c r="B236" s="177"/>
      <c r="C236" s="177"/>
      <c r="D236" s="177"/>
      <c r="AF236" s="177"/>
      <c r="AG236" s="177"/>
      <c r="AH236" s="177"/>
      <c r="AI236" s="177"/>
      <c r="AJ236" s="177"/>
      <c r="AK236" s="177"/>
      <c r="AL236" s="177"/>
      <c r="AM236" s="177"/>
      <c r="AN236" s="177"/>
    </row>
    <row r="237" spans="1:40">
      <c r="A237" s="177"/>
      <c r="B237" s="177"/>
      <c r="C237" s="177"/>
      <c r="D237" s="177"/>
      <c r="AF237" s="177"/>
      <c r="AG237" s="177"/>
      <c r="AH237" s="177"/>
      <c r="AI237" s="177"/>
      <c r="AJ237" s="177"/>
      <c r="AK237" s="177"/>
      <c r="AL237" s="177"/>
      <c r="AM237" s="177"/>
      <c r="AN237" s="177"/>
    </row>
    <row r="238" spans="1:40">
      <c r="A238" s="177"/>
      <c r="B238" s="177"/>
      <c r="C238" s="177"/>
      <c r="D238" s="177"/>
      <c r="AF238" s="177"/>
      <c r="AG238" s="177"/>
      <c r="AH238" s="177"/>
      <c r="AI238" s="177"/>
      <c r="AJ238" s="177"/>
      <c r="AK238" s="177"/>
      <c r="AL238" s="177"/>
      <c r="AM238" s="177"/>
      <c r="AN238" s="177"/>
    </row>
    <row r="239" spans="1:40">
      <c r="A239" s="177"/>
      <c r="B239" s="177"/>
      <c r="C239" s="177"/>
      <c r="D239" s="177"/>
      <c r="AF239" s="177"/>
      <c r="AG239" s="177"/>
      <c r="AH239" s="177"/>
      <c r="AI239" s="177"/>
      <c r="AJ239" s="177"/>
      <c r="AK239" s="177"/>
      <c r="AL239" s="177"/>
      <c r="AM239" s="177"/>
      <c r="AN239" s="177"/>
    </row>
    <row r="240" spans="1:40">
      <c r="A240" s="177"/>
      <c r="B240" s="177"/>
      <c r="C240" s="177"/>
      <c r="D240" s="177"/>
      <c r="AF240" s="177"/>
      <c r="AG240" s="177"/>
      <c r="AH240" s="177"/>
      <c r="AI240" s="177"/>
      <c r="AJ240" s="177"/>
      <c r="AK240" s="177"/>
      <c r="AL240" s="177"/>
      <c r="AM240" s="177"/>
      <c r="AN240" s="177"/>
    </row>
    <row r="241" spans="1:40">
      <c r="A241" s="177"/>
      <c r="B241" s="177"/>
      <c r="C241" s="177"/>
      <c r="D241" s="177"/>
      <c r="AF241" s="177"/>
      <c r="AG241" s="177"/>
      <c r="AH241" s="177"/>
      <c r="AI241" s="177"/>
      <c r="AJ241" s="177"/>
      <c r="AK241" s="177"/>
      <c r="AL241" s="177"/>
      <c r="AM241" s="177"/>
      <c r="AN241" s="177"/>
    </row>
    <row r="242" spans="1:40">
      <c r="A242" s="177"/>
      <c r="B242" s="177"/>
      <c r="C242" s="177"/>
      <c r="D242" s="177"/>
      <c r="AF242" s="177"/>
      <c r="AG242" s="177"/>
      <c r="AH242" s="177"/>
      <c r="AI242" s="177"/>
      <c r="AJ242" s="177"/>
      <c r="AK242" s="177"/>
      <c r="AL242" s="177"/>
      <c r="AM242" s="177"/>
      <c r="AN242" s="177"/>
    </row>
    <row r="243" spans="1:40">
      <c r="A243" s="177"/>
      <c r="B243" s="177"/>
      <c r="C243" s="177"/>
      <c r="D243" s="177"/>
      <c r="AF243" s="177"/>
      <c r="AG243" s="177"/>
      <c r="AH243" s="177"/>
      <c r="AI243" s="177"/>
      <c r="AJ243" s="177"/>
      <c r="AK243" s="177"/>
      <c r="AL243" s="177"/>
      <c r="AM243" s="177"/>
      <c r="AN243" s="177"/>
    </row>
    <row r="244" spans="1:40">
      <c r="A244" s="177"/>
      <c r="B244" s="177"/>
      <c r="C244" s="177"/>
      <c r="D244" s="177"/>
      <c r="AF244" s="177"/>
      <c r="AG244" s="177"/>
      <c r="AH244" s="177"/>
      <c r="AI244" s="177"/>
      <c r="AJ244" s="177"/>
      <c r="AK244" s="177"/>
      <c r="AL244" s="177"/>
      <c r="AM244" s="177"/>
      <c r="AN244" s="177"/>
    </row>
    <row r="245" spans="1:40">
      <c r="A245" s="177"/>
      <c r="B245" s="177"/>
      <c r="C245" s="177"/>
      <c r="D245" s="177"/>
      <c r="AF245" s="177"/>
      <c r="AG245" s="177"/>
      <c r="AH245" s="177"/>
      <c r="AI245" s="177"/>
      <c r="AJ245" s="177"/>
      <c r="AK245" s="177"/>
      <c r="AL245" s="177"/>
      <c r="AM245" s="177"/>
      <c r="AN245" s="177"/>
    </row>
    <row r="246" spans="1:40">
      <c r="A246" s="177"/>
      <c r="B246" s="177"/>
      <c r="C246" s="177"/>
      <c r="D246" s="177"/>
      <c r="AF246" s="177"/>
      <c r="AG246" s="177"/>
      <c r="AH246" s="177"/>
      <c r="AI246" s="177"/>
      <c r="AJ246" s="177"/>
      <c r="AK246" s="177"/>
      <c r="AL246" s="177"/>
      <c r="AM246" s="177"/>
      <c r="AN246" s="177"/>
    </row>
    <row r="247" spans="1:40">
      <c r="A247" s="177"/>
      <c r="B247" s="177"/>
      <c r="C247" s="177"/>
      <c r="D247" s="177"/>
      <c r="AF247" s="177"/>
      <c r="AG247" s="177"/>
      <c r="AH247" s="177"/>
      <c r="AI247" s="177"/>
      <c r="AJ247" s="177"/>
      <c r="AK247" s="177"/>
      <c r="AL247" s="177"/>
      <c r="AM247" s="177"/>
      <c r="AN247" s="177"/>
    </row>
    <row r="248" spans="1:40">
      <c r="A248" s="177"/>
      <c r="B248" s="177"/>
      <c r="C248" s="177"/>
      <c r="D248" s="177"/>
      <c r="AF248" s="177"/>
      <c r="AG248" s="177"/>
      <c r="AH248" s="177"/>
      <c r="AI248" s="177"/>
      <c r="AJ248" s="177"/>
      <c r="AK248" s="177"/>
      <c r="AL248" s="177"/>
      <c r="AM248" s="177"/>
      <c r="AN248" s="177"/>
    </row>
    <row r="249" spans="1:40">
      <c r="A249" s="177"/>
      <c r="B249" s="177"/>
      <c r="C249" s="177"/>
      <c r="D249" s="177"/>
      <c r="AF249" s="177"/>
      <c r="AG249" s="177"/>
      <c r="AH249" s="177"/>
      <c r="AI249" s="177"/>
      <c r="AJ249" s="177"/>
      <c r="AK249" s="177"/>
      <c r="AL249" s="177"/>
      <c r="AM249" s="177"/>
      <c r="AN249" s="177"/>
    </row>
    <row r="250" spans="1:40">
      <c r="A250" s="177"/>
      <c r="B250" s="177"/>
      <c r="C250" s="177"/>
      <c r="D250" s="177"/>
      <c r="AF250" s="177"/>
      <c r="AG250" s="177"/>
      <c r="AH250" s="177"/>
      <c r="AI250" s="177"/>
      <c r="AJ250" s="177"/>
      <c r="AK250" s="177"/>
      <c r="AL250" s="177"/>
      <c r="AM250" s="177"/>
      <c r="AN250" s="177"/>
    </row>
    <row r="251" spans="1:40">
      <c r="A251" s="177"/>
      <c r="B251" s="177"/>
      <c r="C251" s="177"/>
      <c r="D251" s="177"/>
      <c r="AF251" s="177"/>
      <c r="AG251" s="177"/>
      <c r="AH251" s="177"/>
      <c r="AI251" s="177"/>
      <c r="AJ251" s="177"/>
      <c r="AK251" s="177"/>
      <c r="AL251" s="177"/>
      <c r="AM251" s="177"/>
      <c r="AN251" s="177"/>
    </row>
    <row r="252" spans="1:40">
      <c r="A252" s="177"/>
      <c r="B252" s="177"/>
      <c r="C252" s="177"/>
      <c r="D252" s="177"/>
      <c r="AF252" s="177"/>
      <c r="AG252" s="177"/>
      <c r="AH252" s="177"/>
      <c r="AI252" s="177"/>
      <c r="AJ252" s="177"/>
      <c r="AK252" s="177"/>
      <c r="AL252" s="177"/>
      <c r="AM252" s="177"/>
      <c r="AN252" s="177"/>
    </row>
    <row r="253" spans="1:40">
      <c r="A253" s="177"/>
      <c r="B253" s="177"/>
      <c r="C253" s="177"/>
      <c r="D253" s="177"/>
      <c r="AF253" s="177"/>
      <c r="AG253" s="177"/>
      <c r="AH253" s="177"/>
      <c r="AI253" s="177"/>
      <c r="AJ253" s="177"/>
      <c r="AK253" s="177"/>
      <c r="AL253" s="177"/>
      <c r="AM253" s="177"/>
      <c r="AN253" s="177"/>
    </row>
    <row r="254" spans="1:40">
      <c r="A254" s="177"/>
      <c r="B254" s="177"/>
      <c r="C254" s="177"/>
      <c r="D254" s="177"/>
      <c r="AF254" s="177"/>
      <c r="AG254" s="177"/>
      <c r="AH254" s="177"/>
      <c r="AI254" s="177"/>
      <c r="AJ254" s="177"/>
      <c r="AK254" s="177"/>
      <c r="AL254" s="177"/>
      <c r="AM254" s="177"/>
      <c r="AN254" s="177"/>
    </row>
    <row r="255" spans="1:40">
      <c r="A255" s="177"/>
      <c r="B255" s="177"/>
      <c r="C255" s="177"/>
      <c r="D255" s="177"/>
      <c r="AF255" s="177"/>
      <c r="AG255" s="177"/>
      <c r="AH255" s="177"/>
      <c r="AI255" s="177"/>
      <c r="AJ255" s="177"/>
      <c r="AK255" s="177"/>
      <c r="AL255" s="177"/>
      <c r="AM255" s="177"/>
      <c r="AN255" s="177"/>
    </row>
    <row r="256" spans="1:40">
      <c r="A256" s="177"/>
      <c r="B256" s="177"/>
      <c r="C256" s="177"/>
      <c r="D256" s="177"/>
      <c r="AF256" s="177"/>
      <c r="AG256" s="177"/>
      <c r="AH256" s="177"/>
      <c r="AI256" s="177"/>
      <c r="AJ256" s="177"/>
      <c r="AK256" s="177"/>
      <c r="AL256" s="177"/>
      <c r="AM256" s="177"/>
      <c r="AN256" s="177"/>
    </row>
    <row r="257" spans="1:40">
      <c r="A257" s="177"/>
      <c r="B257" s="177"/>
      <c r="C257" s="177"/>
      <c r="D257" s="177"/>
      <c r="AF257" s="177"/>
      <c r="AG257" s="177"/>
      <c r="AH257" s="177"/>
      <c r="AI257" s="177"/>
      <c r="AJ257" s="177"/>
      <c r="AK257" s="177"/>
      <c r="AL257" s="177"/>
      <c r="AM257" s="177"/>
      <c r="AN257" s="177"/>
    </row>
    <row r="258" spans="1:40">
      <c r="A258" s="177"/>
      <c r="B258" s="177"/>
      <c r="C258" s="177"/>
      <c r="D258" s="177"/>
      <c r="AF258" s="177"/>
      <c r="AG258" s="177"/>
      <c r="AH258" s="177"/>
      <c r="AI258" s="177"/>
      <c r="AJ258" s="177"/>
      <c r="AK258" s="177"/>
      <c r="AL258" s="177"/>
      <c r="AM258" s="177"/>
      <c r="AN258" s="177"/>
    </row>
    <row r="259" spans="1:40">
      <c r="A259" s="177"/>
      <c r="B259" s="177"/>
      <c r="C259" s="177"/>
      <c r="D259" s="177"/>
      <c r="AF259" s="177"/>
      <c r="AG259" s="177"/>
      <c r="AH259" s="177"/>
      <c r="AI259" s="177"/>
      <c r="AJ259" s="177"/>
      <c r="AK259" s="177"/>
      <c r="AL259" s="177"/>
      <c r="AM259" s="177"/>
      <c r="AN259" s="177"/>
    </row>
    <row r="260" spans="1:40">
      <c r="A260" s="177"/>
      <c r="B260" s="177"/>
      <c r="C260" s="177"/>
      <c r="D260" s="177"/>
      <c r="AF260" s="177"/>
      <c r="AG260" s="177"/>
      <c r="AH260" s="177"/>
      <c r="AI260" s="177"/>
      <c r="AJ260" s="177"/>
      <c r="AK260" s="177"/>
      <c r="AL260" s="177"/>
      <c r="AM260" s="177"/>
      <c r="AN260" s="177"/>
    </row>
    <row r="261" spans="1:40">
      <c r="A261" s="177"/>
      <c r="B261" s="177"/>
      <c r="C261" s="177"/>
      <c r="D261" s="177"/>
      <c r="AF261" s="177"/>
      <c r="AG261" s="177"/>
      <c r="AH261" s="177"/>
      <c r="AI261" s="177"/>
      <c r="AJ261" s="177"/>
      <c r="AK261" s="177"/>
      <c r="AL261" s="177"/>
      <c r="AM261" s="177"/>
      <c r="AN261" s="177"/>
    </row>
    <row r="262" spans="1:40">
      <c r="A262" s="177"/>
      <c r="B262" s="177"/>
      <c r="C262" s="177"/>
      <c r="D262" s="177"/>
      <c r="AF262" s="177"/>
      <c r="AG262" s="177"/>
      <c r="AH262" s="177"/>
      <c r="AI262" s="177"/>
      <c r="AJ262" s="177"/>
      <c r="AK262" s="177"/>
      <c r="AL262" s="177"/>
      <c r="AM262" s="177"/>
      <c r="AN262" s="177"/>
    </row>
    <row r="263" spans="1:40">
      <c r="A263" s="177"/>
      <c r="B263" s="177"/>
      <c r="C263" s="177"/>
      <c r="D263" s="177"/>
      <c r="AF263" s="177"/>
      <c r="AG263" s="177"/>
      <c r="AH263" s="177"/>
      <c r="AI263" s="177"/>
      <c r="AJ263" s="177"/>
      <c r="AK263" s="177"/>
      <c r="AL263" s="177"/>
      <c r="AM263" s="177"/>
      <c r="AN263" s="177"/>
    </row>
    <row r="264" spans="1:40">
      <c r="A264" s="177"/>
      <c r="B264" s="177"/>
      <c r="C264" s="177"/>
      <c r="D264" s="177"/>
      <c r="AF264" s="177"/>
      <c r="AG264" s="177"/>
      <c r="AH264" s="177"/>
      <c r="AI264" s="177"/>
      <c r="AJ264" s="177"/>
      <c r="AK264" s="177"/>
      <c r="AL264" s="177"/>
      <c r="AM264" s="177"/>
      <c r="AN264" s="177"/>
    </row>
    <row r="265" spans="1:40">
      <c r="A265" s="177"/>
      <c r="B265" s="177"/>
      <c r="C265" s="177"/>
      <c r="D265" s="177"/>
      <c r="AF265" s="177"/>
      <c r="AG265" s="177"/>
      <c r="AH265" s="177"/>
      <c r="AI265" s="177"/>
      <c r="AJ265" s="177"/>
      <c r="AK265" s="177"/>
      <c r="AL265" s="177"/>
      <c r="AM265" s="177"/>
      <c r="AN265" s="177"/>
    </row>
    <row r="266" spans="1:40">
      <c r="A266" s="177"/>
      <c r="B266" s="177"/>
      <c r="C266" s="177"/>
      <c r="D266" s="177"/>
      <c r="AF266" s="177"/>
      <c r="AG266" s="177"/>
      <c r="AH266" s="177"/>
      <c r="AI266" s="177"/>
      <c r="AJ266" s="177"/>
      <c r="AK266" s="177"/>
      <c r="AL266" s="177"/>
      <c r="AM266" s="177"/>
      <c r="AN266" s="177"/>
    </row>
    <row r="267" spans="1:40">
      <c r="A267" s="177"/>
      <c r="B267" s="177"/>
      <c r="C267" s="177"/>
      <c r="D267" s="177"/>
      <c r="AF267" s="177"/>
      <c r="AG267" s="177"/>
      <c r="AH267" s="177"/>
      <c r="AI267" s="177"/>
      <c r="AJ267" s="177"/>
      <c r="AK267" s="177"/>
      <c r="AL267" s="177"/>
      <c r="AM267" s="177"/>
      <c r="AN267" s="177"/>
    </row>
    <row r="268" spans="1:40">
      <c r="A268" s="177"/>
      <c r="B268" s="177"/>
      <c r="C268" s="177"/>
      <c r="D268" s="177"/>
      <c r="AF268" s="177"/>
      <c r="AG268" s="177"/>
      <c r="AH268" s="177"/>
      <c r="AI268" s="177"/>
      <c r="AJ268" s="177"/>
      <c r="AK268" s="177"/>
      <c r="AL268" s="177"/>
      <c r="AM268" s="177"/>
      <c r="AN268" s="177"/>
    </row>
    <row r="269" spans="1:40">
      <c r="A269" s="177"/>
      <c r="B269" s="177"/>
      <c r="C269" s="177"/>
      <c r="D269" s="177"/>
      <c r="AF269" s="177"/>
      <c r="AG269" s="177"/>
      <c r="AH269" s="177"/>
      <c r="AI269" s="177"/>
      <c r="AJ269" s="177"/>
      <c r="AK269" s="177"/>
      <c r="AL269" s="177"/>
      <c r="AM269" s="177"/>
      <c r="AN269" s="177"/>
    </row>
    <row r="270" spans="1:40">
      <c r="A270" s="177"/>
      <c r="B270" s="177"/>
      <c r="C270" s="177"/>
      <c r="D270" s="177"/>
      <c r="AF270" s="177"/>
      <c r="AG270" s="177"/>
      <c r="AH270" s="177"/>
      <c r="AI270" s="177"/>
      <c r="AJ270" s="177"/>
      <c r="AK270" s="177"/>
      <c r="AL270" s="177"/>
      <c r="AM270" s="177"/>
      <c r="AN270" s="177"/>
    </row>
    <row r="271" spans="1:40">
      <c r="A271" s="177"/>
      <c r="B271" s="177"/>
      <c r="C271" s="177"/>
      <c r="D271" s="177"/>
      <c r="AF271" s="177"/>
      <c r="AG271" s="177"/>
      <c r="AH271" s="177"/>
      <c r="AI271" s="177"/>
      <c r="AJ271" s="177"/>
      <c r="AK271" s="177"/>
      <c r="AL271" s="177"/>
      <c r="AM271" s="177"/>
      <c r="AN271" s="177"/>
    </row>
    <row r="272" spans="1:40">
      <c r="A272" s="177"/>
      <c r="B272" s="177"/>
      <c r="C272" s="177"/>
      <c r="D272" s="177"/>
      <c r="AF272" s="177"/>
      <c r="AG272" s="177"/>
      <c r="AH272" s="177"/>
      <c r="AI272" s="177"/>
      <c r="AJ272" s="177"/>
      <c r="AK272" s="177"/>
      <c r="AL272" s="177"/>
      <c r="AM272" s="177"/>
      <c r="AN272" s="177"/>
    </row>
    <row r="273" spans="1:40">
      <c r="A273" s="177"/>
      <c r="B273" s="177"/>
      <c r="C273" s="177"/>
      <c r="D273" s="177"/>
      <c r="AF273" s="177"/>
      <c r="AG273" s="177"/>
      <c r="AH273" s="177"/>
      <c r="AI273" s="177"/>
      <c r="AJ273" s="177"/>
      <c r="AK273" s="177"/>
      <c r="AL273" s="177"/>
      <c r="AM273" s="177"/>
      <c r="AN273" s="177"/>
    </row>
    <row r="274" spans="1:40">
      <c r="A274" s="177"/>
      <c r="B274" s="177"/>
      <c r="C274" s="177"/>
      <c r="D274" s="177"/>
      <c r="AF274" s="177"/>
      <c r="AG274" s="177"/>
      <c r="AH274" s="177"/>
      <c r="AI274" s="177"/>
      <c r="AJ274" s="177"/>
      <c r="AK274" s="177"/>
      <c r="AL274" s="177"/>
      <c r="AM274" s="177"/>
      <c r="AN274" s="177"/>
    </row>
    <row r="275" spans="1:40">
      <c r="A275" s="177"/>
      <c r="B275" s="177"/>
      <c r="C275" s="177"/>
      <c r="D275" s="177"/>
      <c r="AF275" s="177"/>
      <c r="AG275" s="177"/>
      <c r="AH275" s="177"/>
      <c r="AI275" s="177"/>
      <c r="AJ275" s="177"/>
      <c r="AK275" s="177"/>
      <c r="AL275" s="177"/>
      <c r="AM275" s="177"/>
      <c r="AN275" s="177"/>
    </row>
    <row r="276" spans="1:40">
      <c r="A276" s="177"/>
      <c r="B276" s="177"/>
      <c r="C276" s="177"/>
      <c r="D276" s="177"/>
      <c r="AF276" s="177"/>
      <c r="AG276" s="177"/>
      <c r="AH276" s="177"/>
      <c r="AI276" s="177"/>
      <c r="AJ276" s="177"/>
      <c r="AK276" s="177"/>
      <c r="AL276" s="177"/>
      <c r="AM276" s="177"/>
      <c r="AN276" s="177"/>
    </row>
    <row r="277" spans="1:40">
      <c r="A277" s="177"/>
      <c r="B277" s="177"/>
      <c r="C277" s="177"/>
      <c r="D277" s="177"/>
      <c r="AF277" s="177"/>
      <c r="AG277" s="177"/>
      <c r="AH277" s="177"/>
      <c r="AI277" s="177"/>
      <c r="AJ277" s="177"/>
      <c r="AK277" s="177"/>
      <c r="AL277" s="177"/>
      <c r="AM277" s="177"/>
      <c r="AN277" s="177"/>
    </row>
    <row r="278" spans="1:40">
      <c r="A278" s="177"/>
      <c r="B278" s="177"/>
      <c r="C278" s="177"/>
      <c r="D278" s="177"/>
      <c r="AF278" s="177"/>
      <c r="AG278" s="177"/>
      <c r="AH278" s="177"/>
      <c r="AI278" s="177"/>
      <c r="AJ278" s="177"/>
      <c r="AK278" s="177"/>
      <c r="AL278" s="177"/>
      <c r="AM278" s="177"/>
      <c r="AN278" s="177"/>
    </row>
    <row r="279" spans="1:40">
      <c r="A279" s="177"/>
      <c r="B279" s="177"/>
      <c r="C279" s="177"/>
      <c r="D279" s="177"/>
      <c r="AF279" s="177"/>
      <c r="AG279" s="177"/>
      <c r="AH279" s="177"/>
      <c r="AI279" s="177"/>
      <c r="AJ279" s="177"/>
      <c r="AK279" s="177"/>
      <c r="AL279" s="177"/>
      <c r="AM279" s="177"/>
      <c r="AN279" s="177"/>
    </row>
    <row r="280" spans="1:40">
      <c r="A280" s="177"/>
      <c r="B280" s="177"/>
      <c r="C280" s="177"/>
      <c r="D280" s="177"/>
      <c r="AF280" s="177"/>
      <c r="AG280" s="177"/>
      <c r="AH280" s="177"/>
      <c r="AI280" s="177"/>
      <c r="AJ280" s="177"/>
      <c r="AK280" s="177"/>
      <c r="AL280" s="177"/>
      <c r="AM280" s="177"/>
      <c r="AN280" s="177"/>
    </row>
    <row r="281" spans="1:40">
      <c r="A281" s="177"/>
      <c r="B281" s="177"/>
      <c r="C281" s="177"/>
      <c r="D281" s="177"/>
      <c r="AF281" s="177"/>
      <c r="AG281" s="177"/>
      <c r="AH281" s="177"/>
      <c r="AI281" s="177"/>
      <c r="AJ281" s="177"/>
      <c r="AK281" s="177"/>
      <c r="AL281" s="177"/>
      <c r="AM281" s="177"/>
      <c r="AN281" s="177"/>
    </row>
    <row r="282" spans="1:40">
      <c r="A282" s="177"/>
      <c r="B282" s="177"/>
      <c r="C282" s="177"/>
      <c r="D282" s="177"/>
      <c r="AF282" s="177"/>
      <c r="AG282" s="177"/>
      <c r="AH282" s="177"/>
      <c r="AI282" s="177"/>
      <c r="AJ282" s="177"/>
      <c r="AK282" s="177"/>
      <c r="AL282" s="177"/>
      <c r="AM282" s="177"/>
      <c r="AN282" s="177"/>
    </row>
    <row r="283" spans="1:40">
      <c r="A283" s="177"/>
      <c r="B283" s="177"/>
      <c r="C283" s="177"/>
      <c r="D283" s="177"/>
      <c r="AF283" s="177"/>
      <c r="AG283" s="177"/>
      <c r="AH283" s="177"/>
      <c r="AI283" s="177"/>
      <c r="AJ283" s="177"/>
      <c r="AK283" s="177"/>
      <c r="AL283" s="177"/>
      <c r="AM283" s="177"/>
      <c r="AN283" s="177"/>
    </row>
    <row r="284" spans="1:40">
      <c r="A284" s="177"/>
      <c r="B284" s="177"/>
      <c r="C284" s="177"/>
      <c r="D284" s="177"/>
      <c r="AF284" s="177"/>
      <c r="AG284" s="177"/>
      <c r="AH284" s="177"/>
      <c r="AI284" s="177"/>
      <c r="AJ284" s="177"/>
      <c r="AK284" s="177"/>
      <c r="AL284" s="177"/>
      <c r="AM284" s="177"/>
      <c r="AN284" s="177"/>
    </row>
    <row r="285" spans="1:40">
      <c r="A285" s="177"/>
      <c r="B285" s="177"/>
      <c r="C285" s="177"/>
      <c r="D285" s="177"/>
      <c r="AF285" s="177"/>
      <c r="AG285" s="177"/>
      <c r="AH285" s="177"/>
      <c r="AI285" s="177"/>
      <c r="AJ285" s="177"/>
      <c r="AK285" s="177"/>
      <c r="AL285" s="177"/>
      <c r="AM285" s="177"/>
      <c r="AN285" s="177"/>
    </row>
    <row r="286" spans="1:40">
      <c r="A286" s="177"/>
      <c r="B286" s="177"/>
      <c r="C286" s="177"/>
      <c r="D286" s="177"/>
      <c r="AF286" s="177"/>
      <c r="AG286" s="177"/>
      <c r="AH286" s="177"/>
      <c r="AI286" s="177"/>
      <c r="AJ286" s="177"/>
      <c r="AK286" s="177"/>
      <c r="AL286" s="177"/>
      <c r="AM286" s="177"/>
      <c r="AN286" s="177"/>
    </row>
    <row r="287" spans="1:40">
      <c r="A287" s="177"/>
      <c r="B287" s="177"/>
      <c r="C287" s="177"/>
      <c r="D287" s="177"/>
      <c r="AF287" s="177"/>
      <c r="AG287" s="177"/>
      <c r="AH287" s="177"/>
      <c r="AI287" s="177"/>
      <c r="AJ287" s="177"/>
      <c r="AK287" s="177"/>
      <c r="AL287" s="177"/>
      <c r="AM287" s="177"/>
      <c r="AN287" s="177"/>
    </row>
    <row r="288" spans="1:40">
      <c r="A288" s="177"/>
      <c r="B288" s="177"/>
      <c r="C288" s="177"/>
      <c r="D288" s="177"/>
      <c r="AF288" s="177"/>
      <c r="AG288" s="177"/>
      <c r="AH288" s="177"/>
      <c r="AI288" s="177"/>
      <c r="AJ288" s="177"/>
      <c r="AK288" s="177"/>
      <c r="AL288" s="177"/>
      <c r="AM288" s="177"/>
      <c r="AN288" s="177"/>
    </row>
    <row r="289" spans="1:40">
      <c r="A289" s="177"/>
      <c r="B289" s="177"/>
      <c r="C289" s="177"/>
      <c r="D289" s="177"/>
      <c r="AF289" s="177"/>
      <c r="AG289" s="177"/>
      <c r="AH289" s="177"/>
      <c r="AI289" s="177"/>
      <c r="AJ289" s="177"/>
      <c r="AK289" s="177"/>
      <c r="AL289" s="177"/>
      <c r="AM289" s="177"/>
      <c r="AN289" s="177"/>
    </row>
    <row r="290" spans="1:40">
      <c r="A290" s="177"/>
      <c r="B290" s="177"/>
      <c r="C290" s="177"/>
      <c r="D290" s="177"/>
      <c r="AF290" s="177"/>
      <c r="AG290" s="177"/>
      <c r="AH290" s="177"/>
      <c r="AI290" s="177"/>
      <c r="AJ290" s="177"/>
      <c r="AK290" s="177"/>
      <c r="AL290" s="177"/>
      <c r="AM290" s="177"/>
      <c r="AN290" s="177"/>
    </row>
    <row r="291" spans="1:40">
      <c r="A291" s="177"/>
      <c r="B291" s="177"/>
      <c r="C291" s="177"/>
      <c r="D291" s="177"/>
      <c r="AF291" s="177"/>
      <c r="AG291" s="177"/>
      <c r="AH291" s="177"/>
      <c r="AI291" s="177"/>
      <c r="AJ291" s="177"/>
      <c r="AK291" s="177"/>
      <c r="AL291" s="177"/>
      <c r="AM291" s="177"/>
      <c r="AN291" s="177"/>
    </row>
    <row r="292" spans="1:40">
      <c r="A292" s="177"/>
      <c r="B292" s="177"/>
      <c r="C292" s="177"/>
      <c r="D292" s="177"/>
      <c r="AF292" s="177"/>
      <c r="AG292" s="177"/>
      <c r="AH292" s="177"/>
      <c r="AI292" s="177"/>
      <c r="AJ292" s="177"/>
      <c r="AK292" s="177"/>
      <c r="AL292" s="177"/>
      <c r="AM292" s="177"/>
      <c r="AN292" s="177"/>
    </row>
    <row r="293" spans="1:40">
      <c r="A293" s="177"/>
      <c r="B293" s="177"/>
      <c r="C293" s="177"/>
      <c r="D293" s="177"/>
      <c r="AF293" s="177"/>
      <c r="AG293" s="177"/>
      <c r="AH293" s="177"/>
      <c r="AI293" s="177"/>
      <c r="AJ293" s="177"/>
      <c r="AK293" s="177"/>
      <c r="AL293" s="177"/>
      <c r="AM293" s="177"/>
      <c r="AN293" s="177"/>
    </row>
    <row r="294" spans="1:40">
      <c r="A294" s="177"/>
      <c r="B294" s="177"/>
      <c r="C294" s="177"/>
      <c r="D294" s="177"/>
      <c r="AF294" s="177"/>
      <c r="AG294" s="177"/>
      <c r="AH294" s="177"/>
      <c r="AI294" s="177"/>
      <c r="AJ294" s="177"/>
      <c r="AK294" s="177"/>
      <c r="AL294" s="177"/>
      <c r="AM294" s="177"/>
      <c r="AN294" s="177"/>
    </row>
    <row r="295" spans="1:40">
      <c r="A295" s="177"/>
      <c r="B295" s="177"/>
      <c r="C295" s="177"/>
      <c r="D295" s="177"/>
      <c r="AF295" s="177"/>
      <c r="AG295" s="177"/>
      <c r="AH295" s="177"/>
      <c r="AI295" s="177"/>
      <c r="AJ295" s="177"/>
      <c r="AK295" s="177"/>
      <c r="AL295" s="177"/>
      <c r="AM295" s="177"/>
      <c r="AN295" s="177"/>
    </row>
    <row r="296" spans="1:40">
      <c r="A296" s="177"/>
      <c r="B296" s="177"/>
      <c r="C296" s="177"/>
      <c r="D296" s="177"/>
      <c r="AF296" s="177"/>
      <c r="AG296" s="177"/>
      <c r="AH296" s="177"/>
      <c r="AI296" s="177"/>
      <c r="AJ296" s="177"/>
      <c r="AK296" s="177"/>
      <c r="AL296" s="177"/>
      <c r="AM296" s="177"/>
      <c r="AN296" s="177"/>
    </row>
    <row r="297" spans="1:40">
      <c r="A297" s="177"/>
      <c r="B297" s="177"/>
      <c r="C297" s="177"/>
      <c r="D297" s="177"/>
      <c r="AF297" s="177"/>
      <c r="AG297" s="177"/>
      <c r="AH297" s="177"/>
      <c r="AI297" s="177"/>
      <c r="AJ297" s="177"/>
      <c r="AK297" s="177"/>
      <c r="AL297" s="177"/>
      <c r="AM297" s="177"/>
      <c r="AN297" s="177"/>
    </row>
    <row r="298" spans="1:40">
      <c r="A298" s="177"/>
      <c r="B298" s="177"/>
      <c r="C298" s="177"/>
      <c r="D298" s="177"/>
      <c r="AF298" s="177"/>
      <c r="AG298" s="177"/>
      <c r="AH298" s="177"/>
      <c r="AI298" s="177"/>
      <c r="AJ298" s="177"/>
      <c r="AK298" s="177"/>
      <c r="AL298" s="177"/>
      <c r="AM298" s="177"/>
      <c r="AN298" s="177"/>
    </row>
    <row r="299" spans="1:40">
      <c r="A299" s="177"/>
      <c r="B299" s="177"/>
      <c r="C299" s="177"/>
      <c r="D299" s="177"/>
      <c r="AF299" s="177"/>
      <c r="AG299" s="177"/>
      <c r="AH299" s="177"/>
      <c r="AI299" s="177"/>
      <c r="AJ299" s="177"/>
      <c r="AK299" s="177"/>
      <c r="AL299" s="177"/>
      <c r="AM299" s="177"/>
      <c r="AN299" s="177"/>
    </row>
    <row r="300" spans="1:40">
      <c r="A300" s="177"/>
      <c r="B300" s="177"/>
      <c r="C300" s="177"/>
      <c r="D300" s="177"/>
      <c r="AF300" s="177"/>
      <c r="AG300" s="177"/>
      <c r="AH300" s="177"/>
      <c r="AI300" s="177"/>
      <c r="AJ300" s="177"/>
      <c r="AK300" s="177"/>
      <c r="AL300" s="177"/>
      <c r="AM300" s="177"/>
      <c r="AN300" s="177"/>
    </row>
    <row r="301" spans="1:40">
      <c r="A301" s="177"/>
      <c r="B301" s="177"/>
      <c r="C301" s="177"/>
      <c r="D301" s="177"/>
      <c r="AF301" s="177"/>
      <c r="AG301" s="177"/>
      <c r="AH301" s="177"/>
      <c r="AI301" s="177"/>
      <c r="AJ301" s="177"/>
      <c r="AK301" s="177"/>
      <c r="AL301" s="177"/>
      <c r="AM301" s="177"/>
      <c r="AN301" s="177"/>
    </row>
    <row r="302" spans="1:40">
      <c r="A302" s="177"/>
      <c r="B302" s="177"/>
      <c r="C302" s="177"/>
      <c r="D302" s="177"/>
      <c r="AF302" s="177"/>
      <c r="AG302" s="177"/>
      <c r="AH302" s="177"/>
      <c r="AI302" s="177"/>
      <c r="AJ302" s="177"/>
      <c r="AK302" s="177"/>
      <c r="AL302" s="177"/>
      <c r="AM302" s="177"/>
      <c r="AN302" s="177"/>
    </row>
    <row r="303" spans="1:40">
      <c r="A303" s="177"/>
      <c r="B303" s="177"/>
      <c r="C303" s="177"/>
      <c r="D303" s="177"/>
      <c r="AF303" s="177"/>
      <c r="AG303" s="177"/>
      <c r="AH303" s="177"/>
      <c r="AI303" s="177"/>
      <c r="AJ303" s="177"/>
      <c r="AK303" s="177"/>
      <c r="AL303" s="177"/>
      <c r="AM303" s="177"/>
      <c r="AN303" s="177"/>
    </row>
    <row r="304" spans="1:40">
      <c r="A304" s="177"/>
      <c r="B304" s="177"/>
      <c r="C304" s="177"/>
      <c r="D304" s="177"/>
      <c r="AF304" s="177"/>
      <c r="AG304" s="177"/>
      <c r="AH304" s="177"/>
      <c r="AI304" s="177"/>
      <c r="AJ304" s="177"/>
      <c r="AK304" s="177"/>
      <c r="AL304" s="177"/>
      <c r="AM304" s="177"/>
      <c r="AN304" s="177"/>
    </row>
    <row r="305" spans="1:40">
      <c r="A305" s="177"/>
      <c r="B305" s="177"/>
      <c r="C305" s="177"/>
      <c r="D305" s="177"/>
      <c r="AF305" s="177"/>
      <c r="AG305" s="177"/>
      <c r="AH305" s="177"/>
      <c r="AI305" s="177"/>
      <c r="AJ305" s="177"/>
      <c r="AK305" s="177"/>
      <c r="AL305" s="177"/>
      <c r="AM305" s="177"/>
      <c r="AN305" s="177"/>
    </row>
    <row r="306" spans="1:40">
      <c r="A306" s="177"/>
      <c r="B306" s="177"/>
      <c r="C306" s="177"/>
      <c r="D306" s="177"/>
      <c r="AF306" s="177"/>
      <c r="AG306" s="177"/>
      <c r="AH306" s="177"/>
      <c r="AI306" s="177"/>
      <c r="AJ306" s="177"/>
      <c r="AK306" s="177"/>
      <c r="AL306" s="177"/>
      <c r="AM306" s="177"/>
      <c r="AN306" s="177"/>
    </row>
    <row r="307" spans="1:40">
      <c r="A307" s="177"/>
      <c r="B307" s="177"/>
      <c r="C307" s="177"/>
      <c r="D307" s="177"/>
      <c r="AF307" s="177"/>
      <c r="AG307" s="177"/>
      <c r="AH307" s="177"/>
      <c r="AI307" s="177"/>
      <c r="AJ307" s="177"/>
      <c r="AK307" s="177"/>
      <c r="AL307" s="177"/>
      <c r="AM307" s="177"/>
      <c r="AN307" s="177"/>
    </row>
    <row r="308" spans="1:40">
      <c r="A308" s="177"/>
      <c r="B308" s="177"/>
      <c r="C308" s="177"/>
      <c r="D308" s="177"/>
      <c r="AF308" s="177"/>
      <c r="AG308" s="177"/>
      <c r="AH308" s="177"/>
      <c r="AI308" s="177"/>
      <c r="AJ308" s="177"/>
      <c r="AK308" s="177"/>
      <c r="AL308" s="177"/>
      <c r="AM308" s="177"/>
      <c r="AN308" s="177"/>
    </row>
    <row r="309" spans="1:40">
      <c r="A309" s="177"/>
      <c r="B309" s="177"/>
      <c r="C309" s="177"/>
      <c r="D309" s="177"/>
      <c r="AF309" s="177"/>
      <c r="AG309" s="177"/>
      <c r="AH309" s="177"/>
      <c r="AI309" s="177"/>
      <c r="AJ309" s="177"/>
      <c r="AK309" s="177"/>
      <c r="AL309" s="177"/>
      <c r="AM309" s="177"/>
      <c r="AN309" s="177"/>
    </row>
    <row r="310" spans="1:40">
      <c r="A310" s="177"/>
      <c r="B310" s="177"/>
      <c r="C310" s="177"/>
      <c r="D310" s="177"/>
      <c r="AF310" s="177"/>
      <c r="AG310" s="177"/>
      <c r="AH310" s="177"/>
      <c r="AI310" s="177"/>
      <c r="AJ310" s="177"/>
      <c r="AK310" s="177"/>
      <c r="AL310" s="177"/>
      <c r="AM310" s="177"/>
      <c r="AN310" s="177"/>
    </row>
    <row r="311" spans="1:40">
      <c r="A311" s="177"/>
      <c r="B311" s="177"/>
      <c r="C311" s="177"/>
      <c r="D311" s="177"/>
      <c r="AF311" s="177"/>
      <c r="AG311" s="177"/>
      <c r="AH311" s="177"/>
      <c r="AI311" s="177"/>
      <c r="AJ311" s="177"/>
      <c r="AK311" s="177"/>
      <c r="AL311" s="177"/>
      <c r="AM311" s="177"/>
      <c r="AN311" s="177"/>
    </row>
    <row r="312" spans="1:40">
      <c r="A312" s="177"/>
      <c r="B312" s="177"/>
      <c r="C312" s="177"/>
      <c r="D312" s="177"/>
      <c r="AF312" s="177"/>
      <c r="AG312" s="177"/>
      <c r="AH312" s="177"/>
      <c r="AI312" s="177"/>
      <c r="AJ312" s="177"/>
      <c r="AK312" s="177"/>
      <c r="AL312" s="177"/>
      <c r="AM312" s="177"/>
      <c r="AN312" s="177"/>
    </row>
    <row r="313" spans="1:40">
      <c r="A313" s="177"/>
      <c r="B313" s="177"/>
      <c r="C313" s="177"/>
      <c r="D313" s="177"/>
      <c r="AF313" s="177"/>
      <c r="AG313" s="177"/>
      <c r="AH313" s="177"/>
      <c r="AI313" s="177"/>
      <c r="AJ313" s="177"/>
      <c r="AK313" s="177"/>
      <c r="AL313" s="177"/>
      <c r="AM313" s="177"/>
      <c r="AN313" s="177"/>
    </row>
    <row r="314" spans="1:40">
      <c r="A314" s="177"/>
      <c r="B314" s="177"/>
      <c r="C314" s="177"/>
      <c r="D314" s="177"/>
      <c r="AF314" s="177"/>
      <c r="AG314" s="177"/>
      <c r="AH314" s="177"/>
      <c r="AI314" s="177"/>
      <c r="AJ314" s="177"/>
      <c r="AK314" s="177"/>
      <c r="AL314" s="177"/>
      <c r="AM314" s="177"/>
      <c r="AN314" s="177"/>
    </row>
    <row r="315" spans="1:40">
      <c r="A315" s="177"/>
      <c r="B315" s="177"/>
      <c r="C315" s="177"/>
      <c r="D315" s="177"/>
      <c r="AF315" s="177"/>
      <c r="AG315" s="177"/>
      <c r="AH315" s="177"/>
      <c r="AI315" s="177"/>
      <c r="AJ315" s="177"/>
      <c r="AK315" s="177"/>
      <c r="AL315" s="177"/>
      <c r="AM315" s="177"/>
      <c r="AN315" s="177"/>
    </row>
    <row r="316" spans="1:40">
      <c r="A316" s="177"/>
      <c r="B316" s="177"/>
      <c r="C316" s="177"/>
      <c r="D316" s="177"/>
      <c r="AF316" s="177"/>
      <c r="AG316" s="177"/>
      <c r="AH316" s="177"/>
      <c r="AI316" s="177"/>
      <c r="AJ316" s="177"/>
      <c r="AK316" s="177"/>
      <c r="AL316" s="177"/>
      <c r="AM316" s="177"/>
      <c r="AN316" s="177"/>
    </row>
    <row r="317" spans="1:40">
      <c r="A317" s="177"/>
      <c r="B317" s="177"/>
      <c r="C317" s="177"/>
      <c r="D317" s="177"/>
      <c r="AF317" s="177"/>
      <c r="AG317" s="177"/>
      <c r="AH317" s="177"/>
      <c r="AI317" s="177"/>
      <c r="AJ317" s="177"/>
      <c r="AK317" s="177"/>
      <c r="AL317" s="177"/>
      <c r="AM317" s="177"/>
      <c r="AN317" s="177"/>
    </row>
    <row r="318" spans="1:40">
      <c r="A318" s="177"/>
      <c r="B318" s="177"/>
      <c r="C318" s="177"/>
      <c r="D318" s="177"/>
      <c r="AF318" s="177"/>
      <c r="AG318" s="177"/>
      <c r="AH318" s="177"/>
      <c r="AI318" s="177"/>
      <c r="AJ318" s="177"/>
      <c r="AK318" s="177"/>
      <c r="AL318" s="177"/>
      <c r="AM318" s="177"/>
      <c r="AN318" s="177"/>
    </row>
    <row r="319" spans="1:40">
      <c r="A319" s="177"/>
      <c r="B319" s="177"/>
      <c r="C319" s="177"/>
      <c r="D319" s="177"/>
      <c r="AF319" s="177"/>
      <c r="AG319" s="177"/>
      <c r="AH319" s="177"/>
      <c r="AI319" s="177"/>
      <c r="AJ319" s="177"/>
      <c r="AK319" s="177"/>
      <c r="AL319" s="177"/>
      <c r="AM319" s="177"/>
      <c r="AN319" s="177"/>
    </row>
    <row r="320" spans="1:40">
      <c r="A320" s="177"/>
      <c r="B320" s="177"/>
      <c r="C320" s="177"/>
      <c r="D320" s="177"/>
      <c r="AF320" s="177"/>
      <c r="AG320" s="177"/>
      <c r="AH320" s="177"/>
      <c r="AI320" s="177"/>
      <c r="AJ320" s="177"/>
      <c r="AK320" s="177"/>
      <c r="AL320" s="177"/>
      <c r="AM320" s="177"/>
      <c r="AN320" s="177"/>
    </row>
    <row r="321" spans="1:40">
      <c r="A321" s="177"/>
      <c r="B321" s="177"/>
      <c r="C321" s="177"/>
      <c r="D321" s="177"/>
      <c r="AF321" s="177"/>
      <c r="AG321" s="177"/>
      <c r="AH321" s="177"/>
      <c r="AI321" s="177"/>
      <c r="AJ321" s="177"/>
      <c r="AK321" s="177"/>
      <c r="AL321" s="177"/>
      <c r="AM321" s="177"/>
      <c r="AN321" s="177"/>
    </row>
    <row r="322" spans="1:40">
      <c r="A322" s="177"/>
      <c r="B322" s="177"/>
      <c r="C322" s="177"/>
      <c r="D322" s="177"/>
      <c r="AF322" s="177"/>
      <c r="AG322" s="177"/>
      <c r="AH322" s="177"/>
      <c r="AI322" s="177"/>
      <c r="AJ322" s="177"/>
      <c r="AK322" s="177"/>
      <c r="AL322" s="177"/>
      <c r="AM322" s="177"/>
      <c r="AN322" s="177"/>
    </row>
    <row r="323" spans="1:40">
      <c r="A323" s="177"/>
      <c r="B323" s="177"/>
      <c r="C323" s="177"/>
      <c r="D323" s="177"/>
      <c r="AF323" s="177"/>
      <c r="AG323" s="177"/>
      <c r="AH323" s="177"/>
      <c r="AI323" s="177"/>
      <c r="AJ323" s="177"/>
      <c r="AK323" s="177"/>
      <c r="AL323" s="177"/>
      <c r="AM323" s="177"/>
      <c r="AN323" s="177"/>
    </row>
    <row r="324" spans="1:40">
      <c r="A324" s="177"/>
      <c r="B324" s="177"/>
      <c r="C324" s="177"/>
      <c r="D324" s="177"/>
      <c r="AF324" s="177"/>
      <c r="AG324" s="177"/>
      <c r="AH324" s="177"/>
      <c r="AI324" s="177"/>
      <c r="AJ324" s="177"/>
      <c r="AK324" s="177"/>
      <c r="AL324" s="177"/>
      <c r="AM324" s="177"/>
      <c r="AN324" s="177"/>
    </row>
    <row r="325" spans="1:40">
      <c r="A325" s="177"/>
      <c r="B325" s="177"/>
      <c r="C325" s="177"/>
      <c r="D325" s="177"/>
      <c r="AF325" s="177"/>
      <c r="AG325" s="177"/>
      <c r="AH325" s="177"/>
      <c r="AI325" s="177"/>
      <c r="AJ325" s="177"/>
      <c r="AK325" s="177"/>
      <c r="AL325" s="177"/>
      <c r="AM325" s="177"/>
      <c r="AN325" s="177"/>
    </row>
    <row r="326" spans="1:40">
      <c r="A326" s="177"/>
      <c r="B326" s="177"/>
      <c r="C326" s="177"/>
      <c r="D326" s="177"/>
      <c r="AF326" s="177"/>
      <c r="AG326" s="177"/>
      <c r="AH326" s="177"/>
      <c r="AI326" s="177"/>
      <c r="AJ326" s="177"/>
      <c r="AK326" s="177"/>
      <c r="AL326" s="177"/>
      <c r="AM326" s="177"/>
      <c r="AN326" s="177"/>
    </row>
    <row r="327" spans="1:40">
      <c r="A327" s="177"/>
      <c r="B327" s="177"/>
      <c r="C327" s="177"/>
      <c r="D327" s="177"/>
      <c r="AF327" s="177"/>
      <c r="AG327" s="177"/>
      <c r="AH327" s="177"/>
      <c r="AI327" s="177"/>
      <c r="AJ327" s="177"/>
      <c r="AK327" s="177"/>
      <c r="AL327" s="177"/>
      <c r="AM327" s="177"/>
      <c r="AN327" s="177"/>
    </row>
    <row r="328" spans="1:40">
      <c r="A328" s="177"/>
      <c r="B328" s="177"/>
      <c r="C328" s="177"/>
      <c r="D328" s="177"/>
      <c r="AF328" s="177"/>
      <c r="AG328" s="177"/>
      <c r="AH328" s="177"/>
      <c r="AI328" s="177"/>
      <c r="AJ328" s="177"/>
      <c r="AK328" s="177"/>
      <c r="AL328" s="177"/>
      <c r="AM328" s="177"/>
      <c r="AN328" s="177"/>
    </row>
    <row r="329" spans="1:40">
      <c r="A329" s="177"/>
      <c r="B329" s="177"/>
      <c r="C329" s="177"/>
      <c r="D329" s="177"/>
      <c r="AF329" s="177"/>
      <c r="AG329" s="177"/>
      <c r="AH329" s="177"/>
      <c r="AI329" s="177"/>
      <c r="AJ329" s="177"/>
      <c r="AK329" s="177"/>
      <c r="AL329" s="177"/>
      <c r="AM329" s="177"/>
      <c r="AN329" s="177"/>
    </row>
    <row r="330" spans="1:40">
      <c r="A330" s="177"/>
      <c r="B330" s="177"/>
      <c r="C330" s="177"/>
      <c r="D330" s="177"/>
      <c r="AF330" s="177"/>
      <c r="AG330" s="177"/>
      <c r="AH330" s="177"/>
      <c r="AI330" s="177"/>
      <c r="AJ330" s="177"/>
      <c r="AK330" s="177"/>
      <c r="AL330" s="177"/>
      <c r="AM330" s="177"/>
      <c r="AN330" s="177"/>
    </row>
    <row r="331" spans="1:40">
      <c r="A331" s="177"/>
      <c r="B331" s="177"/>
      <c r="C331" s="177"/>
      <c r="D331" s="177"/>
      <c r="AF331" s="177"/>
      <c r="AG331" s="177"/>
      <c r="AH331" s="177"/>
      <c r="AI331" s="177"/>
      <c r="AJ331" s="177"/>
      <c r="AK331" s="177"/>
      <c r="AL331" s="177"/>
      <c r="AM331" s="177"/>
      <c r="AN331" s="177"/>
    </row>
    <row r="332" spans="1:40">
      <c r="A332" s="177"/>
      <c r="B332" s="177"/>
      <c r="C332" s="177"/>
      <c r="D332" s="177"/>
      <c r="AF332" s="177"/>
      <c r="AG332" s="177"/>
      <c r="AH332" s="177"/>
      <c r="AI332" s="177"/>
      <c r="AJ332" s="177"/>
      <c r="AK332" s="177"/>
      <c r="AL332" s="177"/>
      <c r="AM332" s="177"/>
      <c r="AN332" s="177"/>
    </row>
    <row r="333" spans="1:40">
      <c r="A333" s="177"/>
      <c r="B333" s="177"/>
      <c r="C333" s="177"/>
      <c r="D333" s="177"/>
      <c r="AF333" s="177"/>
      <c r="AG333" s="177"/>
      <c r="AH333" s="177"/>
      <c r="AI333" s="177"/>
      <c r="AJ333" s="177"/>
      <c r="AK333" s="177"/>
      <c r="AL333" s="177"/>
      <c r="AM333" s="177"/>
      <c r="AN333" s="177"/>
    </row>
    <row r="334" spans="1:40">
      <c r="A334" s="177"/>
      <c r="B334" s="177"/>
      <c r="C334" s="177"/>
      <c r="D334" s="177"/>
      <c r="AF334" s="177"/>
      <c r="AG334" s="177"/>
      <c r="AH334" s="177"/>
      <c r="AI334" s="177"/>
      <c r="AJ334" s="177"/>
      <c r="AK334" s="177"/>
      <c r="AL334" s="177"/>
      <c r="AM334" s="177"/>
      <c r="AN334" s="177"/>
    </row>
    <row r="335" spans="1:40">
      <c r="A335" s="177"/>
      <c r="B335" s="177"/>
      <c r="C335" s="177"/>
      <c r="D335" s="177"/>
      <c r="AF335" s="177"/>
      <c r="AG335" s="177"/>
      <c r="AH335" s="177"/>
      <c r="AI335" s="177"/>
      <c r="AJ335" s="177"/>
      <c r="AK335" s="177"/>
      <c r="AL335" s="177"/>
      <c r="AM335" s="177"/>
      <c r="AN335" s="177"/>
    </row>
    <row r="336" spans="1:40">
      <c r="A336" s="177"/>
      <c r="B336" s="177"/>
      <c r="C336" s="177"/>
      <c r="D336" s="177"/>
      <c r="AF336" s="177"/>
      <c r="AG336" s="177"/>
      <c r="AH336" s="177"/>
      <c r="AI336" s="177"/>
      <c r="AJ336" s="177"/>
      <c r="AK336" s="177"/>
      <c r="AL336" s="177"/>
      <c r="AM336" s="177"/>
      <c r="AN336" s="177"/>
    </row>
    <row r="337" spans="1:40">
      <c r="A337" s="177"/>
      <c r="B337" s="177"/>
      <c r="C337" s="177"/>
      <c r="D337" s="177"/>
      <c r="AF337" s="177"/>
      <c r="AG337" s="177"/>
      <c r="AH337" s="177"/>
      <c r="AI337" s="177"/>
      <c r="AJ337" s="177"/>
      <c r="AK337" s="177"/>
      <c r="AL337" s="177"/>
      <c r="AM337" s="177"/>
      <c r="AN337" s="177"/>
    </row>
    <row r="338" spans="1:40">
      <c r="A338" s="177"/>
      <c r="B338" s="177"/>
      <c r="C338" s="177"/>
      <c r="D338" s="177"/>
      <c r="AF338" s="177"/>
      <c r="AG338" s="177"/>
      <c r="AH338" s="177"/>
      <c r="AI338" s="177"/>
      <c r="AJ338" s="177"/>
      <c r="AK338" s="177"/>
      <c r="AL338" s="177"/>
      <c r="AM338" s="177"/>
      <c r="AN338" s="177"/>
    </row>
    <row r="339" spans="1:40">
      <c r="A339" s="177"/>
      <c r="B339" s="177"/>
      <c r="C339" s="177"/>
      <c r="D339" s="177"/>
      <c r="AF339" s="177"/>
      <c r="AG339" s="177"/>
      <c r="AH339" s="177"/>
      <c r="AI339" s="177"/>
      <c r="AJ339" s="177"/>
      <c r="AK339" s="177"/>
      <c r="AL339" s="177"/>
      <c r="AM339" s="177"/>
      <c r="AN339" s="177"/>
    </row>
    <row r="340" spans="1:40">
      <c r="A340" s="177"/>
      <c r="B340" s="177"/>
      <c r="C340" s="177"/>
      <c r="D340" s="177"/>
      <c r="AF340" s="177"/>
      <c r="AG340" s="177"/>
      <c r="AH340" s="177"/>
      <c r="AI340" s="177"/>
      <c r="AJ340" s="177"/>
      <c r="AK340" s="177"/>
      <c r="AL340" s="177"/>
      <c r="AM340" s="177"/>
      <c r="AN340" s="177"/>
    </row>
    <row r="341" spans="1:40">
      <c r="A341" s="177"/>
      <c r="B341" s="177"/>
      <c r="C341" s="177"/>
      <c r="D341" s="177"/>
      <c r="AF341" s="177"/>
      <c r="AG341" s="177"/>
      <c r="AH341" s="177"/>
      <c r="AI341" s="177"/>
      <c r="AJ341" s="177"/>
      <c r="AK341" s="177"/>
      <c r="AL341" s="177"/>
      <c r="AM341" s="177"/>
      <c r="AN341" s="177"/>
    </row>
    <row r="342" spans="1:40">
      <c r="A342" s="177"/>
      <c r="B342" s="177"/>
      <c r="C342" s="177"/>
      <c r="D342" s="177"/>
      <c r="AF342" s="177"/>
      <c r="AG342" s="177"/>
      <c r="AH342" s="177"/>
      <c r="AI342" s="177"/>
      <c r="AJ342" s="177"/>
      <c r="AK342" s="177"/>
      <c r="AL342" s="177"/>
      <c r="AM342" s="177"/>
      <c r="AN342" s="177"/>
    </row>
    <row r="343" spans="1:40">
      <c r="A343" s="177"/>
      <c r="B343" s="177"/>
      <c r="C343" s="177"/>
      <c r="D343" s="177"/>
      <c r="AF343" s="177"/>
      <c r="AG343" s="177"/>
      <c r="AH343" s="177"/>
      <c r="AI343" s="177"/>
      <c r="AJ343" s="177"/>
      <c r="AK343" s="177"/>
      <c r="AL343" s="177"/>
      <c r="AM343" s="177"/>
      <c r="AN343" s="177"/>
    </row>
    <row r="344" spans="1:40">
      <c r="A344" s="177"/>
      <c r="B344" s="177"/>
      <c r="C344" s="177"/>
      <c r="D344" s="177"/>
      <c r="AF344" s="177"/>
      <c r="AG344" s="177"/>
      <c r="AH344" s="177"/>
      <c r="AI344" s="177"/>
      <c r="AJ344" s="177"/>
      <c r="AK344" s="177"/>
      <c r="AL344" s="177"/>
      <c r="AM344" s="177"/>
      <c r="AN344" s="177"/>
    </row>
    <row r="345" spans="1:40">
      <c r="A345" s="177"/>
      <c r="B345" s="177"/>
      <c r="C345" s="177"/>
      <c r="D345" s="177"/>
      <c r="AF345" s="177"/>
      <c r="AG345" s="177"/>
      <c r="AH345" s="177"/>
      <c r="AI345" s="177"/>
      <c r="AJ345" s="177"/>
      <c r="AK345" s="177"/>
      <c r="AL345" s="177"/>
      <c r="AM345" s="177"/>
      <c r="AN345" s="177"/>
    </row>
    <row r="346" spans="1:40">
      <c r="A346" s="177"/>
      <c r="B346" s="177"/>
      <c r="C346" s="177"/>
      <c r="D346" s="177"/>
      <c r="AF346" s="177"/>
      <c r="AG346" s="177"/>
      <c r="AH346" s="177"/>
      <c r="AI346" s="177"/>
      <c r="AJ346" s="177"/>
      <c r="AK346" s="177"/>
      <c r="AL346" s="177"/>
      <c r="AM346" s="177"/>
      <c r="AN346" s="177"/>
    </row>
    <row r="347" spans="1:40">
      <c r="A347" s="177"/>
      <c r="B347" s="177"/>
      <c r="C347" s="177"/>
      <c r="D347" s="177"/>
      <c r="AF347" s="177"/>
      <c r="AG347" s="177"/>
      <c r="AH347" s="177"/>
      <c r="AI347" s="177"/>
      <c r="AJ347" s="177"/>
      <c r="AK347" s="177"/>
      <c r="AL347" s="177"/>
      <c r="AM347" s="177"/>
      <c r="AN347" s="177"/>
    </row>
    <row r="348" spans="1:40">
      <c r="A348" s="177"/>
      <c r="B348" s="177"/>
      <c r="C348" s="177"/>
      <c r="D348" s="177"/>
      <c r="AF348" s="177"/>
      <c r="AG348" s="177"/>
      <c r="AH348" s="177"/>
      <c r="AI348" s="177"/>
      <c r="AJ348" s="177"/>
      <c r="AK348" s="177"/>
      <c r="AL348" s="177"/>
      <c r="AM348" s="177"/>
      <c r="AN348" s="177"/>
    </row>
    <row r="349" spans="1:40">
      <c r="A349" s="177"/>
      <c r="B349" s="177"/>
      <c r="C349" s="177"/>
      <c r="D349" s="177"/>
      <c r="AF349" s="177"/>
      <c r="AG349" s="177"/>
      <c r="AH349" s="177"/>
      <c r="AI349" s="177"/>
      <c r="AJ349" s="177"/>
      <c r="AK349" s="177"/>
      <c r="AL349" s="177"/>
      <c r="AM349" s="177"/>
      <c r="AN349" s="177"/>
    </row>
    <row r="350" spans="1:40">
      <c r="A350" s="177"/>
      <c r="B350" s="177"/>
      <c r="C350" s="177"/>
      <c r="D350" s="177"/>
      <c r="AF350" s="177"/>
      <c r="AG350" s="177"/>
      <c r="AH350" s="177"/>
      <c r="AI350" s="177"/>
      <c r="AJ350" s="177"/>
      <c r="AK350" s="177"/>
      <c r="AL350" s="177"/>
      <c r="AM350" s="177"/>
      <c r="AN350" s="177"/>
    </row>
    <row r="351" spans="1:40">
      <c r="A351" s="177"/>
      <c r="B351" s="177"/>
      <c r="C351" s="177"/>
      <c r="D351" s="177"/>
      <c r="AF351" s="177"/>
      <c r="AG351" s="177"/>
      <c r="AH351" s="177"/>
      <c r="AI351" s="177"/>
      <c r="AJ351" s="177"/>
      <c r="AK351" s="177"/>
      <c r="AL351" s="177"/>
      <c r="AM351" s="177"/>
      <c r="AN351" s="177"/>
    </row>
    <row r="352" spans="1:40">
      <c r="A352" s="177"/>
      <c r="B352" s="177"/>
      <c r="C352" s="177"/>
      <c r="D352" s="177"/>
      <c r="AF352" s="177"/>
      <c r="AG352" s="177"/>
      <c r="AH352" s="177"/>
      <c r="AI352" s="177"/>
      <c r="AJ352" s="177"/>
      <c r="AK352" s="177"/>
      <c r="AL352" s="177"/>
      <c r="AM352" s="177"/>
      <c r="AN352" s="177"/>
    </row>
    <row r="353" spans="1:40">
      <c r="A353" s="177"/>
      <c r="B353" s="177"/>
      <c r="C353" s="177"/>
      <c r="D353" s="177"/>
      <c r="AF353" s="177"/>
      <c r="AG353" s="177"/>
      <c r="AH353" s="177"/>
      <c r="AI353" s="177"/>
      <c r="AJ353" s="177"/>
      <c r="AK353" s="177"/>
      <c r="AL353" s="177"/>
      <c r="AM353" s="177"/>
      <c r="AN353" s="177"/>
    </row>
    <row r="354" spans="1:40">
      <c r="A354" s="177"/>
      <c r="B354" s="177"/>
      <c r="C354" s="177"/>
      <c r="D354" s="177"/>
      <c r="AF354" s="177"/>
      <c r="AG354" s="177"/>
      <c r="AH354" s="177"/>
      <c r="AI354" s="177"/>
      <c r="AJ354" s="177"/>
      <c r="AK354" s="177"/>
      <c r="AL354" s="177"/>
      <c r="AM354" s="177"/>
      <c r="AN354" s="177"/>
    </row>
    <row r="355" spans="1:40">
      <c r="A355" s="177"/>
      <c r="B355" s="177"/>
      <c r="C355" s="177"/>
      <c r="D355" s="177"/>
      <c r="AF355" s="177"/>
      <c r="AG355" s="177"/>
      <c r="AH355" s="177"/>
      <c r="AI355" s="177"/>
      <c r="AJ355" s="177"/>
      <c r="AK355" s="177"/>
      <c r="AL355" s="177"/>
      <c r="AM355" s="177"/>
      <c r="AN355" s="177"/>
    </row>
    <row r="356" spans="1:40">
      <c r="A356" s="177"/>
      <c r="B356" s="177"/>
      <c r="C356" s="177"/>
      <c r="D356" s="177"/>
      <c r="AF356" s="177"/>
      <c r="AG356" s="177"/>
      <c r="AH356" s="177"/>
      <c r="AI356" s="177"/>
      <c r="AJ356" s="177"/>
      <c r="AK356" s="177"/>
      <c r="AL356" s="177"/>
      <c r="AM356" s="177"/>
      <c r="AN356" s="177"/>
    </row>
    <row r="357" spans="1:40">
      <c r="A357" s="177"/>
      <c r="B357" s="177"/>
      <c r="C357" s="177"/>
      <c r="D357" s="177"/>
      <c r="AF357" s="177"/>
      <c r="AG357" s="177"/>
      <c r="AH357" s="177"/>
      <c r="AI357" s="177"/>
      <c r="AJ357" s="177"/>
      <c r="AK357" s="177"/>
      <c r="AL357" s="177"/>
      <c r="AM357" s="177"/>
      <c r="AN357" s="177"/>
    </row>
    <row r="358" spans="1:40">
      <c r="A358" s="177"/>
      <c r="B358" s="177"/>
      <c r="C358" s="177"/>
      <c r="D358" s="177"/>
      <c r="AF358" s="177"/>
      <c r="AG358" s="177"/>
      <c r="AH358" s="177"/>
      <c r="AI358" s="177"/>
      <c r="AJ358" s="177"/>
      <c r="AK358" s="177"/>
      <c r="AL358" s="177"/>
      <c r="AM358" s="177"/>
      <c r="AN358" s="177"/>
    </row>
    <row r="359" spans="1:40">
      <c r="A359" s="177"/>
      <c r="B359" s="177"/>
      <c r="C359" s="177"/>
      <c r="D359" s="177"/>
      <c r="AF359" s="177"/>
      <c r="AG359" s="177"/>
      <c r="AH359" s="177"/>
      <c r="AI359" s="177"/>
      <c r="AJ359" s="177"/>
      <c r="AK359" s="177"/>
      <c r="AL359" s="177"/>
      <c r="AM359" s="177"/>
      <c r="AN359" s="177"/>
    </row>
    <row r="360" spans="1:40">
      <c r="A360" s="177"/>
      <c r="B360" s="177"/>
      <c r="C360" s="177"/>
      <c r="D360" s="177"/>
      <c r="AF360" s="177"/>
      <c r="AG360" s="177"/>
      <c r="AH360" s="177"/>
      <c r="AI360" s="177"/>
      <c r="AJ360" s="177"/>
      <c r="AK360" s="177"/>
      <c r="AL360" s="177"/>
      <c r="AM360" s="177"/>
      <c r="AN360" s="177"/>
    </row>
    <row r="361" spans="1:40">
      <c r="A361" s="177"/>
      <c r="B361" s="177"/>
      <c r="C361" s="177"/>
      <c r="D361" s="177"/>
      <c r="AF361" s="177"/>
      <c r="AG361" s="177"/>
      <c r="AH361" s="177"/>
      <c r="AI361" s="177"/>
      <c r="AJ361" s="177"/>
      <c r="AK361" s="177"/>
      <c r="AL361" s="177"/>
      <c r="AM361" s="177"/>
      <c r="AN361" s="177"/>
    </row>
    <row r="362" spans="1:40">
      <c r="A362" s="177"/>
      <c r="B362" s="177"/>
      <c r="C362" s="177"/>
      <c r="D362" s="177"/>
      <c r="AF362" s="177"/>
      <c r="AG362" s="177"/>
      <c r="AH362" s="177"/>
      <c r="AI362" s="177"/>
      <c r="AJ362" s="177"/>
      <c r="AK362" s="177"/>
      <c r="AL362" s="177"/>
      <c r="AM362" s="177"/>
      <c r="AN362" s="177"/>
    </row>
    <row r="363" spans="1:40">
      <c r="A363" s="177"/>
      <c r="B363" s="177"/>
      <c r="C363" s="177"/>
      <c r="D363" s="177"/>
      <c r="AF363" s="177"/>
      <c r="AG363" s="177"/>
      <c r="AH363" s="177"/>
      <c r="AI363" s="177"/>
      <c r="AJ363" s="177"/>
      <c r="AK363" s="177"/>
      <c r="AL363" s="177"/>
      <c r="AM363" s="177"/>
      <c r="AN363" s="177"/>
    </row>
    <row r="364" spans="1:40">
      <c r="A364" s="177"/>
      <c r="B364" s="177"/>
      <c r="C364" s="177"/>
      <c r="D364" s="177"/>
      <c r="AF364" s="177"/>
      <c r="AG364" s="177"/>
      <c r="AH364" s="177"/>
      <c r="AI364" s="177"/>
      <c r="AJ364" s="177"/>
      <c r="AK364" s="177"/>
      <c r="AL364" s="177"/>
      <c r="AM364" s="177"/>
      <c r="AN364" s="177"/>
    </row>
    <row r="365" spans="1:40">
      <c r="A365" s="177"/>
      <c r="B365" s="177"/>
      <c r="C365" s="177"/>
      <c r="D365" s="177"/>
      <c r="AF365" s="177"/>
      <c r="AG365" s="177"/>
      <c r="AH365" s="177"/>
      <c r="AI365" s="177"/>
      <c r="AJ365" s="177"/>
      <c r="AK365" s="177"/>
      <c r="AL365" s="177"/>
      <c r="AM365" s="177"/>
      <c r="AN365" s="177"/>
    </row>
    <row r="366" spans="1:40">
      <c r="A366" s="177"/>
      <c r="B366" s="177"/>
      <c r="C366" s="177"/>
      <c r="D366" s="177"/>
      <c r="AF366" s="177"/>
      <c r="AG366" s="177"/>
      <c r="AH366" s="177"/>
      <c r="AI366" s="177"/>
      <c r="AJ366" s="177"/>
      <c r="AK366" s="177"/>
      <c r="AL366" s="177"/>
      <c r="AM366" s="177"/>
      <c r="AN366" s="177"/>
    </row>
    <row r="367" spans="1:40">
      <c r="A367" s="177"/>
      <c r="B367" s="177"/>
      <c r="C367" s="177"/>
      <c r="D367" s="177"/>
      <c r="AF367" s="177"/>
      <c r="AG367" s="177"/>
      <c r="AH367" s="177"/>
      <c r="AI367" s="177"/>
      <c r="AJ367" s="177"/>
      <c r="AK367" s="177"/>
      <c r="AL367" s="177"/>
      <c r="AM367" s="177"/>
      <c r="AN367" s="177"/>
    </row>
    <row r="368" spans="1:40">
      <c r="A368" s="177"/>
      <c r="B368" s="177"/>
      <c r="C368" s="177"/>
      <c r="D368" s="177"/>
      <c r="AF368" s="177"/>
      <c r="AG368" s="177"/>
      <c r="AH368" s="177"/>
      <c r="AI368" s="177"/>
      <c r="AJ368" s="177"/>
      <c r="AK368" s="177"/>
      <c r="AL368" s="177"/>
      <c r="AM368" s="177"/>
      <c r="AN368" s="177"/>
    </row>
    <row r="369" spans="1:40">
      <c r="A369" s="177"/>
      <c r="B369" s="177"/>
      <c r="C369" s="177"/>
      <c r="D369" s="177"/>
      <c r="AF369" s="177"/>
      <c r="AG369" s="177"/>
      <c r="AH369" s="177"/>
      <c r="AI369" s="177"/>
      <c r="AJ369" s="177"/>
      <c r="AK369" s="177"/>
      <c r="AL369" s="177"/>
      <c r="AM369" s="177"/>
      <c r="AN369" s="177"/>
    </row>
    <row r="370" spans="1:40">
      <c r="A370" s="177"/>
      <c r="B370" s="177"/>
      <c r="C370" s="177"/>
      <c r="D370" s="177"/>
      <c r="AF370" s="177"/>
      <c r="AG370" s="177"/>
      <c r="AH370" s="177"/>
      <c r="AI370" s="177"/>
      <c r="AJ370" s="177"/>
      <c r="AK370" s="177"/>
      <c r="AL370" s="177"/>
      <c r="AM370" s="177"/>
      <c r="AN370" s="177"/>
    </row>
    <row r="371" spans="1:40">
      <c r="A371" s="177"/>
      <c r="B371" s="177"/>
      <c r="C371" s="177"/>
      <c r="D371" s="177"/>
      <c r="AF371" s="177"/>
      <c r="AG371" s="177"/>
      <c r="AH371" s="177"/>
      <c r="AI371" s="177"/>
      <c r="AJ371" s="177"/>
      <c r="AK371" s="177"/>
      <c r="AL371" s="177"/>
      <c r="AM371" s="177"/>
      <c r="AN371" s="177"/>
    </row>
    <row r="372" spans="1:40">
      <c r="A372" s="177"/>
      <c r="B372" s="177"/>
      <c r="C372" s="177"/>
      <c r="D372" s="177"/>
      <c r="AF372" s="177"/>
      <c r="AG372" s="177"/>
      <c r="AH372" s="177"/>
      <c r="AI372" s="177"/>
      <c r="AJ372" s="177"/>
      <c r="AK372" s="177"/>
      <c r="AL372" s="177"/>
      <c r="AM372" s="177"/>
      <c r="AN372" s="177"/>
    </row>
    <row r="373" spans="1:40">
      <c r="A373" s="177"/>
      <c r="B373" s="177"/>
      <c r="C373" s="177"/>
      <c r="D373" s="177"/>
      <c r="AF373" s="177"/>
      <c r="AG373" s="177"/>
      <c r="AH373" s="177"/>
      <c r="AI373" s="177"/>
      <c r="AJ373" s="177"/>
      <c r="AK373" s="177"/>
      <c r="AL373" s="177"/>
      <c r="AM373" s="177"/>
      <c r="AN373" s="177"/>
    </row>
    <row r="374" spans="1:40">
      <c r="A374" s="177"/>
      <c r="B374" s="177"/>
      <c r="C374" s="177"/>
      <c r="D374" s="177"/>
      <c r="AF374" s="177"/>
      <c r="AG374" s="177"/>
      <c r="AH374" s="177"/>
      <c r="AI374" s="177"/>
      <c r="AJ374" s="177"/>
      <c r="AK374" s="177"/>
      <c r="AL374" s="177"/>
      <c r="AM374" s="177"/>
      <c r="AN374" s="177"/>
    </row>
    <row r="375" spans="1:40">
      <c r="A375" s="177"/>
      <c r="B375" s="177"/>
      <c r="C375" s="177"/>
      <c r="D375" s="177"/>
      <c r="AF375" s="177"/>
      <c r="AG375" s="177"/>
      <c r="AH375" s="177"/>
      <c r="AI375" s="177"/>
      <c r="AJ375" s="177"/>
      <c r="AK375" s="177"/>
      <c r="AL375" s="177"/>
      <c r="AM375" s="177"/>
      <c r="AN375" s="177"/>
    </row>
    <row r="376" spans="1:40">
      <c r="A376" s="177"/>
      <c r="B376" s="177"/>
      <c r="C376" s="177"/>
      <c r="D376" s="177"/>
      <c r="AF376" s="177"/>
      <c r="AG376" s="177"/>
      <c r="AH376" s="177"/>
      <c r="AI376" s="177"/>
      <c r="AJ376" s="177"/>
      <c r="AK376" s="177"/>
      <c r="AL376" s="177"/>
      <c r="AM376" s="177"/>
      <c r="AN376" s="177"/>
    </row>
    <row r="377" spans="1:40">
      <c r="A377" s="177"/>
      <c r="B377" s="177"/>
      <c r="C377" s="177"/>
      <c r="D377" s="177"/>
      <c r="AF377" s="177"/>
      <c r="AG377" s="177"/>
      <c r="AH377" s="177"/>
      <c r="AI377" s="177"/>
      <c r="AJ377" s="177"/>
      <c r="AK377" s="177"/>
      <c r="AL377" s="177"/>
      <c r="AM377" s="177"/>
      <c r="AN377" s="177"/>
    </row>
    <row r="378" spans="1:40">
      <c r="A378" s="177"/>
      <c r="B378" s="177"/>
      <c r="C378" s="177"/>
      <c r="D378" s="177"/>
      <c r="AF378" s="177"/>
      <c r="AG378" s="177"/>
      <c r="AH378" s="177"/>
      <c r="AI378" s="177"/>
      <c r="AJ378" s="177"/>
      <c r="AK378" s="177"/>
      <c r="AL378" s="177"/>
      <c r="AM378" s="177"/>
      <c r="AN378" s="177"/>
    </row>
    <row r="379" spans="1:40">
      <c r="A379" s="177"/>
      <c r="B379" s="177"/>
      <c r="C379" s="177"/>
      <c r="D379" s="177"/>
      <c r="AF379" s="177"/>
      <c r="AG379" s="177"/>
      <c r="AH379" s="177"/>
      <c r="AI379" s="177"/>
      <c r="AJ379" s="177"/>
      <c r="AK379" s="177"/>
      <c r="AL379" s="177"/>
      <c r="AM379" s="177"/>
      <c r="AN379" s="177"/>
    </row>
    <row r="380" spans="1:40">
      <c r="A380" s="177"/>
      <c r="B380" s="177"/>
      <c r="C380" s="177"/>
      <c r="D380" s="177"/>
      <c r="AF380" s="177"/>
      <c r="AG380" s="177"/>
      <c r="AH380" s="177"/>
      <c r="AI380" s="177"/>
      <c r="AJ380" s="177"/>
      <c r="AK380" s="177"/>
      <c r="AL380" s="177"/>
      <c r="AM380" s="177"/>
      <c r="AN380" s="177"/>
    </row>
    <row r="381" spans="1:40">
      <c r="A381" s="177"/>
      <c r="B381" s="177"/>
      <c r="C381" s="177"/>
      <c r="D381" s="177"/>
      <c r="AF381" s="177"/>
      <c r="AG381" s="177"/>
      <c r="AH381" s="177"/>
      <c r="AI381" s="177"/>
      <c r="AJ381" s="177"/>
      <c r="AK381" s="177"/>
      <c r="AL381" s="177"/>
      <c r="AM381" s="177"/>
      <c r="AN381" s="177"/>
    </row>
    <row r="382" spans="1:40">
      <c r="A382" s="177"/>
      <c r="B382" s="177"/>
      <c r="C382" s="177"/>
      <c r="D382" s="177"/>
      <c r="AF382" s="177"/>
      <c r="AG382" s="177"/>
      <c r="AH382" s="177"/>
      <c r="AI382" s="177"/>
      <c r="AJ382" s="177"/>
      <c r="AK382" s="177"/>
      <c r="AL382" s="177"/>
      <c r="AM382" s="177"/>
      <c r="AN382" s="177"/>
    </row>
    <row r="383" spans="1:40">
      <c r="A383" s="177"/>
      <c r="B383" s="177"/>
      <c r="C383" s="177"/>
      <c r="D383" s="177"/>
      <c r="AF383" s="177"/>
      <c r="AG383" s="177"/>
      <c r="AH383" s="177"/>
      <c r="AI383" s="177"/>
      <c r="AJ383" s="177"/>
      <c r="AK383" s="177"/>
      <c r="AL383" s="177"/>
      <c r="AM383" s="177"/>
      <c r="AN383" s="177"/>
    </row>
    <row r="384" spans="1:40">
      <c r="A384" s="177"/>
      <c r="B384" s="177"/>
      <c r="C384" s="177"/>
      <c r="D384" s="177"/>
      <c r="AF384" s="177"/>
      <c r="AG384" s="177"/>
      <c r="AH384" s="177"/>
      <c r="AI384" s="177"/>
      <c r="AJ384" s="177"/>
      <c r="AK384" s="177"/>
      <c r="AL384" s="177"/>
      <c r="AM384" s="177"/>
      <c r="AN384" s="177"/>
    </row>
    <row r="385" spans="1:40">
      <c r="A385" s="177"/>
      <c r="B385" s="177"/>
      <c r="C385" s="177"/>
      <c r="D385" s="177"/>
      <c r="AF385" s="177"/>
      <c r="AG385" s="177"/>
      <c r="AH385" s="177"/>
      <c r="AI385" s="177"/>
      <c r="AJ385" s="177"/>
      <c r="AK385" s="177"/>
      <c r="AL385" s="177"/>
      <c r="AM385" s="177"/>
      <c r="AN385" s="177"/>
    </row>
    <row r="386" spans="1:40">
      <c r="A386" s="177"/>
      <c r="B386" s="177"/>
      <c r="C386" s="177"/>
      <c r="D386" s="177"/>
      <c r="AF386" s="177"/>
      <c r="AG386" s="177"/>
      <c r="AH386" s="177"/>
      <c r="AI386" s="177"/>
      <c r="AJ386" s="177"/>
      <c r="AK386" s="177"/>
      <c r="AL386" s="177"/>
      <c r="AM386" s="177"/>
      <c r="AN386" s="177"/>
    </row>
    <row r="387" spans="1:40">
      <c r="A387" s="177"/>
      <c r="B387" s="177"/>
      <c r="C387" s="177"/>
      <c r="D387" s="177"/>
      <c r="AF387" s="177"/>
      <c r="AG387" s="177"/>
      <c r="AH387" s="177"/>
      <c r="AI387" s="177"/>
      <c r="AJ387" s="177"/>
      <c r="AK387" s="177"/>
      <c r="AL387" s="177"/>
      <c r="AM387" s="177"/>
      <c r="AN387" s="177"/>
    </row>
    <row r="388" spans="1:40">
      <c r="A388" s="177"/>
      <c r="B388" s="177"/>
      <c r="C388" s="177"/>
      <c r="D388" s="177"/>
      <c r="AF388" s="177"/>
      <c r="AG388" s="177"/>
      <c r="AH388" s="177"/>
      <c r="AI388" s="177"/>
      <c r="AJ388" s="177"/>
      <c r="AK388" s="177"/>
      <c r="AL388" s="177"/>
      <c r="AM388" s="177"/>
      <c r="AN388" s="177"/>
    </row>
    <row r="389" spans="1:40">
      <c r="A389" s="177"/>
      <c r="B389" s="177"/>
      <c r="C389" s="177"/>
      <c r="D389" s="177"/>
      <c r="AF389" s="177"/>
      <c r="AG389" s="177"/>
      <c r="AH389" s="177"/>
      <c r="AI389" s="177"/>
      <c r="AJ389" s="177"/>
      <c r="AK389" s="177"/>
      <c r="AL389" s="177"/>
      <c r="AM389" s="177"/>
      <c r="AN389" s="177"/>
    </row>
    <row r="390" spans="1:40">
      <c r="A390" s="177"/>
      <c r="B390" s="177"/>
      <c r="C390" s="177"/>
      <c r="D390" s="177"/>
      <c r="AF390" s="177"/>
      <c r="AG390" s="177"/>
      <c r="AH390" s="177"/>
      <c r="AI390" s="177"/>
      <c r="AJ390" s="177"/>
      <c r="AK390" s="177"/>
      <c r="AL390" s="177"/>
      <c r="AM390" s="177"/>
      <c r="AN390" s="177"/>
    </row>
    <row r="391" spans="1:40">
      <c r="A391" s="177"/>
      <c r="B391" s="177"/>
      <c r="C391" s="177"/>
      <c r="D391" s="177"/>
      <c r="AF391" s="177"/>
      <c r="AG391" s="177"/>
      <c r="AH391" s="177"/>
      <c r="AI391" s="177"/>
      <c r="AJ391" s="177"/>
      <c r="AK391" s="177"/>
      <c r="AL391" s="177"/>
      <c r="AM391" s="177"/>
      <c r="AN391" s="177"/>
    </row>
    <row r="392" spans="1:40">
      <c r="A392" s="177"/>
      <c r="B392" s="177"/>
      <c r="C392" s="177"/>
      <c r="D392" s="177"/>
      <c r="AF392" s="177"/>
      <c r="AG392" s="177"/>
      <c r="AH392" s="177"/>
      <c r="AI392" s="177"/>
      <c r="AJ392" s="177"/>
      <c r="AK392" s="177"/>
      <c r="AL392" s="177"/>
      <c r="AM392" s="177"/>
      <c r="AN392" s="177"/>
    </row>
    <row r="393" spans="1:40">
      <c r="A393" s="177"/>
      <c r="B393" s="177"/>
      <c r="C393" s="177"/>
      <c r="D393" s="177"/>
      <c r="AF393" s="177"/>
      <c r="AG393" s="177"/>
      <c r="AH393" s="177"/>
      <c r="AI393" s="177"/>
      <c r="AJ393" s="177"/>
      <c r="AK393" s="177"/>
      <c r="AL393" s="177"/>
      <c r="AM393" s="177"/>
      <c r="AN393" s="177"/>
    </row>
    <row r="394" spans="1:40">
      <c r="A394" s="177"/>
      <c r="B394" s="177"/>
      <c r="C394" s="177"/>
      <c r="D394" s="177"/>
      <c r="AF394" s="177"/>
      <c r="AG394" s="177"/>
      <c r="AH394" s="177"/>
      <c r="AI394" s="177"/>
      <c r="AJ394" s="177"/>
      <c r="AK394" s="177"/>
      <c r="AL394" s="177"/>
      <c r="AM394" s="177"/>
      <c r="AN394" s="177"/>
    </row>
    <row r="395" spans="1:40">
      <c r="A395" s="177"/>
      <c r="B395" s="177"/>
      <c r="C395" s="177"/>
      <c r="D395" s="177"/>
      <c r="AF395" s="177"/>
      <c r="AG395" s="177"/>
      <c r="AH395" s="177"/>
      <c r="AI395" s="177"/>
      <c r="AJ395" s="177"/>
      <c r="AK395" s="177"/>
      <c r="AL395" s="177"/>
      <c r="AM395" s="177"/>
      <c r="AN395" s="177"/>
    </row>
    <row r="396" spans="1:40">
      <c r="A396" s="177"/>
      <c r="B396" s="177"/>
      <c r="C396" s="177"/>
      <c r="D396" s="177"/>
      <c r="AF396" s="177"/>
      <c r="AG396" s="177"/>
      <c r="AH396" s="177"/>
      <c r="AI396" s="177"/>
      <c r="AJ396" s="177"/>
      <c r="AK396" s="177"/>
      <c r="AL396" s="177"/>
      <c r="AM396" s="177"/>
      <c r="AN396" s="177"/>
    </row>
    <row r="397" spans="1:40">
      <c r="A397" s="177"/>
      <c r="B397" s="177"/>
      <c r="C397" s="177"/>
      <c r="D397" s="177"/>
      <c r="AF397" s="177"/>
      <c r="AG397" s="177"/>
      <c r="AH397" s="177"/>
      <c r="AI397" s="177"/>
      <c r="AJ397" s="177"/>
      <c r="AK397" s="177"/>
      <c r="AL397" s="177"/>
      <c r="AM397" s="177"/>
      <c r="AN397" s="177"/>
    </row>
    <row r="398" spans="1:40">
      <c r="A398" s="177"/>
      <c r="B398" s="177"/>
      <c r="C398" s="177"/>
      <c r="D398" s="177"/>
      <c r="AF398" s="177"/>
      <c r="AG398" s="177"/>
      <c r="AH398" s="177"/>
      <c r="AI398" s="177"/>
      <c r="AJ398" s="177"/>
      <c r="AK398" s="177"/>
      <c r="AL398" s="177"/>
      <c r="AM398" s="177"/>
      <c r="AN398" s="177"/>
    </row>
    <row r="399" spans="1:40">
      <c r="A399" s="177"/>
      <c r="B399" s="177"/>
      <c r="C399" s="177"/>
      <c r="D399" s="177"/>
      <c r="AF399" s="177"/>
      <c r="AG399" s="177"/>
      <c r="AH399" s="177"/>
      <c r="AI399" s="177"/>
      <c r="AJ399" s="177"/>
      <c r="AK399" s="177"/>
      <c r="AL399" s="177"/>
      <c r="AM399" s="177"/>
      <c r="AN399" s="177"/>
    </row>
    <row r="400" spans="1:40">
      <c r="A400" s="177"/>
      <c r="B400" s="177"/>
      <c r="C400" s="177"/>
      <c r="D400" s="177"/>
      <c r="AF400" s="177"/>
      <c r="AG400" s="177"/>
      <c r="AH400" s="177"/>
      <c r="AI400" s="177"/>
      <c r="AJ400" s="177"/>
      <c r="AK400" s="177"/>
      <c r="AL400" s="177"/>
      <c r="AM400" s="177"/>
      <c r="AN400" s="177"/>
    </row>
    <row r="401" spans="1:40">
      <c r="A401" s="177"/>
      <c r="B401" s="177"/>
      <c r="C401" s="177"/>
      <c r="D401" s="177"/>
      <c r="AF401" s="177"/>
      <c r="AG401" s="177"/>
      <c r="AH401" s="177"/>
      <c r="AI401" s="177"/>
      <c r="AJ401" s="177"/>
      <c r="AK401" s="177"/>
      <c r="AL401" s="177"/>
      <c r="AM401" s="177"/>
      <c r="AN401" s="177"/>
    </row>
    <row r="402" spans="1:40">
      <c r="A402" s="177"/>
      <c r="B402" s="177"/>
      <c r="C402" s="177"/>
      <c r="D402" s="177"/>
      <c r="AF402" s="177"/>
      <c r="AG402" s="177"/>
      <c r="AH402" s="177"/>
      <c r="AI402" s="177"/>
      <c r="AJ402" s="177"/>
      <c r="AK402" s="177"/>
      <c r="AL402" s="177"/>
      <c r="AM402" s="177"/>
      <c r="AN402" s="177"/>
    </row>
    <row r="403" spans="1:40">
      <c r="A403" s="177"/>
      <c r="B403" s="177"/>
      <c r="C403" s="177"/>
      <c r="D403" s="177"/>
      <c r="AF403" s="177"/>
      <c r="AG403" s="177"/>
      <c r="AH403" s="177"/>
      <c r="AI403" s="177"/>
      <c r="AJ403" s="177"/>
      <c r="AK403" s="177"/>
      <c r="AL403" s="177"/>
      <c r="AM403" s="177"/>
      <c r="AN403" s="177"/>
    </row>
    <row r="404" spans="1:40">
      <c r="A404" s="177"/>
      <c r="B404" s="177"/>
      <c r="C404" s="177"/>
      <c r="D404" s="177"/>
      <c r="AF404" s="177"/>
      <c r="AG404" s="177"/>
      <c r="AH404" s="177"/>
      <c r="AI404" s="177"/>
      <c r="AJ404" s="177"/>
      <c r="AK404" s="177"/>
      <c r="AL404" s="177"/>
      <c r="AM404" s="177"/>
      <c r="AN404" s="177"/>
    </row>
    <row r="405" spans="1:40">
      <c r="A405" s="177"/>
      <c r="B405" s="177"/>
      <c r="C405" s="177"/>
      <c r="D405" s="177"/>
      <c r="AF405" s="177"/>
      <c r="AG405" s="177"/>
      <c r="AH405" s="177"/>
      <c r="AI405" s="177"/>
      <c r="AJ405" s="177"/>
      <c r="AK405" s="177"/>
      <c r="AL405" s="177"/>
      <c r="AM405" s="177"/>
      <c r="AN405" s="177"/>
    </row>
    <row r="406" spans="1:40">
      <c r="A406" s="177"/>
      <c r="B406" s="177"/>
      <c r="C406" s="177"/>
      <c r="D406" s="177"/>
      <c r="AF406" s="177"/>
      <c r="AG406" s="177"/>
      <c r="AH406" s="177"/>
      <c r="AI406" s="177"/>
      <c r="AJ406" s="177"/>
      <c r="AK406" s="177"/>
      <c r="AL406" s="177"/>
      <c r="AM406" s="177"/>
      <c r="AN406" s="177"/>
    </row>
    <row r="407" spans="1:40">
      <c r="A407" s="177"/>
      <c r="B407" s="177"/>
      <c r="C407" s="177"/>
      <c r="D407" s="177"/>
      <c r="AF407" s="177"/>
      <c r="AG407" s="177"/>
      <c r="AH407" s="177"/>
      <c r="AI407" s="177"/>
      <c r="AJ407" s="177"/>
      <c r="AK407" s="177"/>
      <c r="AL407" s="177"/>
      <c r="AM407" s="177"/>
      <c r="AN407" s="177"/>
    </row>
    <row r="408" spans="1:40">
      <c r="A408" s="177"/>
      <c r="B408" s="177"/>
      <c r="C408" s="177"/>
      <c r="D408" s="177"/>
      <c r="AF408" s="177"/>
      <c r="AG408" s="177"/>
      <c r="AH408" s="177"/>
      <c r="AI408" s="177"/>
      <c r="AJ408" s="177"/>
      <c r="AK408" s="177"/>
      <c r="AL408" s="177"/>
      <c r="AM408" s="177"/>
      <c r="AN408" s="177"/>
    </row>
    <row r="409" spans="1:40">
      <c r="A409" s="177"/>
      <c r="B409" s="177"/>
      <c r="C409" s="177"/>
      <c r="D409" s="177"/>
      <c r="AF409" s="177"/>
      <c r="AG409" s="177"/>
      <c r="AH409" s="177"/>
      <c r="AI409" s="177"/>
      <c r="AJ409" s="177"/>
      <c r="AK409" s="177"/>
      <c r="AL409" s="177"/>
      <c r="AM409" s="177"/>
      <c r="AN409" s="177"/>
    </row>
    <row r="410" spans="1:40">
      <c r="A410" s="177"/>
      <c r="B410" s="177"/>
      <c r="C410" s="177"/>
      <c r="D410" s="177"/>
      <c r="AF410" s="177"/>
      <c r="AG410" s="177"/>
      <c r="AH410" s="177"/>
      <c r="AI410" s="177"/>
      <c r="AJ410" s="177"/>
      <c r="AK410" s="177"/>
      <c r="AL410" s="177"/>
      <c r="AM410" s="177"/>
      <c r="AN410" s="177"/>
    </row>
    <row r="411" spans="1:40">
      <c r="A411" s="177"/>
      <c r="B411" s="177"/>
      <c r="C411" s="177"/>
      <c r="D411" s="177"/>
      <c r="AF411" s="177"/>
      <c r="AG411" s="177"/>
      <c r="AH411" s="177"/>
      <c r="AI411" s="177"/>
      <c r="AJ411" s="177"/>
      <c r="AK411" s="177"/>
      <c r="AL411" s="177"/>
      <c r="AM411" s="177"/>
      <c r="AN411" s="177"/>
    </row>
    <row r="412" spans="1:40">
      <c r="A412" s="177"/>
      <c r="B412" s="177"/>
      <c r="C412" s="177"/>
      <c r="D412" s="177"/>
      <c r="AF412" s="177"/>
      <c r="AG412" s="177"/>
      <c r="AH412" s="177"/>
      <c r="AI412" s="177"/>
      <c r="AJ412" s="177"/>
      <c r="AK412" s="177"/>
      <c r="AL412" s="177"/>
      <c r="AM412" s="177"/>
      <c r="AN412" s="177"/>
    </row>
    <row r="413" spans="1:40">
      <c r="A413" s="177"/>
      <c r="B413" s="177"/>
      <c r="C413" s="177"/>
      <c r="D413" s="177"/>
      <c r="AF413" s="177"/>
      <c r="AG413" s="177"/>
      <c r="AH413" s="177"/>
      <c r="AI413" s="177"/>
      <c r="AJ413" s="177"/>
      <c r="AK413" s="177"/>
      <c r="AL413" s="177"/>
      <c r="AM413" s="177"/>
      <c r="AN413" s="177"/>
    </row>
    <row r="414" spans="1:40">
      <c r="A414" s="177"/>
      <c r="B414" s="177"/>
      <c r="C414" s="177"/>
      <c r="D414" s="177"/>
      <c r="AF414" s="177"/>
      <c r="AG414" s="177"/>
      <c r="AH414" s="177"/>
      <c r="AI414" s="177"/>
      <c r="AJ414" s="177"/>
      <c r="AK414" s="177"/>
      <c r="AL414" s="177"/>
      <c r="AM414" s="177"/>
      <c r="AN414" s="177"/>
    </row>
    <row r="415" spans="1:40">
      <c r="A415" s="177"/>
      <c r="B415" s="177"/>
      <c r="C415" s="177"/>
      <c r="D415" s="177"/>
      <c r="AF415" s="177"/>
      <c r="AG415" s="177"/>
      <c r="AH415" s="177"/>
      <c r="AI415" s="177"/>
      <c r="AJ415" s="177"/>
      <c r="AK415" s="177"/>
      <c r="AL415" s="177"/>
      <c r="AM415" s="177"/>
      <c r="AN415" s="177"/>
    </row>
    <row r="416" spans="1:40">
      <c r="A416" s="177"/>
      <c r="B416" s="177"/>
      <c r="C416" s="177"/>
      <c r="D416" s="177"/>
      <c r="AF416" s="177"/>
      <c r="AG416" s="177"/>
      <c r="AH416" s="177"/>
      <c r="AI416" s="177"/>
      <c r="AJ416" s="177"/>
      <c r="AK416" s="177"/>
      <c r="AL416" s="177"/>
      <c r="AM416" s="177"/>
      <c r="AN416" s="177"/>
    </row>
    <row r="417" spans="1:40">
      <c r="A417" s="177"/>
      <c r="B417" s="177"/>
      <c r="C417" s="177"/>
      <c r="D417" s="177"/>
      <c r="AF417" s="177"/>
      <c r="AG417" s="177"/>
      <c r="AH417" s="177"/>
      <c r="AI417" s="177"/>
      <c r="AJ417" s="177"/>
      <c r="AK417" s="177"/>
      <c r="AL417" s="177"/>
      <c r="AM417" s="177"/>
      <c r="AN417" s="177"/>
    </row>
    <row r="418" spans="1:40">
      <c r="A418" s="177"/>
      <c r="B418" s="177"/>
      <c r="C418" s="177"/>
      <c r="D418" s="177"/>
      <c r="AF418" s="177"/>
      <c r="AG418" s="177"/>
      <c r="AH418" s="177"/>
      <c r="AI418" s="177"/>
      <c r="AJ418" s="177"/>
      <c r="AK418" s="177"/>
      <c r="AL418" s="177"/>
      <c r="AM418" s="177"/>
      <c r="AN418" s="177"/>
    </row>
    <row r="419" spans="1:40">
      <c r="A419" s="177"/>
      <c r="B419" s="177"/>
      <c r="C419" s="177"/>
      <c r="D419" s="177"/>
      <c r="AF419" s="177"/>
      <c r="AG419" s="177"/>
      <c r="AH419" s="177"/>
      <c r="AI419" s="177"/>
      <c r="AJ419" s="177"/>
      <c r="AK419" s="177"/>
      <c r="AL419" s="177"/>
      <c r="AM419" s="177"/>
      <c r="AN419" s="177"/>
    </row>
    <row r="420" spans="1:40">
      <c r="A420" s="177"/>
      <c r="B420" s="177"/>
      <c r="C420" s="177"/>
      <c r="D420" s="177"/>
      <c r="AF420" s="177"/>
      <c r="AG420" s="177"/>
      <c r="AH420" s="177"/>
      <c r="AI420" s="177"/>
      <c r="AJ420" s="177"/>
      <c r="AK420" s="177"/>
      <c r="AL420" s="177"/>
      <c r="AM420" s="177"/>
      <c r="AN420" s="177"/>
    </row>
    <row r="421" spans="1:40">
      <c r="A421" s="177"/>
      <c r="B421" s="177"/>
      <c r="C421" s="177"/>
      <c r="D421" s="177"/>
      <c r="AF421" s="177"/>
      <c r="AG421" s="177"/>
      <c r="AH421" s="177"/>
      <c r="AI421" s="177"/>
      <c r="AJ421" s="177"/>
      <c r="AK421" s="177"/>
      <c r="AL421" s="177"/>
      <c r="AM421" s="177"/>
      <c r="AN421" s="177"/>
    </row>
    <row r="422" spans="1:40">
      <c r="A422" s="177"/>
      <c r="B422" s="177"/>
      <c r="C422" s="177"/>
      <c r="D422" s="177"/>
      <c r="AF422" s="177"/>
      <c r="AG422" s="177"/>
      <c r="AH422" s="177"/>
      <c r="AI422" s="177"/>
      <c r="AJ422" s="177"/>
      <c r="AK422" s="177"/>
      <c r="AL422" s="177"/>
      <c r="AM422" s="177"/>
      <c r="AN422" s="177"/>
    </row>
    <row r="423" spans="1:40">
      <c r="A423" s="177"/>
      <c r="B423" s="177"/>
      <c r="C423" s="177"/>
      <c r="D423" s="177"/>
      <c r="AF423" s="177"/>
      <c r="AG423" s="177"/>
      <c r="AH423" s="177"/>
      <c r="AI423" s="177"/>
      <c r="AJ423" s="177"/>
      <c r="AK423" s="177"/>
      <c r="AL423" s="177"/>
      <c r="AM423" s="177"/>
      <c r="AN423" s="177"/>
    </row>
    <row r="424" spans="1:40">
      <c r="A424" s="177"/>
      <c r="B424" s="177"/>
      <c r="C424" s="177"/>
      <c r="D424" s="177"/>
      <c r="AF424" s="177"/>
      <c r="AG424" s="177"/>
      <c r="AH424" s="177"/>
      <c r="AI424" s="177"/>
      <c r="AJ424" s="177"/>
      <c r="AK424" s="177"/>
      <c r="AL424" s="177"/>
      <c r="AM424" s="177"/>
      <c r="AN424" s="177"/>
    </row>
    <row r="425" spans="1:40">
      <c r="A425" s="177"/>
      <c r="B425" s="177"/>
      <c r="C425" s="177"/>
      <c r="D425" s="177"/>
      <c r="AF425" s="177"/>
      <c r="AG425" s="177"/>
      <c r="AH425" s="177"/>
      <c r="AI425" s="177"/>
      <c r="AJ425" s="177"/>
      <c r="AK425" s="177"/>
      <c r="AL425" s="177"/>
      <c r="AM425" s="177"/>
      <c r="AN425" s="177"/>
    </row>
    <row r="426" spans="1:40">
      <c r="A426" s="177"/>
      <c r="B426" s="177"/>
      <c r="C426" s="177"/>
      <c r="D426" s="177"/>
      <c r="AF426" s="177"/>
      <c r="AG426" s="177"/>
      <c r="AH426" s="177"/>
      <c r="AI426" s="177"/>
      <c r="AJ426" s="177"/>
      <c r="AK426" s="177"/>
      <c r="AL426" s="177"/>
      <c r="AM426" s="177"/>
      <c r="AN426" s="177"/>
    </row>
    <row r="427" spans="1:40">
      <c r="A427" s="177"/>
      <c r="B427" s="177"/>
      <c r="C427" s="177"/>
      <c r="D427" s="177"/>
      <c r="AF427" s="177"/>
      <c r="AG427" s="177"/>
      <c r="AH427" s="177"/>
      <c r="AI427" s="177"/>
      <c r="AJ427" s="177"/>
      <c r="AK427" s="177"/>
      <c r="AL427" s="177"/>
      <c r="AM427" s="177"/>
      <c r="AN427" s="177"/>
    </row>
    <row r="428" spans="1:40">
      <c r="A428" s="177"/>
      <c r="B428" s="177"/>
      <c r="C428" s="177"/>
      <c r="D428" s="177"/>
      <c r="AF428" s="177"/>
      <c r="AG428" s="177"/>
      <c r="AH428" s="177"/>
      <c r="AI428" s="177"/>
      <c r="AJ428" s="177"/>
      <c r="AK428" s="177"/>
      <c r="AL428" s="177"/>
      <c r="AM428" s="177"/>
      <c r="AN428" s="177"/>
    </row>
    <row r="429" spans="1:40">
      <c r="A429" s="177"/>
      <c r="B429" s="177"/>
      <c r="C429" s="177"/>
      <c r="D429" s="177"/>
      <c r="AF429" s="177"/>
      <c r="AG429" s="177"/>
      <c r="AH429" s="177"/>
      <c r="AI429" s="177"/>
      <c r="AJ429" s="177"/>
      <c r="AK429" s="177"/>
      <c r="AL429" s="177"/>
      <c r="AM429" s="177"/>
      <c r="AN429" s="177"/>
    </row>
    <row r="430" spans="1:40">
      <c r="A430" s="177"/>
      <c r="B430" s="177"/>
      <c r="C430" s="177"/>
      <c r="D430" s="177"/>
      <c r="AF430" s="177"/>
      <c r="AG430" s="177"/>
      <c r="AH430" s="177"/>
      <c r="AI430" s="177"/>
      <c r="AJ430" s="177"/>
      <c r="AK430" s="177"/>
      <c r="AL430" s="177"/>
      <c r="AM430" s="177"/>
      <c r="AN430" s="177"/>
    </row>
    <row r="431" spans="1:40">
      <c r="A431" s="177"/>
      <c r="B431" s="177"/>
      <c r="C431" s="177"/>
      <c r="D431" s="177"/>
      <c r="AF431" s="177"/>
      <c r="AG431" s="177"/>
      <c r="AH431" s="177"/>
      <c r="AI431" s="177"/>
      <c r="AJ431" s="177"/>
      <c r="AK431" s="177"/>
      <c r="AL431" s="177"/>
      <c r="AM431" s="177"/>
      <c r="AN431" s="177"/>
    </row>
    <row r="432" spans="1:40">
      <c r="A432" s="177"/>
      <c r="B432" s="177"/>
      <c r="C432" s="177"/>
      <c r="D432" s="177"/>
      <c r="AF432" s="177"/>
      <c r="AG432" s="177"/>
      <c r="AH432" s="177"/>
      <c r="AI432" s="177"/>
      <c r="AJ432" s="177"/>
      <c r="AK432" s="177"/>
      <c r="AL432" s="177"/>
      <c r="AM432" s="177"/>
      <c r="AN432" s="177"/>
    </row>
    <row r="433" spans="1:40">
      <c r="A433" s="177"/>
      <c r="B433" s="177"/>
      <c r="C433" s="177"/>
      <c r="D433" s="177"/>
      <c r="AF433" s="177"/>
      <c r="AG433" s="177"/>
      <c r="AH433" s="177"/>
      <c r="AI433" s="177"/>
      <c r="AJ433" s="177"/>
      <c r="AK433" s="177"/>
      <c r="AL433" s="177"/>
      <c r="AM433" s="177"/>
      <c r="AN433" s="177"/>
    </row>
    <row r="434" spans="1:40">
      <c r="A434" s="177"/>
      <c r="B434" s="177"/>
      <c r="C434" s="177"/>
      <c r="D434" s="177"/>
      <c r="AF434" s="177"/>
      <c r="AG434" s="177"/>
      <c r="AH434" s="177"/>
      <c r="AI434" s="177"/>
      <c r="AJ434" s="177"/>
      <c r="AK434" s="177"/>
      <c r="AL434" s="177"/>
      <c r="AM434" s="177"/>
      <c r="AN434" s="177"/>
    </row>
    <row r="435" spans="1:40">
      <c r="A435" s="177"/>
      <c r="B435" s="177"/>
      <c r="C435" s="177"/>
      <c r="D435" s="177"/>
      <c r="AF435" s="177"/>
      <c r="AG435" s="177"/>
      <c r="AH435" s="177"/>
      <c r="AI435" s="177"/>
      <c r="AJ435" s="177"/>
      <c r="AK435" s="177"/>
      <c r="AL435" s="177"/>
      <c r="AM435" s="177"/>
      <c r="AN435" s="177"/>
    </row>
    <row r="436" spans="1:40">
      <c r="A436" s="177"/>
      <c r="B436" s="177"/>
      <c r="C436" s="177"/>
      <c r="D436" s="177"/>
      <c r="AF436" s="177"/>
      <c r="AG436" s="177"/>
      <c r="AH436" s="177"/>
      <c r="AI436" s="177"/>
      <c r="AJ436" s="177"/>
      <c r="AK436" s="177"/>
      <c r="AL436" s="177"/>
      <c r="AM436" s="177"/>
      <c r="AN436" s="177"/>
    </row>
    <row r="437" spans="1:40">
      <c r="A437" s="177"/>
      <c r="B437" s="177"/>
      <c r="C437" s="177"/>
      <c r="D437" s="177"/>
      <c r="AF437" s="177"/>
      <c r="AG437" s="177"/>
      <c r="AH437" s="177"/>
      <c r="AI437" s="177"/>
      <c r="AJ437" s="177"/>
      <c r="AK437" s="177"/>
      <c r="AL437" s="177"/>
      <c r="AM437" s="177"/>
      <c r="AN437" s="177"/>
    </row>
    <row r="438" spans="1:40">
      <c r="A438" s="177"/>
      <c r="B438" s="177"/>
      <c r="C438" s="177"/>
      <c r="D438" s="177"/>
      <c r="AF438" s="177"/>
      <c r="AG438" s="177"/>
      <c r="AH438" s="177"/>
      <c r="AI438" s="177"/>
      <c r="AJ438" s="177"/>
      <c r="AK438" s="177"/>
      <c r="AL438" s="177"/>
      <c r="AM438" s="177"/>
      <c r="AN438" s="177"/>
    </row>
    <row r="439" spans="1:40">
      <c r="A439" s="177"/>
      <c r="B439" s="177"/>
      <c r="C439" s="177"/>
      <c r="D439" s="177"/>
      <c r="AF439" s="177"/>
      <c r="AG439" s="177"/>
      <c r="AH439" s="177"/>
      <c r="AI439" s="177"/>
      <c r="AJ439" s="177"/>
      <c r="AK439" s="177"/>
      <c r="AL439" s="177"/>
      <c r="AM439" s="177"/>
      <c r="AN439" s="177"/>
    </row>
    <row r="440" spans="1:40">
      <c r="A440" s="177"/>
      <c r="B440" s="177"/>
      <c r="C440" s="177"/>
      <c r="D440" s="177"/>
      <c r="AF440" s="177"/>
      <c r="AG440" s="177"/>
      <c r="AH440" s="177"/>
      <c r="AI440" s="177"/>
      <c r="AJ440" s="177"/>
      <c r="AK440" s="177"/>
      <c r="AL440" s="177"/>
      <c r="AM440" s="177"/>
      <c r="AN440" s="177"/>
    </row>
    <row r="441" spans="1:40">
      <c r="A441" s="177"/>
      <c r="B441" s="177"/>
      <c r="C441" s="177"/>
      <c r="D441" s="177"/>
      <c r="AF441" s="177"/>
      <c r="AG441" s="177"/>
      <c r="AH441" s="177"/>
      <c r="AI441" s="177"/>
      <c r="AJ441" s="177"/>
      <c r="AK441" s="177"/>
      <c r="AL441" s="177"/>
      <c r="AM441" s="177"/>
      <c r="AN441" s="177"/>
    </row>
    <row r="442" spans="1:40">
      <c r="A442" s="177"/>
      <c r="B442" s="177"/>
      <c r="C442" s="177"/>
      <c r="D442" s="177"/>
      <c r="AF442" s="177"/>
      <c r="AG442" s="177"/>
      <c r="AH442" s="177"/>
      <c r="AI442" s="177"/>
      <c r="AJ442" s="177"/>
      <c r="AK442" s="177"/>
      <c r="AL442" s="177"/>
      <c r="AM442" s="177"/>
      <c r="AN442" s="177"/>
    </row>
    <row r="443" spans="1:40">
      <c r="A443" s="177"/>
      <c r="B443" s="177"/>
      <c r="C443" s="177"/>
      <c r="D443" s="177"/>
      <c r="AF443" s="177"/>
      <c r="AG443" s="177"/>
      <c r="AH443" s="177"/>
      <c r="AI443" s="177"/>
      <c r="AJ443" s="177"/>
      <c r="AK443" s="177"/>
      <c r="AL443" s="177"/>
      <c r="AM443" s="177"/>
      <c r="AN443" s="177"/>
    </row>
    <row r="444" spans="1:40">
      <c r="A444" s="177"/>
      <c r="B444" s="177"/>
      <c r="C444" s="177"/>
      <c r="D444" s="177"/>
      <c r="AF444" s="177"/>
      <c r="AG444" s="177"/>
      <c r="AH444" s="177"/>
      <c r="AI444" s="177"/>
      <c r="AJ444" s="177"/>
      <c r="AK444" s="177"/>
      <c r="AL444" s="177"/>
      <c r="AM444" s="177"/>
      <c r="AN444" s="177"/>
    </row>
    <row r="445" spans="1:40">
      <c r="A445" s="177"/>
      <c r="B445" s="177"/>
      <c r="C445" s="177"/>
      <c r="D445" s="177"/>
      <c r="AF445" s="177"/>
      <c r="AG445" s="177"/>
      <c r="AH445" s="177"/>
      <c r="AI445" s="177"/>
      <c r="AJ445" s="177"/>
      <c r="AK445" s="177"/>
      <c r="AL445" s="177"/>
      <c r="AM445" s="177"/>
      <c r="AN445" s="177"/>
    </row>
    <row r="446" spans="1:40">
      <c r="A446" s="177"/>
      <c r="B446" s="177"/>
      <c r="C446" s="177"/>
      <c r="D446" s="177"/>
      <c r="AF446" s="177"/>
      <c r="AG446" s="177"/>
      <c r="AH446" s="177"/>
      <c r="AI446" s="177"/>
      <c r="AJ446" s="177"/>
      <c r="AK446" s="177"/>
      <c r="AL446" s="177"/>
      <c r="AM446" s="177"/>
      <c r="AN446" s="177"/>
    </row>
    <row r="447" spans="1:40">
      <c r="A447" s="177"/>
      <c r="B447" s="177"/>
      <c r="C447" s="177"/>
      <c r="D447" s="177"/>
      <c r="AF447" s="177"/>
      <c r="AG447" s="177"/>
      <c r="AH447" s="177"/>
      <c r="AI447" s="177"/>
      <c r="AJ447" s="177"/>
      <c r="AK447" s="177"/>
      <c r="AL447" s="177"/>
      <c r="AM447" s="177"/>
      <c r="AN447" s="177"/>
    </row>
    <row r="448" spans="1:40">
      <c r="A448" s="177"/>
      <c r="B448" s="177"/>
      <c r="C448" s="177"/>
      <c r="D448" s="177"/>
      <c r="AF448" s="177"/>
      <c r="AG448" s="177"/>
      <c r="AH448" s="177"/>
      <c r="AI448" s="177"/>
      <c r="AJ448" s="177"/>
      <c r="AK448" s="177"/>
      <c r="AL448" s="177"/>
      <c r="AM448" s="177"/>
      <c r="AN448" s="177"/>
    </row>
    <row r="449" spans="1:40">
      <c r="A449" s="177"/>
      <c r="B449" s="177"/>
      <c r="C449" s="177"/>
      <c r="D449" s="177"/>
      <c r="AF449" s="177"/>
      <c r="AG449" s="177"/>
      <c r="AH449" s="177"/>
      <c r="AI449" s="177"/>
      <c r="AJ449" s="177"/>
      <c r="AK449" s="177"/>
      <c r="AL449" s="177"/>
      <c r="AM449" s="177"/>
      <c r="AN449" s="177"/>
    </row>
    <row r="450" spans="1:40">
      <c r="A450" s="177"/>
      <c r="B450" s="177"/>
      <c r="C450" s="177"/>
      <c r="D450" s="177"/>
      <c r="AF450" s="177"/>
      <c r="AG450" s="177"/>
      <c r="AH450" s="177"/>
      <c r="AI450" s="177"/>
      <c r="AJ450" s="177"/>
      <c r="AK450" s="177"/>
      <c r="AL450" s="177"/>
      <c r="AM450" s="177"/>
      <c r="AN450" s="177"/>
    </row>
    <row r="451" spans="1:40">
      <c r="A451" s="177"/>
      <c r="B451" s="177"/>
      <c r="C451" s="177"/>
      <c r="D451" s="177"/>
      <c r="AF451" s="177"/>
      <c r="AG451" s="177"/>
      <c r="AH451" s="177"/>
      <c r="AI451" s="177"/>
      <c r="AJ451" s="177"/>
      <c r="AK451" s="177"/>
      <c r="AL451" s="177"/>
      <c r="AM451" s="177"/>
      <c r="AN451" s="177"/>
    </row>
    <row r="452" spans="1:40">
      <c r="A452" s="177"/>
      <c r="B452" s="177"/>
      <c r="C452" s="177"/>
      <c r="D452" s="177"/>
      <c r="AF452" s="177"/>
      <c r="AG452" s="177"/>
      <c r="AH452" s="177"/>
      <c r="AI452" s="177"/>
      <c r="AJ452" s="177"/>
      <c r="AK452" s="177"/>
      <c r="AL452" s="177"/>
      <c r="AM452" s="177"/>
      <c r="AN452" s="177"/>
    </row>
    <row r="453" spans="1:40">
      <c r="A453" s="177"/>
      <c r="B453" s="177"/>
      <c r="C453" s="177"/>
      <c r="D453" s="177"/>
      <c r="AF453" s="177"/>
      <c r="AG453" s="177"/>
      <c r="AH453" s="177"/>
      <c r="AI453" s="177"/>
      <c r="AJ453" s="177"/>
      <c r="AK453" s="177"/>
      <c r="AL453" s="177"/>
      <c r="AM453" s="177"/>
      <c r="AN453" s="177"/>
    </row>
    <row r="454" spans="1:40">
      <c r="A454" s="177"/>
      <c r="B454" s="177"/>
      <c r="C454" s="177"/>
      <c r="D454" s="177"/>
      <c r="AF454" s="177"/>
      <c r="AG454" s="177"/>
      <c r="AH454" s="177"/>
      <c r="AI454" s="177"/>
      <c r="AJ454" s="177"/>
      <c r="AK454" s="177"/>
      <c r="AL454" s="177"/>
      <c r="AM454" s="177"/>
      <c r="AN454" s="177"/>
    </row>
    <row r="455" spans="1:40">
      <c r="A455" s="177"/>
      <c r="B455" s="177"/>
      <c r="C455" s="177"/>
      <c r="D455" s="177"/>
      <c r="AF455" s="177"/>
      <c r="AG455" s="177"/>
      <c r="AH455" s="177"/>
      <c r="AI455" s="177"/>
      <c r="AJ455" s="177"/>
      <c r="AK455" s="177"/>
      <c r="AL455" s="177"/>
      <c r="AM455" s="177"/>
      <c r="AN455" s="177"/>
    </row>
    <row r="456" spans="1:40">
      <c r="A456" s="177"/>
      <c r="B456" s="177"/>
      <c r="C456" s="177"/>
      <c r="D456" s="177"/>
      <c r="AF456" s="177"/>
      <c r="AG456" s="177"/>
      <c r="AH456" s="177"/>
      <c r="AI456" s="177"/>
      <c r="AJ456" s="177"/>
      <c r="AK456" s="177"/>
      <c r="AL456" s="177"/>
      <c r="AM456" s="177"/>
      <c r="AN456" s="177"/>
    </row>
    <row r="457" spans="1:40">
      <c r="A457" s="177"/>
      <c r="B457" s="177"/>
      <c r="C457" s="177"/>
      <c r="D457" s="177"/>
      <c r="AF457" s="177"/>
      <c r="AG457" s="177"/>
      <c r="AH457" s="177"/>
      <c r="AI457" s="177"/>
      <c r="AJ457" s="177"/>
      <c r="AK457" s="177"/>
      <c r="AL457" s="177"/>
      <c r="AM457" s="177"/>
      <c r="AN457" s="177"/>
    </row>
    <row r="458" spans="1:40">
      <c r="A458" s="177"/>
      <c r="B458" s="177"/>
      <c r="C458" s="177"/>
      <c r="D458" s="177"/>
      <c r="AF458" s="177"/>
      <c r="AG458" s="177"/>
      <c r="AH458" s="177"/>
      <c r="AI458" s="177"/>
      <c r="AJ458" s="177"/>
      <c r="AK458" s="177"/>
      <c r="AL458" s="177"/>
      <c r="AM458" s="177"/>
      <c r="AN458" s="177"/>
    </row>
    <row r="459" spans="1:40">
      <c r="A459" s="177"/>
      <c r="B459" s="177"/>
      <c r="C459" s="177"/>
      <c r="D459" s="177"/>
      <c r="AF459" s="177"/>
      <c r="AG459" s="177"/>
      <c r="AH459" s="177"/>
      <c r="AI459" s="177"/>
      <c r="AJ459" s="177"/>
      <c r="AK459" s="177"/>
      <c r="AL459" s="177"/>
      <c r="AM459" s="177"/>
      <c r="AN459" s="177"/>
    </row>
    <row r="460" spans="1:40">
      <c r="A460" s="177"/>
      <c r="B460" s="177"/>
      <c r="C460" s="177"/>
      <c r="D460" s="177"/>
      <c r="AF460" s="177"/>
      <c r="AG460" s="177"/>
      <c r="AH460" s="177"/>
      <c r="AI460" s="177"/>
      <c r="AJ460" s="177"/>
      <c r="AK460" s="177"/>
      <c r="AL460" s="177"/>
      <c r="AM460" s="177"/>
      <c r="AN460" s="177"/>
    </row>
    <row r="461" spans="1:40">
      <c r="A461" s="177"/>
      <c r="B461" s="177"/>
      <c r="C461" s="177"/>
      <c r="D461" s="177"/>
      <c r="AF461" s="177"/>
      <c r="AG461" s="177"/>
      <c r="AH461" s="177"/>
      <c r="AI461" s="177"/>
      <c r="AJ461" s="177"/>
      <c r="AK461" s="177"/>
      <c r="AL461" s="177"/>
      <c r="AM461" s="177"/>
      <c r="AN461" s="177"/>
    </row>
    <row r="462" spans="1:40">
      <c r="A462" s="177"/>
      <c r="B462" s="177"/>
      <c r="C462" s="177"/>
      <c r="D462" s="177"/>
      <c r="AF462" s="177"/>
      <c r="AG462" s="177"/>
      <c r="AH462" s="177"/>
      <c r="AI462" s="177"/>
      <c r="AJ462" s="177"/>
      <c r="AK462" s="177"/>
      <c r="AL462" s="177"/>
      <c r="AM462" s="177"/>
      <c r="AN462" s="177"/>
    </row>
    <row r="463" spans="1:40">
      <c r="A463" s="177"/>
      <c r="B463" s="177"/>
      <c r="C463" s="177"/>
      <c r="D463" s="177"/>
      <c r="AF463" s="177"/>
      <c r="AG463" s="177"/>
      <c r="AH463" s="177"/>
      <c r="AI463" s="177"/>
      <c r="AJ463" s="177"/>
      <c r="AK463" s="177"/>
      <c r="AL463" s="177"/>
      <c r="AM463" s="177"/>
      <c r="AN463" s="177"/>
    </row>
    <row r="464" spans="1:40">
      <c r="A464" s="177"/>
      <c r="B464" s="177"/>
      <c r="C464" s="177"/>
      <c r="D464" s="177"/>
      <c r="AF464" s="177"/>
      <c r="AG464" s="177"/>
      <c r="AH464" s="177"/>
      <c r="AI464" s="177"/>
      <c r="AJ464" s="177"/>
      <c r="AK464" s="177"/>
      <c r="AL464" s="177"/>
      <c r="AM464" s="177"/>
      <c r="AN464" s="177"/>
    </row>
    <row r="465" spans="1:40">
      <c r="A465" s="177"/>
      <c r="B465" s="177"/>
      <c r="C465" s="177"/>
      <c r="D465" s="177"/>
      <c r="AF465" s="177"/>
      <c r="AG465" s="177"/>
      <c r="AH465" s="177"/>
      <c r="AI465" s="177"/>
      <c r="AJ465" s="177"/>
      <c r="AK465" s="177"/>
      <c r="AL465" s="177"/>
      <c r="AM465" s="177"/>
      <c r="AN465" s="177"/>
    </row>
    <row r="466" spans="1:40">
      <c r="A466" s="177"/>
      <c r="B466" s="177"/>
      <c r="C466" s="177"/>
      <c r="D466" s="177"/>
      <c r="AF466" s="177"/>
      <c r="AG466" s="177"/>
      <c r="AH466" s="177"/>
      <c r="AI466" s="177"/>
      <c r="AJ466" s="177"/>
      <c r="AK466" s="177"/>
      <c r="AL466" s="177"/>
      <c r="AM466" s="177"/>
      <c r="AN466" s="177"/>
    </row>
    <row r="467" spans="1:40">
      <c r="A467" s="177"/>
      <c r="B467" s="177"/>
      <c r="C467" s="177"/>
      <c r="D467" s="177"/>
      <c r="AF467" s="177"/>
      <c r="AG467" s="177"/>
      <c r="AH467" s="177"/>
      <c r="AI467" s="177"/>
      <c r="AJ467" s="177"/>
      <c r="AK467" s="177"/>
      <c r="AL467" s="177"/>
      <c r="AM467" s="177"/>
      <c r="AN467" s="177"/>
    </row>
    <row r="468" spans="1:40">
      <c r="A468" s="177"/>
      <c r="B468" s="177"/>
      <c r="C468" s="177"/>
      <c r="D468" s="177"/>
      <c r="AF468" s="177"/>
      <c r="AG468" s="177"/>
      <c r="AH468" s="177"/>
      <c r="AI468" s="177"/>
      <c r="AJ468" s="177"/>
      <c r="AK468" s="177"/>
      <c r="AL468" s="177"/>
      <c r="AM468" s="177"/>
      <c r="AN468" s="177"/>
    </row>
    <row r="469" spans="1:40">
      <c r="A469" s="177"/>
      <c r="B469" s="177"/>
      <c r="C469" s="177"/>
      <c r="D469" s="177"/>
      <c r="AF469" s="177"/>
      <c r="AG469" s="177"/>
      <c r="AH469" s="177"/>
      <c r="AI469" s="177"/>
      <c r="AJ469" s="177"/>
      <c r="AK469" s="177"/>
      <c r="AL469" s="177"/>
      <c r="AM469" s="177"/>
      <c r="AN469" s="177"/>
    </row>
    <row r="470" spans="1:40">
      <c r="A470" s="177"/>
      <c r="B470" s="177"/>
      <c r="C470" s="177"/>
      <c r="D470" s="177"/>
      <c r="AF470" s="177"/>
      <c r="AG470" s="177"/>
      <c r="AH470" s="177"/>
      <c r="AI470" s="177"/>
      <c r="AJ470" s="177"/>
      <c r="AK470" s="177"/>
      <c r="AL470" s="177"/>
      <c r="AM470" s="177"/>
      <c r="AN470" s="177"/>
    </row>
    <row r="471" spans="1:40">
      <c r="A471" s="177"/>
      <c r="B471" s="177"/>
      <c r="C471" s="177"/>
      <c r="D471" s="177"/>
      <c r="AF471" s="177"/>
      <c r="AG471" s="177"/>
      <c r="AH471" s="177"/>
      <c r="AI471" s="177"/>
      <c r="AJ471" s="177"/>
      <c r="AK471" s="177"/>
      <c r="AL471" s="177"/>
      <c r="AM471" s="177"/>
      <c r="AN471" s="177"/>
    </row>
    <row r="472" spans="1:40">
      <c r="A472" s="177"/>
      <c r="B472" s="177"/>
      <c r="C472" s="177"/>
      <c r="D472" s="177"/>
      <c r="AF472" s="177"/>
      <c r="AG472" s="177"/>
      <c r="AH472" s="177"/>
      <c r="AI472" s="177"/>
      <c r="AJ472" s="177"/>
      <c r="AK472" s="177"/>
      <c r="AL472" s="177"/>
      <c r="AM472" s="177"/>
      <c r="AN472" s="177"/>
    </row>
    <row r="473" spans="1:40">
      <c r="A473" s="177"/>
      <c r="B473" s="177"/>
      <c r="C473" s="177"/>
      <c r="D473" s="177"/>
      <c r="AF473" s="177"/>
      <c r="AG473" s="177"/>
      <c r="AH473" s="177"/>
      <c r="AI473" s="177"/>
      <c r="AJ473" s="177"/>
      <c r="AK473" s="177"/>
      <c r="AL473" s="177"/>
      <c r="AM473" s="177"/>
      <c r="AN473" s="177"/>
    </row>
    <row r="474" spans="1:40">
      <c r="A474" s="177"/>
      <c r="B474" s="177"/>
      <c r="C474" s="177"/>
      <c r="D474" s="177"/>
      <c r="AF474" s="177"/>
      <c r="AG474" s="177"/>
      <c r="AH474" s="177"/>
      <c r="AI474" s="177"/>
      <c r="AJ474" s="177"/>
      <c r="AK474" s="177"/>
      <c r="AL474" s="177"/>
      <c r="AM474" s="177"/>
      <c r="AN474" s="177"/>
    </row>
    <row r="475" spans="1:40">
      <c r="A475" s="177"/>
      <c r="B475" s="177"/>
      <c r="C475" s="177"/>
      <c r="D475" s="177"/>
      <c r="AF475" s="177"/>
      <c r="AG475" s="177"/>
      <c r="AH475" s="177"/>
      <c r="AI475" s="177"/>
      <c r="AJ475" s="177"/>
      <c r="AK475" s="177"/>
      <c r="AL475" s="177"/>
      <c r="AM475" s="177"/>
      <c r="AN475" s="177"/>
    </row>
    <row r="476" spans="1:40">
      <c r="A476" s="177"/>
      <c r="B476" s="177"/>
      <c r="C476" s="177"/>
      <c r="D476" s="177"/>
      <c r="AF476" s="177"/>
      <c r="AG476" s="177"/>
      <c r="AH476" s="177"/>
      <c r="AI476" s="177"/>
      <c r="AJ476" s="177"/>
      <c r="AK476" s="177"/>
      <c r="AL476" s="177"/>
      <c r="AM476" s="177"/>
      <c r="AN476" s="177"/>
    </row>
    <row r="477" spans="1:40">
      <c r="A477" s="177"/>
      <c r="B477" s="177"/>
      <c r="C477" s="177"/>
      <c r="D477" s="177"/>
      <c r="AF477" s="177"/>
      <c r="AG477" s="177"/>
      <c r="AH477" s="177"/>
      <c r="AI477" s="177"/>
      <c r="AJ477" s="177"/>
      <c r="AK477" s="177"/>
      <c r="AL477" s="177"/>
      <c r="AM477" s="177"/>
      <c r="AN477" s="177"/>
    </row>
    <row r="478" spans="1:40">
      <c r="A478" s="177"/>
      <c r="B478" s="177"/>
      <c r="C478" s="177"/>
      <c r="D478" s="177"/>
      <c r="AF478" s="177"/>
      <c r="AG478" s="177"/>
      <c r="AH478" s="177"/>
      <c r="AI478" s="177"/>
      <c r="AJ478" s="177"/>
      <c r="AK478" s="177"/>
      <c r="AL478" s="177"/>
      <c r="AM478" s="177"/>
      <c r="AN478" s="177"/>
    </row>
    <row r="479" spans="1:40">
      <c r="A479" s="177"/>
      <c r="B479" s="177"/>
      <c r="C479" s="177"/>
      <c r="D479" s="177"/>
      <c r="AF479" s="177"/>
      <c r="AG479" s="177"/>
      <c r="AH479" s="177"/>
      <c r="AI479" s="177"/>
      <c r="AJ479" s="177"/>
      <c r="AK479" s="177"/>
      <c r="AL479" s="177"/>
      <c r="AM479" s="177"/>
      <c r="AN479" s="177"/>
    </row>
    <row r="480" spans="1:40">
      <c r="A480" s="177"/>
      <c r="B480" s="177"/>
      <c r="C480" s="177"/>
      <c r="D480" s="177"/>
      <c r="AF480" s="177"/>
      <c r="AG480" s="177"/>
      <c r="AH480" s="177"/>
      <c r="AI480" s="177"/>
      <c r="AJ480" s="177"/>
      <c r="AK480" s="177"/>
      <c r="AL480" s="177"/>
      <c r="AM480" s="177"/>
      <c r="AN480" s="177"/>
    </row>
    <row r="481" spans="1:40">
      <c r="A481" s="177"/>
      <c r="B481" s="177"/>
      <c r="C481" s="177"/>
      <c r="D481" s="177"/>
      <c r="AF481" s="177"/>
      <c r="AG481" s="177"/>
      <c r="AH481" s="177"/>
      <c r="AI481" s="177"/>
      <c r="AJ481" s="177"/>
      <c r="AK481" s="177"/>
      <c r="AL481" s="177"/>
      <c r="AM481" s="177"/>
      <c r="AN481" s="177"/>
    </row>
    <row r="482" spans="1:40">
      <c r="A482" s="177"/>
      <c r="B482" s="177"/>
      <c r="C482" s="177"/>
      <c r="D482" s="177"/>
      <c r="AF482" s="177"/>
      <c r="AG482" s="177"/>
      <c r="AH482" s="177"/>
      <c r="AI482" s="177"/>
      <c r="AJ482" s="177"/>
      <c r="AK482" s="177"/>
      <c r="AL482" s="177"/>
      <c r="AM482" s="177"/>
      <c r="AN482" s="177"/>
    </row>
    <row r="483" spans="1:40">
      <c r="A483" s="177"/>
      <c r="B483" s="177"/>
      <c r="C483" s="177"/>
      <c r="D483" s="177"/>
      <c r="AF483" s="177"/>
      <c r="AG483" s="177"/>
      <c r="AH483" s="177"/>
      <c r="AI483" s="177"/>
      <c r="AJ483" s="177"/>
      <c r="AK483" s="177"/>
      <c r="AL483" s="177"/>
      <c r="AM483" s="177"/>
      <c r="AN483" s="177"/>
    </row>
    <row r="484" spans="1:40">
      <c r="A484" s="177"/>
      <c r="B484" s="177"/>
      <c r="C484" s="177"/>
      <c r="D484" s="177"/>
      <c r="AF484" s="177"/>
      <c r="AG484" s="177"/>
      <c r="AH484" s="177"/>
      <c r="AI484" s="177"/>
      <c r="AJ484" s="177"/>
      <c r="AK484" s="177"/>
      <c r="AL484" s="177"/>
      <c r="AM484" s="177"/>
      <c r="AN484" s="177"/>
    </row>
    <row r="485" spans="1:40">
      <c r="A485" s="177"/>
      <c r="B485" s="177"/>
      <c r="C485" s="177"/>
      <c r="D485" s="177"/>
      <c r="AF485" s="177"/>
      <c r="AG485" s="177"/>
      <c r="AH485" s="177"/>
      <c r="AI485" s="177"/>
      <c r="AJ485" s="177"/>
      <c r="AK485" s="177"/>
      <c r="AL485" s="177"/>
      <c r="AM485" s="177"/>
      <c r="AN485" s="177"/>
    </row>
    <row r="486" spans="1:40">
      <c r="A486" s="177"/>
      <c r="B486" s="177"/>
      <c r="C486" s="177"/>
      <c r="D486" s="177"/>
      <c r="AF486" s="177"/>
      <c r="AG486" s="177"/>
      <c r="AH486" s="177"/>
      <c r="AI486" s="177"/>
      <c r="AJ486" s="177"/>
      <c r="AK486" s="177"/>
      <c r="AL486" s="177"/>
      <c r="AM486" s="177"/>
      <c r="AN486" s="177"/>
    </row>
    <row r="487" spans="1:40">
      <c r="A487" s="177"/>
      <c r="B487" s="177"/>
      <c r="C487" s="177"/>
      <c r="D487" s="177"/>
      <c r="AF487" s="177"/>
      <c r="AG487" s="177"/>
      <c r="AH487" s="177"/>
      <c r="AI487" s="177"/>
      <c r="AJ487" s="177"/>
      <c r="AK487" s="177"/>
      <c r="AL487" s="177"/>
      <c r="AM487" s="177"/>
      <c r="AN487" s="177"/>
    </row>
    <row r="488" spans="1:40">
      <c r="A488" s="177"/>
      <c r="B488" s="177"/>
      <c r="C488" s="177"/>
      <c r="D488" s="177"/>
      <c r="AF488" s="177"/>
      <c r="AG488" s="177"/>
      <c r="AH488" s="177"/>
      <c r="AI488" s="177"/>
      <c r="AJ488" s="177"/>
      <c r="AK488" s="177"/>
      <c r="AL488" s="177"/>
      <c r="AM488" s="177"/>
      <c r="AN488" s="177"/>
    </row>
    <row r="489" spans="1:40">
      <c r="A489" s="177"/>
      <c r="B489" s="177"/>
      <c r="C489" s="177"/>
      <c r="D489" s="177"/>
      <c r="AF489" s="177"/>
      <c r="AG489" s="177"/>
      <c r="AH489" s="177"/>
      <c r="AI489" s="177"/>
      <c r="AJ489" s="177"/>
      <c r="AK489" s="177"/>
      <c r="AL489" s="177"/>
      <c r="AM489" s="177"/>
      <c r="AN489" s="177"/>
    </row>
    <row r="490" spans="1:40">
      <c r="A490" s="177"/>
      <c r="B490" s="177"/>
      <c r="C490" s="177"/>
      <c r="D490" s="177"/>
      <c r="AF490" s="177"/>
      <c r="AG490" s="177"/>
      <c r="AH490" s="177"/>
      <c r="AI490" s="177"/>
      <c r="AJ490" s="177"/>
      <c r="AK490" s="177"/>
      <c r="AL490" s="177"/>
      <c r="AM490" s="177"/>
      <c r="AN490" s="177"/>
    </row>
    <row r="491" spans="1:40">
      <c r="A491" s="177"/>
      <c r="B491" s="177"/>
      <c r="C491" s="177"/>
      <c r="D491" s="177"/>
      <c r="AF491" s="177"/>
      <c r="AG491" s="177"/>
      <c r="AH491" s="177"/>
      <c r="AI491" s="177"/>
      <c r="AJ491" s="177"/>
      <c r="AK491" s="177"/>
      <c r="AL491" s="177"/>
      <c r="AM491" s="177"/>
      <c r="AN491" s="177"/>
    </row>
    <row r="492" spans="1:40">
      <c r="A492" s="177"/>
      <c r="B492" s="177"/>
      <c r="C492" s="177"/>
      <c r="D492" s="177"/>
      <c r="AF492" s="177"/>
      <c r="AG492" s="177"/>
      <c r="AH492" s="177"/>
      <c r="AI492" s="177"/>
      <c r="AJ492" s="177"/>
      <c r="AK492" s="177"/>
      <c r="AL492" s="177"/>
      <c r="AM492" s="177"/>
      <c r="AN492" s="177"/>
    </row>
    <row r="493" spans="1:40">
      <c r="A493" s="177"/>
      <c r="B493" s="177"/>
      <c r="C493" s="177"/>
      <c r="D493" s="177"/>
      <c r="AF493" s="177"/>
      <c r="AG493" s="177"/>
      <c r="AH493" s="177"/>
      <c r="AI493" s="177"/>
      <c r="AJ493" s="177"/>
      <c r="AK493" s="177"/>
      <c r="AL493" s="177"/>
      <c r="AM493" s="177"/>
      <c r="AN493" s="177"/>
    </row>
    <row r="494" spans="1:40">
      <c r="A494" s="177"/>
      <c r="B494" s="177"/>
      <c r="C494" s="177"/>
      <c r="D494" s="177"/>
      <c r="AF494" s="177"/>
      <c r="AG494" s="177"/>
      <c r="AH494" s="177"/>
      <c r="AI494" s="177"/>
      <c r="AJ494" s="177"/>
      <c r="AK494" s="177"/>
      <c r="AL494" s="177"/>
      <c r="AM494" s="177"/>
      <c r="AN494" s="177"/>
    </row>
    <row r="495" spans="1:40">
      <c r="A495" s="177"/>
      <c r="B495" s="177"/>
      <c r="C495" s="177"/>
      <c r="D495" s="177"/>
      <c r="AF495" s="177"/>
      <c r="AG495" s="177"/>
      <c r="AH495" s="177"/>
      <c r="AI495" s="177"/>
      <c r="AJ495" s="177"/>
      <c r="AK495" s="177"/>
      <c r="AL495" s="177"/>
      <c r="AM495" s="177"/>
      <c r="AN495" s="177"/>
    </row>
    <row r="496" spans="1:40">
      <c r="A496" s="177"/>
      <c r="B496" s="177"/>
      <c r="C496" s="177"/>
      <c r="D496" s="177"/>
      <c r="AF496" s="177"/>
      <c r="AG496" s="177"/>
      <c r="AH496" s="177"/>
      <c r="AI496" s="177"/>
      <c r="AJ496" s="177"/>
      <c r="AK496" s="177"/>
      <c r="AL496" s="177"/>
      <c r="AM496" s="177"/>
      <c r="AN496" s="177"/>
    </row>
    <row r="497" spans="1:40">
      <c r="A497" s="177"/>
      <c r="B497" s="177"/>
      <c r="C497" s="177"/>
      <c r="D497" s="177"/>
      <c r="AF497" s="177"/>
      <c r="AG497" s="177"/>
      <c r="AH497" s="177"/>
      <c r="AI497" s="177"/>
      <c r="AJ497" s="177"/>
      <c r="AK497" s="177"/>
      <c r="AL497" s="177"/>
      <c r="AM497" s="177"/>
      <c r="AN497" s="177"/>
    </row>
    <row r="498" spans="1:40">
      <c r="A498" s="177"/>
      <c r="B498" s="177"/>
      <c r="C498" s="177"/>
      <c r="D498" s="177"/>
      <c r="AF498" s="177"/>
      <c r="AG498" s="177"/>
      <c r="AH498" s="177"/>
      <c r="AI498" s="177"/>
      <c r="AJ498" s="177"/>
      <c r="AK498" s="177"/>
      <c r="AL498" s="177"/>
      <c r="AM498" s="177"/>
      <c r="AN498" s="177"/>
    </row>
    <row r="499" spans="1:40">
      <c r="A499" s="177"/>
      <c r="B499" s="177"/>
      <c r="C499" s="177"/>
      <c r="D499" s="177"/>
      <c r="AF499" s="177"/>
      <c r="AG499" s="177"/>
      <c r="AH499" s="177"/>
      <c r="AI499" s="177"/>
      <c r="AJ499" s="177"/>
      <c r="AK499" s="177"/>
      <c r="AL499" s="177"/>
      <c r="AM499" s="177"/>
      <c r="AN499" s="177"/>
    </row>
    <row r="500" spans="1:40">
      <c r="A500" s="177"/>
      <c r="B500" s="177"/>
      <c r="C500" s="177"/>
      <c r="D500" s="177"/>
      <c r="AF500" s="177"/>
      <c r="AG500" s="177"/>
      <c r="AH500" s="177"/>
      <c r="AI500" s="177"/>
      <c r="AJ500" s="177"/>
      <c r="AK500" s="177"/>
      <c r="AL500" s="177"/>
      <c r="AM500" s="177"/>
      <c r="AN500" s="177"/>
    </row>
    <row r="501" spans="1:40">
      <c r="A501" s="177"/>
      <c r="B501" s="177"/>
      <c r="C501" s="177"/>
      <c r="D501" s="177"/>
      <c r="AF501" s="177"/>
      <c r="AG501" s="177"/>
      <c r="AH501" s="177"/>
      <c r="AI501" s="177"/>
      <c r="AJ501" s="177"/>
      <c r="AK501" s="177"/>
      <c r="AL501" s="177"/>
      <c r="AM501" s="177"/>
      <c r="AN501" s="177"/>
    </row>
    <row r="502" spans="1:40">
      <c r="A502" s="177"/>
      <c r="B502" s="177"/>
      <c r="C502" s="177"/>
      <c r="D502" s="177"/>
      <c r="AF502" s="177"/>
      <c r="AG502" s="177"/>
      <c r="AH502" s="177"/>
      <c r="AI502" s="177"/>
      <c r="AJ502" s="177"/>
      <c r="AK502" s="177"/>
      <c r="AL502" s="177"/>
      <c r="AM502" s="177"/>
      <c r="AN502" s="177"/>
    </row>
    <row r="503" spans="1:40">
      <c r="A503" s="177"/>
      <c r="B503" s="177"/>
      <c r="C503" s="177"/>
      <c r="D503" s="177"/>
      <c r="AF503" s="177"/>
      <c r="AG503" s="177"/>
      <c r="AH503" s="177"/>
      <c r="AI503" s="177"/>
      <c r="AJ503" s="177"/>
      <c r="AK503" s="177"/>
      <c r="AL503" s="177"/>
      <c r="AM503" s="177"/>
      <c r="AN503" s="177"/>
    </row>
    <row r="504" spans="1:40">
      <c r="A504" s="177"/>
      <c r="B504" s="177"/>
      <c r="C504" s="177"/>
      <c r="D504" s="177"/>
      <c r="AF504" s="177"/>
      <c r="AG504" s="177"/>
      <c r="AH504" s="177"/>
      <c r="AI504" s="177"/>
      <c r="AJ504" s="177"/>
      <c r="AK504" s="177"/>
      <c r="AL504" s="177"/>
      <c r="AM504" s="177"/>
      <c r="AN504" s="177"/>
    </row>
    <row r="505" spans="1:40">
      <c r="A505" s="177"/>
      <c r="B505" s="177"/>
      <c r="C505" s="177"/>
      <c r="D505" s="177"/>
      <c r="AF505" s="177"/>
      <c r="AG505" s="177"/>
      <c r="AH505" s="177"/>
      <c r="AI505" s="177"/>
      <c r="AJ505" s="177"/>
      <c r="AK505" s="177"/>
      <c r="AL505" s="177"/>
      <c r="AM505" s="177"/>
      <c r="AN505" s="177"/>
    </row>
    <row r="506" spans="1:40">
      <c r="A506" s="177"/>
      <c r="B506" s="177"/>
      <c r="C506" s="177"/>
      <c r="D506" s="177"/>
      <c r="AF506" s="177"/>
      <c r="AG506" s="177"/>
      <c r="AH506" s="177"/>
      <c r="AI506" s="177"/>
      <c r="AJ506" s="177"/>
      <c r="AK506" s="177"/>
      <c r="AL506" s="177"/>
      <c r="AM506" s="177"/>
      <c r="AN506" s="177"/>
    </row>
    <row r="507" spans="1:40">
      <c r="A507" s="177"/>
      <c r="B507" s="177"/>
      <c r="C507" s="177"/>
      <c r="D507" s="177"/>
      <c r="AF507" s="177"/>
      <c r="AG507" s="177"/>
      <c r="AH507" s="177"/>
      <c r="AI507" s="177"/>
      <c r="AJ507" s="177"/>
      <c r="AK507" s="177"/>
      <c r="AL507" s="177"/>
      <c r="AM507" s="177"/>
      <c r="AN507" s="177"/>
    </row>
    <row r="508" spans="1:40">
      <c r="A508" s="177"/>
      <c r="B508" s="177"/>
      <c r="C508" s="177"/>
      <c r="D508" s="177"/>
      <c r="AF508" s="177"/>
      <c r="AG508" s="177"/>
      <c r="AH508" s="177"/>
      <c r="AI508" s="177"/>
      <c r="AJ508" s="177"/>
      <c r="AK508" s="177"/>
      <c r="AL508" s="177"/>
      <c r="AM508" s="177"/>
      <c r="AN508" s="177"/>
    </row>
    <row r="509" spans="1:40">
      <c r="A509" s="177"/>
      <c r="B509" s="177"/>
      <c r="C509" s="177"/>
      <c r="D509" s="177"/>
      <c r="AF509" s="177"/>
      <c r="AG509" s="177"/>
      <c r="AH509" s="177"/>
      <c r="AI509" s="177"/>
      <c r="AJ509" s="177"/>
      <c r="AK509" s="177"/>
      <c r="AL509" s="177"/>
      <c r="AM509" s="177"/>
      <c r="AN509" s="177"/>
    </row>
    <row r="510" spans="1:40">
      <c r="A510" s="177"/>
      <c r="B510" s="177"/>
      <c r="C510" s="177"/>
      <c r="D510" s="177"/>
      <c r="AF510" s="177"/>
      <c r="AG510" s="177"/>
      <c r="AH510" s="177"/>
      <c r="AI510" s="177"/>
      <c r="AJ510" s="177"/>
      <c r="AK510" s="177"/>
      <c r="AL510" s="177"/>
      <c r="AM510" s="177"/>
      <c r="AN510" s="177"/>
    </row>
    <row r="511" spans="1:40">
      <c r="A511" s="177"/>
      <c r="B511" s="177"/>
      <c r="C511" s="177"/>
      <c r="D511" s="177"/>
      <c r="AF511" s="177"/>
      <c r="AG511" s="177"/>
      <c r="AH511" s="177"/>
      <c r="AI511" s="177"/>
      <c r="AJ511" s="177"/>
      <c r="AK511" s="177"/>
      <c r="AL511" s="177"/>
      <c r="AM511" s="177"/>
      <c r="AN511" s="177"/>
    </row>
    <row r="512" spans="1:40">
      <c r="A512" s="177"/>
      <c r="B512" s="177"/>
      <c r="C512" s="177"/>
      <c r="D512" s="177"/>
      <c r="AF512" s="177"/>
      <c r="AG512" s="177"/>
      <c r="AH512" s="177"/>
      <c r="AI512" s="177"/>
      <c r="AJ512" s="177"/>
      <c r="AK512" s="177"/>
      <c r="AL512" s="177"/>
      <c r="AM512" s="177"/>
      <c r="AN512" s="177"/>
    </row>
    <row r="513" spans="1:40">
      <c r="A513" s="177"/>
      <c r="B513" s="177"/>
      <c r="C513" s="177"/>
      <c r="D513" s="177"/>
      <c r="AF513" s="177"/>
      <c r="AG513" s="177"/>
      <c r="AH513" s="177"/>
      <c r="AI513" s="177"/>
      <c r="AJ513" s="177"/>
      <c r="AK513" s="177"/>
      <c r="AL513" s="177"/>
      <c r="AM513" s="177"/>
      <c r="AN513" s="177"/>
    </row>
    <row r="514" spans="1:40">
      <c r="A514" s="177"/>
      <c r="B514" s="177"/>
      <c r="C514" s="177"/>
      <c r="D514" s="177"/>
      <c r="AF514" s="177"/>
      <c r="AG514" s="177"/>
      <c r="AH514" s="177"/>
      <c r="AI514" s="177"/>
      <c r="AJ514" s="177"/>
      <c r="AK514" s="177"/>
      <c r="AL514" s="177"/>
      <c r="AM514" s="177"/>
      <c r="AN514" s="177"/>
    </row>
    <row r="515" spans="1:40">
      <c r="A515" s="177"/>
      <c r="B515" s="177"/>
      <c r="C515" s="177"/>
      <c r="D515" s="177"/>
      <c r="AF515" s="177"/>
      <c r="AG515" s="177"/>
      <c r="AH515" s="177"/>
      <c r="AI515" s="177"/>
      <c r="AJ515" s="177"/>
      <c r="AK515" s="177"/>
      <c r="AL515" s="177"/>
      <c r="AM515" s="177"/>
      <c r="AN515" s="177"/>
    </row>
    <row r="516" spans="1:40">
      <c r="A516" s="177"/>
      <c r="B516" s="177"/>
      <c r="C516" s="177"/>
      <c r="D516" s="177"/>
      <c r="AF516" s="177"/>
      <c r="AG516" s="177"/>
      <c r="AH516" s="177"/>
      <c r="AI516" s="177"/>
      <c r="AJ516" s="177"/>
      <c r="AK516" s="177"/>
      <c r="AL516" s="177"/>
      <c r="AM516" s="177"/>
      <c r="AN516" s="177"/>
    </row>
    <row r="517" spans="1:40">
      <c r="A517" s="177"/>
      <c r="B517" s="177"/>
      <c r="C517" s="177"/>
      <c r="D517" s="177"/>
      <c r="AF517" s="177"/>
      <c r="AG517" s="177"/>
      <c r="AH517" s="177"/>
      <c r="AI517" s="177"/>
      <c r="AJ517" s="177"/>
      <c r="AK517" s="177"/>
      <c r="AL517" s="177"/>
      <c r="AM517" s="177"/>
      <c r="AN517" s="177"/>
    </row>
    <row r="518" spans="1:40">
      <c r="A518" s="177"/>
      <c r="B518" s="177"/>
      <c r="C518" s="177"/>
      <c r="D518" s="177"/>
      <c r="AF518" s="177"/>
      <c r="AG518" s="177"/>
      <c r="AH518" s="177"/>
      <c r="AI518" s="177"/>
      <c r="AJ518" s="177"/>
      <c r="AK518" s="177"/>
      <c r="AL518" s="177"/>
      <c r="AM518" s="177"/>
      <c r="AN518" s="177"/>
    </row>
    <row r="519" spans="1:40">
      <c r="A519" s="177"/>
      <c r="B519" s="177"/>
      <c r="C519" s="177"/>
      <c r="D519" s="177"/>
      <c r="AF519" s="177"/>
      <c r="AG519" s="177"/>
      <c r="AH519" s="177"/>
      <c r="AI519" s="177"/>
      <c r="AJ519" s="177"/>
      <c r="AK519" s="177"/>
      <c r="AL519" s="177"/>
      <c r="AM519" s="177"/>
      <c r="AN519" s="177"/>
    </row>
    <row r="520" spans="1:40">
      <c r="A520" s="177"/>
      <c r="B520" s="177"/>
      <c r="C520" s="177"/>
      <c r="D520" s="177"/>
      <c r="AF520" s="177"/>
      <c r="AG520" s="177"/>
      <c r="AH520" s="177"/>
      <c r="AI520" s="177"/>
      <c r="AJ520" s="177"/>
      <c r="AK520" s="177"/>
      <c r="AL520" s="177"/>
      <c r="AM520" s="177"/>
      <c r="AN520" s="177"/>
    </row>
    <row r="521" spans="1:40">
      <c r="A521" s="177"/>
      <c r="B521" s="177"/>
      <c r="C521" s="177"/>
      <c r="D521" s="177"/>
      <c r="AF521" s="177"/>
      <c r="AG521" s="177"/>
      <c r="AH521" s="177"/>
      <c r="AI521" s="177"/>
      <c r="AJ521" s="177"/>
      <c r="AK521" s="177"/>
      <c r="AL521" s="177"/>
      <c r="AM521" s="177"/>
      <c r="AN521" s="177"/>
    </row>
    <row r="522" spans="1:40">
      <c r="A522" s="177"/>
      <c r="B522" s="177"/>
      <c r="C522" s="177"/>
      <c r="D522" s="177"/>
      <c r="AF522" s="177"/>
      <c r="AG522" s="177"/>
      <c r="AH522" s="177"/>
      <c r="AI522" s="177"/>
      <c r="AJ522" s="177"/>
      <c r="AK522" s="177"/>
      <c r="AL522" s="177"/>
      <c r="AM522" s="177"/>
      <c r="AN522" s="177"/>
    </row>
    <row r="523" spans="1:40">
      <c r="A523" s="177"/>
      <c r="B523" s="177"/>
      <c r="C523" s="177"/>
      <c r="D523" s="177"/>
      <c r="AF523" s="177"/>
      <c r="AG523" s="177"/>
      <c r="AH523" s="177"/>
      <c r="AI523" s="177"/>
      <c r="AJ523" s="177"/>
      <c r="AK523" s="177"/>
      <c r="AL523" s="177"/>
      <c r="AM523" s="177"/>
      <c r="AN523" s="177"/>
    </row>
    <row r="524" spans="1:40">
      <c r="A524" s="177"/>
      <c r="B524" s="177"/>
      <c r="C524" s="177"/>
      <c r="D524" s="177"/>
      <c r="AF524" s="177"/>
      <c r="AG524" s="177"/>
      <c r="AH524" s="177"/>
      <c r="AI524" s="177"/>
      <c r="AJ524" s="177"/>
      <c r="AK524" s="177"/>
      <c r="AL524" s="177"/>
      <c r="AM524" s="177"/>
      <c r="AN524" s="177"/>
    </row>
    <row r="525" spans="1:40">
      <c r="A525" s="177"/>
      <c r="B525" s="177"/>
      <c r="C525" s="177"/>
      <c r="D525" s="177"/>
      <c r="AF525" s="177"/>
      <c r="AG525" s="177"/>
      <c r="AH525" s="177"/>
      <c r="AI525" s="177"/>
      <c r="AJ525" s="177"/>
      <c r="AK525" s="177"/>
      <c r="AL525" s="177"/>
      <c r="AM525" s="177"/>
      <c r="AN525" s="177"/>
    </row>
    <row r="526" spans="1:40">
      <c r="A526" s="177"/>
      <c r="B526" s="177"/>
      <c r="C526" s="177"/>
      <c r="D526" s="177"/>
      <c r="AF526" s="177"/>
      <c r="AG526" s="177"/>
      <c r="AH526" s="177"/>
      <c r="AI526" s="177"/>
      <c r="AJ526" s="177"/>
      <c r="AK526" s="177"/>
      <c r="AL526" s="177"/>
      <c r="AM526" s="177"/>
      <c r="AN526" s="177"/>
    </row>
    <row r="527" spans="1:40">
      <c r="A527" s="177"/>
      <c r="B527" s="177"/>
      <c r="C527" s="177"/>
      <c r="D527" s="177"/>
      <c r="AF527" s="177"/>
      <c r="AG527" s="177"/>
      <c r="AH527" s="177"/>
      <c r="AI527" s="177"/>
      <c r="AJ527" s="177"/>
      <c r="AK527" s="177"/>
      <c r="AL527" s="177"/>
      <c r="AM527" s="177"/>
      <c r="AN527" s="177"/>
    </row>
    <row r="528" spans="1:40">
      <c r="A528" s="177"/>
      <c r="B528" s="177"/>
      <c r="C528" s="177"/>
      <c r="D528" s="177"/>
      <c r="AF528" s="177"/>
      <c r="AG528" s="177"/>
      <c r="AH528" s="177"/>
      <c r="AI528" s="177"/>
      <c r="AJ528" s="177"/>
      <c r="AK528" s="177"/>
      <c r="AL528" s="177"/>
      <c r="AM528" s="177"/>
      <c r="AN528" s="177"/>
    </row>
    <row r="529" spans="1:40">
      <c r="A529" s="177"/>
      <c r="B529" s="177"/>
      <c r="C529" s="177"/>
      <c r="D529" s="177"/>
      <c r="AF529" s="177"/>
      <c r="AG529" s="177"/>
      <c r="AH529" s="177"/>
      <c r="AI529" s="177"/>
      <c r="AJ529" s="177"/>
      <c r="AK529" s="177"/>
      <c r="AL529" s="177"/>
      <c r="AM529" s="177"/>
      <c r="AN529" s="177"/>
    </row>
    <row r="530" spans="1:40">
      <c r="A530" s="177"/>
      <c r="B530" s="177"/>
      <c r="C530" s="177"/>
      <c r="D530" s="177"/>
      <c r="AF530" s="177"/>
      <c r="AG530" s="177"/>
      <c r="AH530" s="177"/>
      <c r="AI530" s="177"/>
      <c r="AJ530" s="177"/>
      <c r="AK530" s="177"/>
      <c r="AL530" s="177"/>
      <c r="AM530" s="177"/>
      <c r="AN530" s="177"/>
    </row>
    <row r="531" spans="1:40">
      <c r="A531" s="177"/>
      <c r="B531" s="177"/>
      <c r="C531" s="177"/>
      <c r="D531" s="177"/>
      <c r="AF531" s="177"/>
      <c r="AG531" s="177"/>
      <c r="AH531" s="177"/>
      <c r="AI531" s="177"/>
      <c r="AJ531" s="177"/>
      <c r="AK531" s="177"/>
      <c r="AL531" s="177"/>
      <c r="AM531" s="177"/>
      <c r="AN531" s="177"/>
    </row>
    <row r="532" spans="1:40">
      <c r="A532" s="177"/>
      <c r="B532" s="177"/>
      <c r="C532" s="177"/>
      <c r="D532" s="177"/>
      <c r="AF532" s="177"/>
      <c r="AG532" s="177"/>
      <c r="AH532" s="177"/>
      <c r="AI532" s="177"/>
      <c r="AJ532" s="177"/>
      <c r="AK532" s="177"/>
      <c r="AL532" s="177"/>
      <c r="AM532" s="177"/>
      <c r="AN532" s="177"/>
    </row>
    <row r="533" spans="1:40">
      <c r="A533" s="177"/>
      <c r="B533" s="177"/>
      <c r="C533" s="177"/>
      <c r="D533" s="177"/>
      <c r="AF533" s="177"/>
      <c r="AG533" s="177"/>
      <c r="AH533" s="177"/>
      <c r="AI533" s="177"/>
      <c r="AJ533" s="177"/>
      <c r="AK533" s="177"/>
      <c r="AL533" s="177"/>
      <c r="AM533" s="177"/>
      <c r="AN533" s="177"/>
    </row>
    <row r="534" spans="1:40">
      <c r="A534" s="177"/>
      <c r="B534" s="177"/>
      <c r="C534" s="177"/>
      <c r="D534" s="177"/>
      <c r="AF534" s="177"/>
      <c r="AG534" s="177"/>
      <c r="AH534" s="177"/>
      <c r="AI534" s="177"/>
      <c r="AJ534" s="177"/>
      <c r="AK534" s="177"/>
      <c r="AL534" s="177"/>
      <c r="AM534" s="177"/>
      <c r="AN534" s="177"/>
    </row>
    <row r="535" spans="1:40">
      <c r="A535" s="177"/>
      <c r="B535" s="177"/>
      <c r="C535" s="177"/>
      <c r="D535" s="177"/>
      <c r="AF535" s="177"/>
      <c r="AG535" s="177"/>
      <c r="AH535" s="177"/>
      <c r="AI535" s="177"/>
      <c r="AJ535" s="177"/>
      <c r="AK535" s="177"/>
      <c r="AL535" s="177"/>
      <c r="AM535" s="177"/>
      <c r="AN535" s="177"/>
    </row>
    <row r="536" spans="1:40">
      <c r="A536" s="177"/>
      <c r="B536" s="177"/>
      <c r="C536" s="177"/>
      <c r="D536" s="177"/>
      <c r="AF536" s="177"/>
      <c r="AG536" s="177"/>
      <c r="AH536" s="177"/>
      <c r="AI536" s="177"/>
      <c r="AJ536" s="177"/>
      <c r="AK536" s="177"/>
      <c r="AL536" s="177"/>
      <c r="AM536" s="177"/>
      <c r="AN536" s="177"/>
    </row>
    <row r="537" spans="1:40">
      <c r="A537" s="177"/>
      <c r="B537" s="177"/>
      <c r="C537" s="177"/>
      <c r="D537" s="177"/>
      <c r="AF537" s="177"/>
      <c r="AG537" s="177"/>
      <c r="AH537" s="177"/>
      <c r="AI537" s="177"/>
      <c r="AJ537" s="177"/>
      <c r="AK537" s="177"/>
      <c r="AL537" s="177"/>
      <c r="AM537" s="177"/>
      <c r="AN537" s="177"/>
    </row>
    <row r="538" spans="1:40">
      <c r="A538" s="177"/>
      <c r="B538" s="177"/>
      <c r="C538" s="177"/>
      <c r="D538" s="177"/>
      <c r="AF538" s="177"/>
      <c r="AG538" s="177"/>
      <c r="AH538" s="177"/>
      <c r="AI538" s="177"/>
      <c r="AJ538" s="177"/>
      <c r="AK538" s="177"/>
      <c r="AL538" s="177"/>
      <c r="AM538" s="177"/>
      <c r="AN538" s="177"/>
    </row>
    <row r="539" spans="1:40">
      <c r="A539" s="177"/>
      <c r="B539" s="177"/>
      <c r="C539" s="177"/>
      <c r="D539" s="177"/>
      <c r="AF539" s="177"/>
      <c r="AG539" s="177"/>
      <c r="AH539" s="177"/>
      <c r="AI539" s="177"/>
      <c r="AJ539" s="177"/>
      <c r="AK539" s="177"/>
      <c r="AL539" s="177"/>
      <c r="AM539" s="177"/>
      <c r="AN539" s="177"/>
    </row>
    <row r="540" spans="1:40">
      <c r="A540" s="177"/>
      <c r="B540" s="177"/>
      <c r="C540" s="177"/>
      <c r="D540" s="177"/>
      <c r="AF540" s="177"/>
      <c r="AG540" s="177"/>
      <c r="AH540" s="177"/>
      <c r="AI540" s="177"/>
      <c r="AJ540" s="177"/>
      <c r="AK540" s="177"/>
      <c r="AL540" s="177"/>
      <c r="AM540" s="177"/>
      <c r="AN540" s="177"/>
    </row>
    <row r="541" spans="1:40">
      <c r="A541" s="177"/>
      <c r="B541" s="177"/>
      <c r="C541" s="177"/>
      <c r="D541" s="177"/>
      <c r="AF541" s="177"/>
      <c r="AG541" s="177"/>
      <c r="AH541" s="177"/>
      <c r="AI541" s="177"/>
      <c r="AJ541" s="177"/>
      <c r="AK541" s="177"/>
      <c r="AL541" s="177"/>
      <c r="AM541" s="177"/>
      <c r="AN541" s="177"/>
    </row>
    <row r="542" spans="1:40">
      <c r="A542" s="177"/>
      <c r="B542" s="177"/>
      <c r="C542" s="177"/>
      <c r="D542" s="177"/>
      <c r="AF542" s="177"/>
      <c r="AG542" s="177"/>
      <c r="AH542" s="177"/>
      <c r="AI542" s="177"/>
      <c r="AJ542" s="177"/>
      <c r="AK542" s="177"/>
      <c r="AL542" s="177"/>
      <c r="AM542" s="177"/>
      <c r="AN542" s="177"/>
    </row>
    <row r="543" spans="1:40">
      <c r="A543" s="177"/>
      <c r="B543" s="177"/>
      <c r="C543" s="177"/>
      <c r="D543" s="177"/>
      <c r="AF543" s="177"/>
      <c r="AG543" s="177"/>
      <c r="AH543" s="177"/>
      <c r="AI543" s="177"/>
      <c r="AJ543" s="177"/>
      <c r="AK543" s="177"/>
      <c r="AL543" s="177"/>
      <c r="AM543" s="177"/>
      <c r="AN543" s="177"/>
    </row>
    <row r="544" spans="1:40">
      <c r="A544" s="177"/>
      <c r="B544" s="177"/>
      <c r="C544" s="177"/>
      <c r="D544" s="177"/>
      <c r="AF544" s="177"/>
      <c r="AG544" s="177"/>
      <c r="AH544" s="177"/>
      <c r="AI544" s="177"/>
      <c r="AJ544" s="177"/>
      <c r="AK544" s="177"/>
      <c r="AL544" s="177"/>
      <c r="AM544" s="177"/>
      <c r="AN544" s="177"/>
    </row>
    <row r="545" spans="1:40">
      <c r="A545" s="177"/>
      <c r="B545" s="177"/>
      <c r="C545" s="177"/>
      <c r="D545" s="177"/>
      <c r="AF545" s="177"/>
      <c r="AG545" s="177"/>
      <c r="AH545" s="177"/>
      <c r="AI545" s="177"/>
      <c r="AJ545" s="177"/>
      <c r="AK545" s="177"/>
      <c r="AL545" s="177"/>
      <c r="AM545" s="177"/>
      <c r="AN545" s="177"/>
    </row>
    <row r="546" spans="1:40">
      <c r="A546" s="177"/>
      <c r="B546" s="177"/>
      <c r="C546" s="177"/>
      <c r="D546" s="177"/>
      <c r="AF546" s="177"/>
      <c r="AG546" s="177"/>
      <c r="AH546" s="177"/>
      <c r="AI546" s="177"/>
      <c r="AJ546" s="177"/>
      <c r="AK546" s="177"/>
      <c r="AL546" s="177"/>
      <c r="AM546" s="177"/>
      <c r="AN546" s="177"/>
    </row>
    <row r="547" spans="1:40">
      <c r="A547" s="177"/>
      <c r="B547" s="177"/>
      <c r="C547" s="177"/>
      <c r="D547" s="177"/>
      <c r="AF547" s="177"/>
      <c r="AG547" s="177"/>
      <c r="AH547" s="177"/>
      <c r="AI547" s="177"/>
      <c r="AJ547" s="177"/>
      <c r="AK547" s="177"/>
      <c r="AL547" s="177"/>
      <c r="AM547" s="177"/>
      <c r="AN547" s="177"/>
    </row>
    <row r="548" spans="1:40">
      <c r="A548" s="177"/>
      <c r="B548" s="177"/>
      <c r="C548" s="177"/>
      <c r="D548" s="177"/>
      <c r="AF548" s="177"/>
      <c r="AG548" s="177"/>
      <c r="AH548" s="177"/>
      <c r="AI548" s="177"/>
      <c r="AJ548" s="177"/>
      <c r="AK548" s="177"/>
      <c r="AL548" s="177"/>
      <c r="AM548" s="177"/>
      <c r="AN548" s="177"/>
    </row>
    <row r="549" spans="1:40">
      <c r="A549" s="177"/>
      <c r="B549" s="177"/>
      <c r="C549" s="177"/>
      <c r="D549" s="177"/>
      <c r="AF549" s="177"/>
      <c r="AG549" s="177"/>
      <c r="AH549" s="177"/>
      <c r="AI549" s="177"/>
      <c r="AJ549" s="177"/>
      <c r="AK549" s="177"/>
      <c r="AL549" s="177"/>
      <c r="AM549" s="177"/>
      <c r="AN549" s="177"/>
    </row>
    <row r="550" spans="1:40">
      <c r="A550" s="177"/>
      <c r="B550" s="177"/>
      <c r="C550" s="177"/>
      <c r="D550" s="177"/>
      <c r="AF550" s="177"/>
      <c r="AG550" s="177"/>
      <c r="AH550" s="177"/>
      <c r="AI550" s="177"/>
      <c r="AJ550" s="177"/>
      <c r="AK550" s="177"/>
      <c r="AL550" s="177"/>
      <c r="AM550" s="177"/>
      <c r="AN550" s="177"/>
    </row>
    <row r="551" spans="1:40">
      <c r="A551" s="177"/>
      <c r="B551" s="177"/>
      <c r="C551" s="177"/>
      <c r="D551" s="177"/>
      <c r="AF551" s="177"/>
      <c r="AG551" s="177"/>
      <c r="AH551" s="177"/>
      <c r="AI551" s="177"/>
      <c r="AJ551" s="177"/>
      <c r="AK551" s="177"/>
      <c r="AL551" s="177"/>
      <c r="AM551" s="177"/>
      <c r="AN551" s="177"/>
    </row>
    <row r="552" spans="1:40">
      <c r="A552" s="177"/>
      <c r="B552" s="177"/>
      <c r="C552" s="177"/>
      <c r="D552" s="177"/>
      <c r="AF552" s="177"/>
      <c r="AG552" s="177"/>
      <c r="AH552" s="177"/>
      <c r="AI552" s="177"/>
      <c r="AJ552" s="177"/>
      <c r="AK552" s="177"/>
      <c r="AL552" s="177"/>
      <c r="AM552" s="177"/>
      <c r="AN552" s="177"/>
    </row>
    <row r="553" spans="1:40">
      <c r="A553" s="177"/>
      <c r="B553" s="177"/>
      <c r="C553" s="177"/>
      <c r="D553" s="177"/>
      <c r="AF553" s="177"/>
      <c r="AG553" s="177"/>
      <c r="AH553" s="177"/>
      <c r="AI553" s="177"/>
      <c r="AJ553" s="177"/>
      <c r="AK553" s="177"/>
      <c r="AL553" s="177"/>
      <c r="AM553" s="177"/>
      <c r="AN553" s="177"/>
    </row>
    <row r="554" spans="1:40">
      <c r="A554" s="177"/>
      <c r="B554" s="177"/>
      <c r="C554" s="177"/>
      <c r="D554" s="177"/>
      <c r="AF554" s="177"/>
      <c r="AG554" s="177"/>
      <c r="AH554" s="177"/>
      <c r="AI554" s="177"/>
      <c r="AJ554" s="177"/>
      <c r="AK554" s="177"/>
      <c r="AL554" s="177"/>
      <c r="AM554" s="177"/>
      <c r="AN554" s="177"/>
    </row>
    <row r="555" spans="1:40">
      <c r="A555" s="177"/>
      <c r="B555" s="177"/>
      <c r="C555" s="177"/>
      <c r="D555" s="177"/>
      <c r="AF555" s="177"/>
      <c r="AG555" s="177"/>
      <c r="AH555" s="177"/>
      <c r="AI555" s="177"/>
      <c r="AJ555" s="177"/>
      <c r="AK555" s="177"/>
      <c r="AL555" s="177"/>
      <c r="AM555" s="177"/>
      <c r="AN555" s="177"/>
    </row>
    <row r="556" spans="1:40">
      <c r="A556" s="177"/>
      <c r="B556" s="177"/>
      <c r="C556" s="177"/>
      <c r="D556" s="177"/>
      <c r="AF556" s="177"/>
      <c r="AG556" s="177"/>
      <c r="AH556" s="177"/>
      <c r="AI556" s="177"/>
      <c r="AJ556" s="177"/>
      <c r="AK556" s="177"/>
      <c r="AL556" s="177"/>
      <c r="AM556" s="177"/>
      <c r="AN556" s="177"/>
    </row>
    <row r="557" spans="1:40">
      <c r="A557" s="177"/>
      <c r="B557" s="177"/>
      <c r="C557" s="177"/>
      <c r="D557" s="177"/>
      <c r="AF557" s="177"/>
      <c r="AG557" s="177"/>
      <c r="AH557" s="177"/>
      <c r="AI557" s="177"/>
      <c r="AJ557" s="177"/>
      <c r="AK557" s="177"/>
      <c r="AL557" s="177"/>
      <c r="AM557" s="177"/>
      <c r="AN557" s="177"/>
    </row>
    <row r="558" spans="1:40">
      <c r="A558" s="177"/>
      <c r="B558" s="177"/>
      <c r="C558" s="177"/>
      <c r="D558" s="177"/>
      <c r="AF558" s="177"/>
      <c r="AG558" s="177"/>
      <c r="AH558" s="177"/>
      <c r="AI558" s="177"/>
      <c r="AJ558" s="177"/>
      <c r="AK558" s="177"/>
      <c r="AL558" s="177"/>
      <c r="AM558" s="177"/>
      <c r="AN558" s="177"/>
    </row>
    <row r="559" spans="1:40">
      <c r="A559" s="177"/>
      <c r="B559" s="177"/>
      <c r="C559" s="177"/>
      <c r="D559" s="177"/>
      <c r="AF559" s="177"/>
      <c r="AG559" s="177"/>
      <c r="AH559" s="177"/>
      <c r="AI559" s="177"/>
      <c r="AJ559" s="177"/>
      <c r="AK559" s="177"/>
      <c r="AL559" s="177"/>
      <c r="AM559" s="177"/>
      <c r="AN559" s="177"/>
    </row>
    <row r="560" spans="1:40">
      <c r="A560" s="177"/>
      <c r="B560" s="177"/>
      <c r="C560" s="177"/>
      <c r="D560" s="177"/>
      <c r="AF560" s="177"/>
      <c r="AG560" s="177"/>
      <c r="AH560" s="177"/>
      <c r="AI560" s="177"/>
      <c r="AJ560" s="177"/>
      <c r="AK560" s="177"/>
      <c r="AL560" s="177"/>
      <c r="AM560" s="177"/>
      <c r="AN560" s="177"/>
    </row>
    <row r="561" spans="1:40">
      <c r="A561" s="177"/>
      <c r="B561" s="177"/>
      <c r="C561" s="177"/>
      <c r="D561" s="177"/>
      <c r="AF561" s="177"/>
      <c r="AG561" s="177"/>
      <c r="AH561" s="177"/>
      <c r="AI561" s="177"/>
      <c r="AJ561" s="177"/>
      <c r="AK561" s="177"/>
      <c r="AL561" s="177"/>
      <c r="AM561" s="177"/>
      <c r="AN561" s="177"/>
    </row>
    <row r="562" spans="1:40">
      <c r="A562" s="177"/>
      <c r="B562" s="177"/>
      <c r="C562" s="177"/>
      <c r="D562" s="177"/>
      <c r="AF562" s="177"/>
      <c r="AG562" s="177"/>
      <c r="AH562" s="177"/>
      <c r="AI562" s="177"/>
      <c r="AJ562" s="177"/>
      <c r="AK562" s="177"/>
      <c r="AL562" s="177"/>
      <c r="AM562" s="177"/>
      <c r="AN562" s="177"/>
    </row>
    <row r="563" spans="1:40">
      <c r="A563" s="177"/>
      <c r="B563" s="177"/>
      <c r="C563" s="177"/>
      <c r="D563" s="177"/>
      <c r="AF563" s="177"/>
      <c r="AG563" s="177"/>
      <c r="AH563" s="177"/>
      <c r="AI563" s="177"/>
      <c r="AJ563" s="177"/>
      <c r="AK563" s="177"/>
      <c r="AL563" s="177"/>
      <c r="AM563" s="177"/>
      <c r="AN563" s="177"/>
    </row>
    <row r="564" spans="1:40">
      <c r="A564" s="177"/>
      <c r="B564" s="177"/>
      <c r="C564" s="177"/>
      <c r="D564" s="177"/>
      <c r="AF564" s="177"/>
      <c r="AG564" s="177"/>
      <c r="AH564" s="177"/>
      <c r="AI564" s="177"/>
      <c r="AJ564" s="177"/>
      <c r="AK564" s="177"/>
      <c r="AL564" s="177"/>
      <c r="AM564" s="177"/>
      <c r="AN564" s="177"/>
    </row>
    <row r="565" spans="1:40">
      <c r="A565" s="177"/>
      <c r="B565" s="177"/>
      <c r="C565" s="177"/>
      <c r="D565" s="177"/>
      <c r="AF565" s="177"/>
      <c r="AG565" s="177"/>
      <c r="AH565" s="177"/>
      <c r="AI565" s="177"/>
      <c r="AJ565" s="177"/>
      <c r="AK565" s="177"/>
      <c r="AL565" s="177"/>
      <c r="AM565" s="177"/>
      <c r="AN565" s="177"/>
    </row>
    <row r="566" spans="1:40">
      <c r="A566" s="177"/>
      <c r="B566" s="177"/>
      <c r="C566" s="177"/>
      <c r="D566" s="177"/>
      <c r="AF566" s="177"/>
      <c r="AG566" s="177"/>
      <c r="AH566" s="177"/>
      <c r="AI566" s="177"/>
      <c r="AJ566" s="177"/>
      <c r="AK566" s="177"/>
      <c r="AL566" s="177"/>
      <c r="AM566" s="177"/>
      <c r="AN566" s="177"/>
    </row>
    <row r="567" spans="1:40">
      <c r="A567" s="177"/>
      <c r="B567" s="177"/>
      <c r="C567" s="177"/>
      <c r="D567" s="177"/>
      <c r="AF567" s="177"/>
      <c r="AG567" s="177"/>
      <c r="AH567" s="177"/>
      <c r="AI567" s="177"/>
      <c r="AJ567" s="177"/>
      <c r="AK567" s="177"/>
      <c r="AL567" s="177"/>
      <c r="AM567" s="177"/>
      <c r="AN567" s="177"/>
    </row>
    <row r="568" spans="1:40">
      <c r="A568" s="177"/>
      <c r="B568" s="177"/>
      <c r="C568" s="177"/>
      <c r="D568" s="177"/>
      <c r="AF568" s="177"/>
      <c r="AG568" s="177"/>
      <c r="AH568" s="177"/>
      <c r="AI568" s="177"/>
      <c r="AJ568" s="177"/>
      <c r="AK568" s="177"/>
      <c r="AL568" s="177"/>
      <c r="AM568" s="177"/>
      <c r="AN568" s="177"/>
    </row>
    <row r="569" spans="1:40">
      <c r="A569" s="177"/>
      <c r="B569" s="177"/>
      <c r="C569" s="177"/>
      <c r="D569" s="177"/>
      <c r="AF569" s="177"/>
      <c r="AG569" s="177"/>
      <c r="AH569" s="177"/>
      <c r="AI569" s="177"/>
      <c r="AJ569" s="177"/>
      <c r="AK569" s="177"/>
      <c r="AL569" s="177"/>
      <c r="AM569" s="177"/>
      <c r="AN569" s="177"/>
    </row>
    <row r="570" spans="1:40">
      <c r="A570" s="177"/>
      <c r="B570" s="177"/>
      <c r="C570" s="177"/>
      <c r="D570" s="177"/>
      <c r="AF570" s="177"/>
      <c r="AG570" s="177"/>
      <c r="AH570" s="177"/>
      <c r="AI570" s="177"/>
      <c r="AJ570" s="177"/>
      <c r="AK570" s="177"/>
      <c r="AL570" s="177"/>
      <c r="AM570" s="177"/>
      <c r="AN570" s="177"/>
    </row>
    <row r="571" spans="1:40">
      <c r="A571" s="177"/>
      <c r="B571" s="177"/>
      <c r="C571" s="177"/>
      <c r="D571" s="177"/>
      <c r="AF571" s="177"/>
      <c r="AG571" s="177"/>
      <c r="AH571" s="177"/>
      <c r="AI571" s="177"/>
      <c r="AJ571" s="177"/>
      <c r="AK571" s="177"/>
      <c r="AL571" s="177"/>
      <c r="AM571" s="177"/>
      <c r="AN571" s="177"/>
    </row>
    <row r="572" spans="1:40">
      <c r="A572" s="177"/>
      <c r="B572" s="177"/>
      <c r="C572" s="177"/>
      <c r="D572" s="177"/>
      <c r="AF572" s="177"/>
      <c r="AG572" s="177"/>
      <c r="AH572" s="177"/>
      <c r="AI572" s="177"/>
      <c r="AJ572" s="177"/>
      <c r="AK572" s="177"/>
      <c r="AL572" s="177"/>
      <c r="AM572" s="177"/>
      <c r="AN572" s="177"/>
    </row>
    <row r="573" spans="1:40">
      <c r="A573" s="177"/>
      <c r="B573" s="177"/>
      <c r="C573" s="177"/>
      <c r="D573" s="177"/>
      <c r="AF573" s="177"/>
      <c r="AG573" s="177"/>
      <c r="AH573" s="177"/>
      <c r="AI573" s="177"/>
      <c r="AJ573" s="177"/>
      <c r="AK573" s="177"/>
      <c r="AL573" s="177"/>
      <c r="AM573" s="177"/>
      <c r="AN573" s="177"/>
    </row>
    <row r="574" spans="1:40">
      <c r="A574" s="177"/>
      <c r="B574" s="177"/>
      <c r="C574" s="177"/>
      <c r="D574" s="177"/>
      <c r="AF574" s="177"/>
      <c r="AG574" s="177"/>
      <c r="AH574" s="177"/>
      <c r="AI574" s="177"/>
      <c r="AJ574" s="177"/>
      <c r="AK574" s="177"/>
      <c r="AL574" s="177"/>
      <c r="AM574" s="177"/>
      <c r="AN574" s="177"/>
    </row>
    <row r="575" spans="1:40">
      <c r="A575" s="177"/>
      <c r="B575" s="177"/>
      <c r="C575" s="177"/>
      <c r="D575" s="177"/>
      <c r="AF575" s="177"/>
      <c r="AG575" s="177"/>
      <c r="AH575" s="177"/>
      <c r="AI575" s="177"/>
      <c r="AJ575" s="177"/>
      <c r="AK575" s="177"/>
      <c r="AL575" s="177"/>
      <c r="AM575" s="177"/>
      <c r="AN575" s="177"/>
    </row>
    <row r="576" spans="1:40">
      <c r="A576" s="177"/>
      <c r="B576" s="177"/>
      <c r="C576" s="177"/>
      <c r="D576" s="177"/>
      <c r="AF576" s="177"/>
      <c r="AG576" s="177"/>
      <c r="AH576" s="177"/>
      <c r="AI576" s="177"/>
      <c r="AJ576" s="177"/>
      <c r="AK576" s="177"/>
      <c r="AL576" s="177"/>
      <c r="AM576" s="177"/>
      <c r="AN576" s="177"/>
    </row>
    <row r="577" spans="1:40">
      <c r="A577" s="177"/>
      <c r="B577" s="177"/>
      <c r="C577" s="177"/>
      <c r="D577" s="177"/>
      <c r="AF577" s="177"/>
      <c r="AG577" s="177"/>
      <c r="AH577" s="177"/>
      <c r="AI577" s="177"/>
      <c r="AJ577" s="177"/>
      <c r="AK577" s="177"/>
      <c r="AL577" s="177"/>
      <c r="AM577" s="177"/>
      <c r="AN577" s="177"/>
    </row>
    <row r="578" spans="1:40">
      <c r="A578" s="177"/>
      <c r="B578" s="177"/>
      <c r="C578" s="177"/>
      <c r="D578" s="177"/>
      <c r="AF578" s="177"/>
      <c r="AG578" s="177"/>
      <c r="AH578" s="177"/>
      <c r="AI578" s="177"/>
      <c r="AJ578" s="177"/>
      <c r="AK578" s="177"/>
      <c r="AL578" s="177"/>
      <c r="AM578" s="177"/>
      <c r="AN578" s="177"/>
    </row>
    <row r="579" spans="1:40">
      <c r="A579" s="177"/>
      <c r="B579" s="177"/>
      <c r="C579" s="177"/>
      <c r="D579" s="177"/>
      <c r="AF579" s="177"/>
      <c r="AG579" s="177"/>
      <c r="AH579" s="177"/>
      <c r="AI579" s="177"/>
      <c r="AJ579" s="177"/>
      <c r="AK579" s="177"/>
      <c r="AL579" s="177"/>
      <c r="AM579" s="177"/>
      <c r="AN579" s="177"/>
    </row>
    <row r="580" spans="1:40">
      <c r="A580" s="177"/>
      <c r="B580" s="177"/>
      <c r="C580" s="177"/>
      <c r="D580" s="177"/>
      <c r="AF580" s="177"/>
      <c r="AG580" s="177"/>
      <c r="AH580" s="177"/>
      <c r="AI580" s="177"/>
      <c r="AJ580" s="177"/>
      <c r="AK580" s="177"/>
      <c r="AL580" s="177"/>
      <c r="AM580" s="177"/>
      <c r="AN580" s="177"/>
    </row>
    <row r="581" spans="1:40">
      <c r="A581" s="177"/>
      <c r="B581" s="177"/>
      <c r="C581" s="177"/>
      <c r="D581" s="177"/>
      <c r="AF581" s="177"/>
      <c r="AG581" s="177"/>
      <c r="AH581" s="177"/>
      <c r="AI581" s="177"/>
      <c r="AJ581" s="177"/>
      <c r="AK581" s="177"/>
      <c r="AL581" s="177"/>
      <c r="AM581" s="177"/>
      <c r="AN581" s="177"/>
    </row>
    <row r="582" spans="1:40">
      <c r="A582" s="177"/>
      <c r="B582" s="177"/>
      <c r="C582" s="177"/>
      <c r="D582" s="177"/>
      <c r="AF582" s="177"/>
      <c r="AG582" s="177"/>
      <c r="AH582" s="177"/>
      <c r="AI582" s="177"/>
      <c r="AJ582" s="177"/>
      <c r="AK582" s="177"/>
      <c r="AL582" s="177"/>
      <c r="AM582" s="177"/>
      <c r="AN582" s="177"/>
    </row>
    <row r="583" spans="1:40">
      <c r="A583" s="177"/>
      <c r="B583" s="177"/>
      <c r="C583" s="177"/>
      <c r="D583" s="177"/>
      <c r="AF583" s="177"/>
      <c r="AG583" s="177"/>
      <c r="AH583" s="177"/>
      <c r="AI583" s="177"/>
      <c r="AJ583" s="177"/>
      <c r="AK583" s="177"/>
      <c r="AL583" s="177"/>
      <c r="AM583" s="177"/>
      <c r="AN583" s="177"/>
    </row>
    <row r="584" spans="1:40">
      <c r="A584" s="177"/>
      <c r="B584" s="177"/>
      <c r="C584" s="177"/>
      <c r="D584" s="177"/>
      <c r="AF584" s="177"/>
      <c r="AG584" s="177"/>
      <c r="AH584" s="177"/>
      <c r="AI584" s="177"/>
      <c r="AJ584" s="177"/>
      <c r="AK584" s="177"/>
      <c r="AL584" s="177"/>
      <c r="AM584" s="177"/>
      <c r="AN584" s="177"/>
    </row>
    <row r="585" spans="1:40">
      <c r="A585" s="177"/>
      <c r="B585" s="177"/>
      <c r="C585" s="177"/>
      <c r="D585" s="177"/>
      <c r="AF585" s="177"/>
      <c r="AG585" s="177"/>
      <c r="AH585" s="177"/>
      <c r="AI585" s="177"/>
      <c r="AJ585" s="177"/>
      <c r="AK585" s="177"/>
      <c r="AL585" s="177"/>
      <c r="AM585" s="177"/>
      <c r="AN585" s="177"/>
    </row>
    <row r="586" spans="1:40">
      <c r="A586" s="177"/>
      <c r="B586" s="177"/>
      <c r="C586" s="177"/>
      <c r="D586" s="177"/>
      <c r="AF586" s="177"/>
      <c r="AG586" s="177"/>
      <c r="AH586" s="177"/>
      <c r="AI586" s="177"/>
      <c r="AJ586" s="177"/>
      <c r="AK586" s="177"/>
      <c r="AL586" s="177"/>
      <c r="AM586" s="177"/>
      <c r="AN586" s="177"/>
    </row>
    <row r="587" spans="1:40">
      <c r="A587" s="177"/>
      <c r="B587" s="177"/>
      <c r="C587" s="177"/>
      <c r="D587" s="177"/>
      <c r="AF587" s="177"/>
      <c r="AG587" s="177"/>
      <c r="AH587" s="177"/>
      <c r="AI587" s="177"/>
      <c r="AJ587" s="177"/>
      <c r="AK587" s="177"/>
      <c r="AL587" s="177"/>
      <c r="AM587" s="177"/>
      <c r="AN587" s="177"/>
    </row>
    <row r="588" spans="1:40">
      <c r="A588" s="177"/>
      <c r="B588" s="177"/>
      <c r="C588" s="177"/>
      <c r="D588" s="177"/>
      <c r="AF588" s="177"/>
      <c r="AG588" s="177"/>
      <c r="AH588" s="177"/>
      <c r="AI588" s="177"/>
      <c r="AJ588" s="177"/>
      <c r="AK588" s="177"/>
      <c r="AL588" s="177"/>
      <c r="AM588" s="177"/>
      <c r="AN588" s="177"/>
    </row>
    <row r="589" spans="1:40">
      <c r="A589" s="177"/>
      <c r="B589" s="177"/>
      <c r="C589" s="177"/>
      <c r="D589" s="177"/>
      <c r="AF589" s="177"/>
      <c r="AG589" s="177"/>
      <c r="AH589" s="177"/>
      <c r="AI589" s="177"/>
      <c r="AJ589" s="177"/>
      <c r="AK589" s="177"/>
      <c r="AL589" s="177"/>
      <c r="AM589" s="177"/>
      <c r="AN589" s="177"/>
    </row>
    <row r="590" spans="1:40">
      <c r="A590" s="177"/>
      <c r="B590" s="177"/>
      <c r="C590" s="177"/>
      <c r="D590" s="177"/>
      <c r="AF590" s="177"/>
      <c r="AG590" s="177"/>
      <c r="AH590" s="177"/>
      <c r="AI590" s="177"/>
      <c r="AJ590" s="177"/>
      <c r="AK590" s="177"/>
      <c r="AL590" s="177"/>
      <c r="AM590" s="177"/>
      <c r="AN590" s="177"/>
    </row>
    <row r="591" spans="1:40">
      <c r="A591" s="177"/>
      <c r="B591" s="177"/>
      <c r="C591" s="177"/>
      <c r="D591" s="177"/>
      <c r="AF591" s="177"/>
      <c r="AG591" s="177"/>
      <c r="AH591" s="177"/>
      <c r="AI591" s="177"/>
      <c r="AJ591" s="177"/>
      <c r="AK591" s="177"/>
      <c r="AL591" s="177"/>
      <c r="AM591" s="177"/>
      <c r="AN591" s="177"/>
    </row>
    <row r="592" spans="1:40">
      <c r="A592" s="177"/>
      <c r="B592" s="177"/>
      <c r="C592" s="177"/>
      <c r="D592" s="177"/>
      <c r="AF592" s="177"/>
      <c r="AG592" s="177"/>
      <c r="AH592" s="177"/>
      <c r="AI592" s="177"/>
      <c r="AJ592" s="177"/>
      <c r="AK592" s="177"/>
      <c r="AL592" s="177"/>
      <c r="AM592" s="177"/>
      <c r="AN592" s="177"/>
    </row>
    <row r="593" spans="1:40">
      <c r="A593" s="177"/>
      <c r="B593" s="177"/>
      <c r="C593" s="177"/>
      <c r="D593" s="177"/>
      <c r="AF593" s="177"/>
      <c r="AG593" s="177"/>
      <c r="AH593" s="177"/>
      <c r="AI593" s="177"/>
      <c r="AJ593" s="177"/>
      <c r="AK593" s="177"/>
      <c r="AL593" s="177"/>
      <c r="AM593" s="177"/>
      <c r="AN593" s="177"/>
    </row>
    <row r="594" spans="1:40">
      <c r="A594" s="177"/>
      <c r="B594" s="177"/>
      <c r="C594" s="177"/>
      <c r="D594" s="177"/>
      <c r="AF594" s="177"/>
      <c r="AG594" s="177"/>
      <c r="AH594" s="177"/>
      <c r="AI594" s="177"/>
      <c r="AJ594" s="177"/>
      <c r="AK594" s="177"/>
      <c r="AL594" s="177"/>
      <c r="AM594" s="177"/>
      <c r="AN594" s="177"/>
    </row>
    <row r="595" spans="1:40">
      <c r="A595" s="177"/>
      <c r="B595" s="177"/>
      <c r="C595" s="177"/>
      <c r="D595" s="177"/>
      <c r="AF595" s="177"/>
      <c r="AG595" s="177"/>
      <c r="AH595" s="177"/>
      <c r="AI595" s="177"/>
      <c r="AJ595" s="177"/>
      <c r="AK595" s="177"/>
      <c r="AL595" s="177"/>
      <c r="AM595" s="177"/>
      <c r="AN595" s="177"/>
    </row>
    <row r="596" spans="1:40">
      <c r="A596" s="177"/>
      <c r="B596" s="177"/>
      <c r="C596" s="177"/>
      <c r="D596" s="177"/>
      <c r="AF596" s="177"/>
      <c r="AG596" s="177"/>
      <c r="AH596" s="177"/>
      <c r="AI596" s="177"/>
      <c r="AJ596" s="177"/>
      <c r="AK596" s="177"/>
      <c r="AL596" s="177"/>
      <c r="AM596" s="177"/>
      <c r="AN596" s="177"/>
    </row>
    <row r="597" spans="1:40">
      <c r="A597" s="177"/>
      <c r="B597" s="177"/>
      <c r="C597" s="177"/>
      <c r="D597" s="177"/>
      <c r="AF597" s="177"/>
      <c r="AG597" s="177"/>
      <c r="AH597" s="177"/>
      <c r="AI597" s="177"/>
      <c r="AJ597" s="177"/>
      <c r="AK597" s="177"/>
      <c r="AL597" s="177"/>
      <c r="AM597" s="177"/>
      <c r="AN597" s="177"/>
    </row>
    <row r="598" spans="1:40">
      <c r="A598" s="177"/>
      <c r="B598" s="177"/>
      <c r="C598" s="177"/>
      <c r="D598" s="177"/>
      <c r="AF598" s="177"/>
      <c r="AG598" s="177"/>
      <c r="AH598" s="177"/>
      <c r="AI598" s="177"/>
      <c r="AJ598" s="177"/>
      <c r="AK598" s="177"/>
      <c r="AL598" s="177"/>
      <c r="AM598" s="177"/>
      <c r="AN598" s="177"/>
    </row>
    <row r="599" spans="1:40">
      <c r="A599" s="177"/>
      <c r="B599" s="177"/>
      <c r="C599" s="177"/>
      <c r="D599" s="177"/>
      <c r="AF599" s="177"/>
      <c r="AG599" s="177"/>
      <c r="AH599" s="177"/>
      <c r="AI599" s="177"/>
      <c r="AJ599" s="177"/>
      <c r="AK599" s="177"/>
      <c r="AL599" s="177"/>
      <c r="AM599" s="177"/>
      <c r="AN599" s="177"/>
    </row>
    <row r="600" spans="1:40">
      <c r="A600" s="177"/>
      <c r="B600" s="177"/>
      <c r="C600" s="177"/>
      <c r="D600" s="177"/>
      <c r="AF600" s="177"/>
      <c r="AG600" s="177"/>
      <c r="AH600" s="177"/>
      <c r="AI600" s="177"/>
      <c r="AJ600" s="177"/>
      <c r="AK600" s="177"/>
      <c r="AL600" s="177"/>
      <c r="AM600" s="177"/>
      <c r="AN600" s="177"/>
    </row>
    <row r="601" spans="1:40">
      <c r="A601" s="177"/>
      <c r="B601" s="177"/>
      <c r="C601" s="177"/>
      <c r="D601" s="177"/>
      <c r="AF601" s="177"/>
      <c r="AG601" s="177"/>
      <c r="AH601" s="177"/>
      <c r="AI601" s="177"/>
      <c r="AJ601" s="177"/>
      <c r="AK601" s="177"/>
      <c r="AL601" s="177"/>
      <c r="AM601" s="177"/>
      <c r="AN601" s="177"/>
    </row>
    <row r="602" spans="1:40">
      <c r="A602" s="177"/>
      <c r="B602" s="177"/>
      <c r="C602" s="177"/>
      <c r="D602" s="177"/>
      <c r="AF602" s="177"/>
      <c r="AG602" s="177"/>
      <c r="AH602" s="177"/>
      <c r="AI602" s="177"/>
      <c r="AJ602" s="177"/>
      <c r="AK602" s="177"/>
      <c r="AL602" s="177"/>
      <c r="AM602" s="177"/>
      <c r="AN602" s="177"/>
    </row>
    <row r="603" spans="1:40">
      <c r="A603" s="177"/>
      <c r="B603" s="177"/>
      <c r="C603" s="177"/>
      <c r="D603" s="177"/>
      <c r="AF603" s="177"/>
      <c r="AG603" s="177"/>
      <c r="AH603" s="177"/>
      <c r="AI603" s="177"/>
      <c r="AJ603" s="177"/>
      <c r="AK603" s="177"/>
      <c r="AL603" s="177"/>
      <c r="AM603" s="177"/>
      <c r="AN603" s="177"/>
    </row>
    <row r="604" spans="1:40">
      <c r="A604" s="177"/>
      <c r="B604" s="177"/>
      <c r="C604" s="177"/>
      <c r="D604" s="177"/>
      <c r="AF604" s="177"/>
      <c r="AG604" s="177"/>
      <c r="AH604" s="177"/>
      <c r="AI604" s="177"/>
      <c r="AJ604" s="177"/>
      <c r="AK604" s="177"/>
      <c r="AL604" s="177"/>
      <c r="AM604" s="177"/>
      <c r="AN604" s="177"/>
    </row>
    <row r="605" spans="1:40">
      <c r="A605" s="177"/>
      <c r="B605" s="177"/>
      <c r="C605" s="177"/>
      <c r="D605" s="177"/>
      <c r="AF605" s="177"/>
      <c r="AG605" s="177"/>
      <c r="AH605" s="177"/>
      <c r="AI605" s="177"/>
      <c r="AJ605" s="177"/>
      <c r="AK605" s="177"/>
      <c r="AL605" s="177"/>
      <c r="AM605" s="177"/>
      <c r="AN605" s="177"/>
    </row>
    <row r="606" spans="1:40">
      <c r="A606" s="177"/>
      <c r="B606" s="177"/>
      <c r="C606" s="177"/>
      <c r="D606" s="177"/>
      <c r="AF606" s="177"/>
      <c r="AG606" s="177"/>
      <c r="AH606" s="177"/>
      <c r="AI606" s="177"/>
      <c r="AJ606" s="177"/>
      <c r="AK606" s="177"/>
      <c r="AL606" s="177"/>
      <c r="AM606" s="177"/>
      <c r="AN606" s="177"/>
    </row>
    <row r="607" spans="1:40">
      <c r="A607" s="177"/>
      <c r="B607" s="177"/>
      <c r="C607" s="177"/>
      <c r="D607" s="177"/>
      <c r="AF607" s="177"/>
      <c r="AG607" s="177"/>
      <c r="AH607" s="177"/>
      <c r="AI607" s="177"/>
      <c r="AJ607" s="177"/>
      <c r="AK607" s="177"/>
      <c r="AL607" s="177"/>
      <c r="AM607" s="177"/>
      <c r="AN607" s="177"/>
    </row>
    <row r="608" spans="1:40">
      <c r="A608" s="177"/>
      <c r="B608" s="177"/>
      <c r="C608" s="177"/>
      <c r="D608" s="177"/>
      <c r="AF608" s="177"/>
      <c r="AG608" s="177"/>
      <c r="AH608" s="177"/>
      <c r="AI608" s="177"/>
      <c r="AJ608" s="177"/>
      <c r="AK608" s="177"/>
      <c r="AL608" s="177"/>
      <c r="AM608" s="177"/>
      <c r="AN608" s="177"/>
    </row>
    <row r="609" spans="1:40">
      <c r="A609" s="177"/>
      <c r="B609" s="177"/>
      <c r="C609" s="177"/>
      <c r="D609" s="177"/>
      <c r="AF609" s="177"/>
      <c r="AG609" s="177"/>
      <c r="AH609" s="177"/>
      <c r="AI609" s="177"/>
      <c r="AJ609" s="177"/>
      <c r="AK609" s="177"/>
      <c r="AL609" s="177"/>
      <c r="AM609" s="177"/>
      <c r="AN609" s="177"/>
    </row>
    <row r="610" spans="1:40">
      <c r="A610" s="177"/>
      <c r="B610" s="177"/>
      <c r="C610" s="177"/>
      <c r="D610" s="177"/>
      <c r="AF610" s="177"/>
      <c r="AG610" s="177"/>
      <c r="AH610" s="177"/>
      <c r="AI610" s="177"/>
      <c r="AJ610" s="177"/>
      <c r="AK610" s="177"/>
      <c r="AL610" s="177"/>
      <c r="AM610" s="177"/>
      <c r="AN610" s="177"/>
    </row>
    <row r="611" spans="1:40">
      <c r="A611" s="177"/>
      <c r="B611" s="177"/>
      <c r="C611" s="177"/>
      <c r="D611" s="177"/>
      <c r="AF611" s="177"/>
      <c r="AG611" s="177"/>
      <c r="AH611" s="177"/>
      <c r="AI611" s="177"/>
      <c r="AJ611" s="177"/>
      <c r="AK611" s="177"/>
      <c r="AL611" s="177"/>
      <c r="AM611" s="177"/>
      <c r="AN611" s="177"/>
    </row>
    <row r="612" spans="1:40">
      <c r="A612" s="177"/>
      <c r="B612" s="177"/>
      <c r="C612" s="177"/>
      <c r="D612" s="177"/>
      <c r="AF612" s="177"/>
      <c r="AG612" s="177"/>
      <c r="AH612" s="177"/>
      <c r="AI612" s="177"/>
      <c r="AJ612" s="177"/>
      <c r="AK612" s="177"/>
      <c r="AL612" s="177"/>
      <c r="AM612" s="177"/>
      <c r="AN612" s="177"/>
    </row>
    <row r="613" spans="1:40">
      <c r="A613" s="177"/>
      <c r="B613" s="177"/>
      <c r="C613" s="177"/>
      <c r="D613" s="177"/>
      <c r="AF613" s="177"/>
      <c r="AG613" s="177"/>
      <c r="AH613" s="177"/>
      <c r="AI613" s="177"/>
      <c r="AJ613" s="177"/>
      <c r="AK613" s="177"/>
      <c r="AL613" s="177"/>
      <c r="AM613" s="177"/>
      <c r="AN613" s="177"/>
    </row>
    <row r="614" spans="1:40">
      <c r="A614" s="177"/>
      <c r="B614" s="177"/>
      <c r="C614" s="177"/>
      <c r="D614" s="177"/>
      <c r="AF614" s="177"/>
      <c r="AG614" s="177"/>
      <c r="AH614" s="177"/>
      <c r="AI614" s="177"/>
      <c r="AJ614" s="177"/>
      <c r="AK614" s="177"/>
      <c r="AL614" s="177"/>
      <c r="AM614" s="177"/>
      <c r="AN614" s="177"/>
    </row>
    <row r="615" spans="1:40">
      <c r="A615" s="177"/>
      <c r="B615" s="177"/>
      <c r="C615" s="177"/>
      <c r="D615" s="177"/>
      <c r="AF615" s="177"/>
      <c r="AG615" s="177"/>
      <c r="AH615" s="177"/>
      <c r="AI615" s="177"/>
      <c r="AJ615" s="177"/>
      <c r="AK615" s="177"/>
      <c r="AL615" s="177"/>
      <c r="AM615" s="177"/>
      <c r="AN615" s="177"/>
    </row>
    <row r="616" spans="1:40">
      <c r="A616" s="177"/>
      <c r="B616" s="177"/>
      <c r="C616" s="177"/>
      <c r="D616" s="177"/>
      <c r="AF616" s="177"/>
      <c r="AG616" s="177"/>
      <c r="AH616" s="177"/>
      <c r="AI616" s="177"/>
      <c r="AJ616" s="177"/>
      <c r="AK616" s="177"/>
      <c r="AL616" s="177"/>
      <c r="AM616" s="177"/>
      <c r="AN616" s="177"/>
    </row>
    <row r="617" spans="1:40">
      <c r="A617" s="177"/>
      <c r="B617" s="177"/>
      <c r="C617" s="177"/>
      <c r="D617" s="177"/>
      <c r="AF617" s="177"/>
      <c r="AG617" s="177"/>
      <c r="AH617" s="177"/>
      <c r="AI617" s="177"/>
      <c r="AJ617" s="177"/>
      <c r="AK617" s="177"/>
      <c r="AL617" s="177"/>
      <c r="AM617" s="177"/>
      <c r="AN617" s="177"/>
    </row>
    <row r="618" spans="1:40">
      <c r="A618" s="177"/>
      <c r="B618" s="177"/>
      <c r="C618" s="177"/>
      <c r="D618" s="177"/>
      <c r="AF618" s="177"/>
      <c r="AG618" s="177"/>
      <c r="AH618" s="177"/>
      <c r="AI618" s="177"/>
      <c r="AJ618" s="177"/>
      <c r="AK618" s="177"/>
      <c r="AL618" s="177"/>
      <c r="AM618" s="177"/>
      <c r="AN618" s="177"/>
    </row>
    <row r="619" spans="1:40">
      <c r="A619" s="177"/>
      <c r="B619" s="177"/>
      <c r="C619" s="177"/>
      <c r="D619" s="177"/>
      <c r="AF619" s="177"/>
      <c r="AG619" s="177"/>
      <c r="AH619" s="177"/>
      <c r="AI619" s="177"/>
      <c r="AJ619" s="177"/>
      <c r="AK619" s="177"/>
      <c r="AL619" s="177"/>
      <c r="AM619" s="177"/>
      <c r="AN619" s="177"/>
    </row>
    <row r="620" spans="1:40">
      <c r="A620" s="177"/>
      <c r="B620" s="177"/>
      <c r="C620" s="177"/>
      <c r="D620" s="177"/>
      <c r="AF620" s="177"/>
      <c r="AG620" s="177"/>
      <c r="AH620" s="177"/>
      <c r="AI620" s="177"/>
      <c r="AJ620" s="177"/>
      <c r="AK620" s="177"/>
      <c r="AL620" s="177"/>
      <c r="AM620" s="177"/>
      <c r="AN620" s="177"/>
    </row>
    <row r="621" spans="1:40">
      <c r="A621" s="177"/>
      <c r="B621" s="177"/>
      <c r="C621" s="177"/>
      <c r="D621" s="177"/>
      <c r="AF621" s="177"/>
      <c r="AG621" s="177"/>
      <c r="AH621" s="177"/>
      <c r="AI621" s="177"/>
      <c r="AJ621" s="177"/>
      <c r="AK621" s="177"/>
      <c r="AL621" s="177"/>
      <c r="AM621" s="177"/>
      <c r="AN621" s="177"/>
    </row>
    <row r="622" spans="1:40">
      <c r="A622" s="177"/>
      <c r="B622" s="177"/>
      <c r="C622" s="177"/>
      <c r="D622" s="177"/>
      <c r="AF622" s="177"/>
      <c r="AG622" s="177"/>
      <c r="AH622" s="177"/>
      <c r="AI622" s="177"/>
      <c r="AJ622" s="177"/>
      <c r="AK622" s="177"/>
      <c r="AL622" s="177"/>
      <c r="AM622" s="177"/>
      <c r="AN622" s="177"/>
    </row>
    <row r="623" spans="1:40">
      <c r="A623" s="177"/>
      <c r="B623" s="177"/>
      <c r="C623" s="177"/>
      <c r="D623" s="177"/>
      <c r="AF623" s="177"/>
      <c r="AG623" s="177"/>
      <c r="AH623" s="177"/>
      <c r="AI623" s="177"/>
      <c r="AJ623" s="177"/>
      <c r="AK623" s="177"/>
      <c r="AL623" s="177"/>
      <c r="AM623" s="177"/>
      <c r="AN623" s="177"/>
    </row>
    <row r="624" spans="1:40">
      <c r="A624" s="177"/>
      <c r="B624" s="177"/>
      <c r="C624" s="177"/>
      <c r="D624" s="177"/>
      <c r="AF624" s="177"/>
      <c r="AG624" s="177"/>
      <c r="AH624" s="177"/>
      <c r="AI624" s="177"/>
      <c r="AJ624" s="177"/>
      <c r="AK624" s="177"/>
      <c r="AL624" s="177"/>
      <c r="AM624" s="177"/>
      <c r="AN624" s="177"/>
    </row>
    <row r="625" spans="1:40">
      <c r="A625" s="177"/>
      <c r="B625" s="177"/>
      <c r="C625" s="177"/>
      <c r="D625" s="177"/>
      <c r="AF625" s="177"/>
      <c r="AG625" s="177"/>
      <c r="AH625" s="177"/>
      <c r="AI625" s="177"/>
      <c r="AJ625" s="177"/>
      <c r="AK625" s="177"/>
      <c r="AL625" s="177"/>
      <c r="AM625" s="177"/>
      <c r="AN625" s="177"/>
    </row>
    <row r="626" spans="1:40">
      <c r="A626" s="177"/>
      <c r="B626" s="177"/>
      <c r="C626" s="177"/>
      <c r="D626" s="177"/>
      <c r="AF626" s="177"/>
      <c r="AG626" s="177"/>
      <c r="AH626" s="177"/>
      <c r="AI626" s="177"/>
      <c r="AJ626" s="177"/>
      <c r="AK626" s="177"/>
      <c r="AL626" s="177"/>
      <c r="AM626" s="177"/>
      <c r="AN626" s="177"/>
    </row>
    <row r="627" spans="1:40">
      <c r="A627" s="177"/>
      <c r="B627" s="177"/>
      <c r="C627" s="177"/>
      <c r="D627" s="177"/>
      <c r="AF627" s="177"/>
      <c r="AG627" s="177"/>
      <c r="AH627" s="177"/>
      <c r="AI627" s="177"/>
      <c r="AJ627" s="177"/>
      <c r="AK627" s="177"/>
      <c r="AL627" s="177"/>
      <c r="AM627" s="177"/>
      <c r="AN627" s="177"/>
    </row>
    <row r="628" spans="1:40">
      <c r="A628" s="177"/>
      <c r="B628" s="177"/>
      <c r="C628" s="177"/>
      <c r="D628" s="177"/>
      <c r="AF628" s="177"/>
      <c r="AG628" s="177"/>
      <c r="AH628" s="177"/>
      <c r="AI628" s="177"/>
      <c r="AJ628" s="177"/>
      <c r="AK628" s="177"/>
      <c r="AL628" s="177"/>
      <c r="AM628" s="177"/>
      <c r="AN628" s="177"/>
    </row>
    <row r="629" spans="1:40">
      <c r="A629" s="177"/>
      <c r="B629" s="177"/>
      <c r="C629" s="177"/>
      <c r="D629" s="177"/>
      <c r="AF629" s="177"/>
      <c r="AG629" s="177"/>
      <c r="AH629" s="177"/>
      <c r="AI629" s="177"/>
      <c r="AJ629" s="177"/>
      <c r="AK629" s="177"/>
      <c r="AL629" s="177"/>
      <c r="AM629" s="177"/>
      <c r="AN629" s="177"/>
    </row>
    <row r="630" spans="1:40">
      <c r="A630" s="177"/>
      <c r="B630" s="177"/>
      <c r="C630" s="177"/>
      <c r="D630" s="177"/>
      <c r="AF630" s="177"/>
      <c r="AG630" s="177"/>
      <c r="AH630" s="177"/>
      <c r="AI630" s="177"/>
      <c r="AJ630" s="177"/>
      <c r="AK630" s="177"/>
      <c r="AL630" s="177"/>
      <c r="AM630" s="177"/>
      <c r="AN630" s="177"/>
    </row>
    <row r="631" spans="1:40">
      <c r="A631" s="177"/>
      <c r="B631" s="177"/>
      <c r="C631" s="177"/>
      <c r="D631" s="177"/>
      <c r="AF631" s="177"/>
      <c r="AG631" s="177"/>
      <c r="AH631" s="177"/>
      <c r="AI631" s="177"/>
      <c r="AJ631" s="177"/>
      <c r="AK631" s="177"/>
      <c r="AL631" s="177"/>
      <c r="AM631" s="177"/>
      <c r="AN631" s="177"/>
    </row>
    <row r="632" spans="1:40">
      <c r="A632" s="177"/>
      <c r="B632" s="177"/>
      <c r="C632" s="177"/>
      <c r="D632" s="177"/>
      <c r="AF632" s="177"/>
      <c r="AG632" s="177"/>
      <c r="AH632" s="177"/>
      <c r="AI632" s="177"/>
      <c r="AJ632" s="177"/>
      <c r="AK632" s="177"/>
      <c r="AL632" s="177"/>
      <c r="AM632" s="177"/>
      <c r="AN632" s="177"/>
    </row>
    <row r="633" spans="1:40">
      <c r="A633" s="177"/>
      <c r="B633" s="177"/>
      <c r="C633" s="177"/>
      <c r="D633" s="177"/>
      <c r="AF633" s="177"/>
      <c r="AG633" s="177"/>
      <c r="AH633" s="177"/>
      <c r="AI633" s="177"/>
      <c r="AJ633" s="177"/>
      <c r="AK633" s="177"/>
      <c r="AL633" s="177"/>
      <c r="AM633" s="177"/>
      <c r="AN633" s="177"/>
    </row>
    <row r="634" spans="1:40">
      <c r="A634" s="177"/>
      <c r="B634" s="177"/>
      <c r="C634" s="177"/>
      <c r="D634" s="177"/>
      <c r="AF634" s="177"/>
      <c r="AG634" s="177"/>
      <c r="AH634" s="177"/>
      <c r="AI634" s="177"/>
      <c r="AJ634" s="177"/>
      <c r="AK634" s="177"/>
      <c r="AL634" s="177"/>
      <c r="AM634" s="177"/>
      <c r="AN634" s="177"/>
    </row>
    <row r="635" spans="1:40">
      <c r="A635" s="177"/>
      <c r="B635" s="177"/>
      <c r="C635" s="177"/>
      <c r="D635" s="177"/>
      <c r="AF635" s="177"/>
      <c r="AG635" s="177"/>
      <c r="AH635" s="177"/>
      <c r="AI635" s="177"/>
      <c r="AJ635" s="177"/>
      <c r="AK635" s="177"/>
      <c r="AL635" s="177"/>
      <c r="AM635" s="177"/>
      <c r="AN635" s="177"/>
    </row>
    <row r="636" spans="1:40">
      <c r="A636" s="177"/>
      <c r="B636" s="177"/>
      <c r="C636" s="177"/>
      <c r="D636" s="177"/>
      <c r="AF636" s="177"/>
      <c r="AG636" s="177"/>
      <c r="AH636" s="177"/>
      <c r="AI636" s="177"/>
      <c r="AJ636" s="177"/>
      <c r="AK636" s="177"/>
      <c r="AL636" s="177"/>
      <c r="AM636" s="177"/>
      <c r="AN636" s="177"/>
    </row>
    <row r="637" spans="1:40">
      <c r="A637" s="177"/>
      <c r="B637" s="177"/>
      <c r="C637" s="177"/>
      <c r="D637" s="177"/>
      <c r="AF637" s="177"/>
      <c r="AG637" s="177"/>
      <c r="AH637" s="177"/>
      <c r="AI637" s="177"/>
      <c r="AJ637" s="177"/>
      <c r="AK637" s="177"/>
      <c r="AL637" s="177"/>
      <c r="AM637" s="177"/>
      <c r="AN637" s="177"/>
    </row>
    <row r="638" spans="1:40">
      <c r="A638" s="177"/>
      <c r="B638" s="177"/>
      <c r="C638" s="177"/>
      <c r="D638" s="177"/>
      <c r="AF638" s="177"/>
      <c r="AG638" s="177"/>
      <c r="AH638" s="177"/>
      <c r="AI638" s="177"/>
      <c r="AJ638" s="177"/>
      <c r="AK638" s="177"/>
      <c r="AL638" s="177"/>
      <c r="AM638" s="177"/>
      <c r="AN638" s="177"/>
    </row>
    <row r="639" spans="1:40">
      <c r="A639" s="177"/>
      <c r="B639" s="177"/>
      <c r="C639" s="177"/>
      <c r="D639" s="177"/>
      <c r="AF639" s="177"/>
      <c r="AG639" s="177"/>
      <c r="AH639" s="177"/>
      <c r="AI639" s="177"/>
      <c r="AJ639" s="177"/>
      <c r="AK639" s="177"/>
      <c r="AL639" s="177"/>
      <c r="AM639" s="177"/>
      <c r="AN639" s="177"/>
    </row>
    <row r="640" spans="1:40">
      <c r="A640" s="177"/>
      <c r="B640" s="177"/>
      <c r="C640" s="177"/>
      <c r="D640" s="177"/>
      <c r="AF640" s="177"/>
      <c r="AG640" s="177"/>
      <c r="AH640" s="177"/>
      <c r="AI640" s="177"/>
      <c r="AJ640" s="177"/>
      <c r="AK640" s="177"/>
      <c r="AL640" s="177"/>
      <c r="AM640" s="177"/>
      <c r="AN640" s="177"/>
    </row>
    <row r="641" spans="1:40">
      <c r="A641" s="177"/>
      <c r="B641" s="177"/>
      <c r="C641" s="177"/>
      <c r="D641" s="177"/>
      <c r="AF641" s="177"/>
      <c r="AG641" s="177"/>
      <c r="AH641" s="177"/>
      <c r="AI641" s="177"/>
      <c r="AJ641" s="177"/>
      <c r="AK641" s="177"/>
      <c r="AL641" s="177"/>
      <c r="AM641" s="177"/>
      <c r="AN641" s="177"/>
    </row>
    <row r="642" spans="1:40">
      <c r="A642" s="177"/>
      <c r="B642" s="177"/>
      <c r="C642" s="177"/>
      <c r="D642" s="177"/>
      <c r="AF642" s="177"/>
      <c r="AG642" s="177"/>
      <c r="AH642" s="177"/>
      <c r="AI642" s="177"/>
      <c r="AJ642" s="177"/>
      <c r="AK642" s="177"/>
      <c r="AL642" s="177"/>
      <c r="AM642" s="177"/>
      <c r="AN642" s="177"/>
    </row>
    <row r="643" spans="1:40">
      <c r="A643" s="177"/>
      <c r="B643" s="177"/>
      <c r="C643" s="177"/>
      <c r="D643" s="177"/>
      <c r="AF643" s="177"/>
      <c r="AG643" s="177"/>
      <c r="AH643" s="177"/>
      <c r="AI643" s="177"/>
      <c r="AJ643" s="177"/>
      <c r="AK643" s="177"/>
      <c r="AL643" s="177"/>
      <c r="AM643" s="177"/>
      <c r="AN643" s="177"/>
    </row>
    <row r="644" spans="1:40">
      <c r="A644" s="177"/>
      <c r="B644" s="177"/>
      <c r="C644" s="177"/>
      <c r="D644" s="177"/>
      <c r="AF644" s="177"/>
      <c r="AG644" s="177"/>
      <c r="AH644" s="177"/>
      <c r="AI644" s="177"/>
      <c r="AJ644" s="177"/>
      <c r="AK644" s="177"/>
      <c r="AL644" s="177"/>
      <c r="AM644" s="177"/>
      <c r="AN644" s="177"/>
    </row>
    <row r="645" spans="1:40">
      <c r="A645" s="177"/>
      <c r="B645" s="177"/>
      <c r="C645" s="177"/>
      <c r="D645" s="177"/>
      <c r="AF645" s="177"/>
      <c r="AG645" s="177"/>
      <c r="AH645" s="177"/>
      <c r="AI645" s="177"/>
      <c r="AJ645" s="177"/>
      <c r="AK645" s="177"/>
      <c r="AL645" s="177"/>
      <c r="AM645" s="177"/>
      <c r="AN645" s="177"/>
    </row>
    <row r="646" spans="1:40">
      <c r="A646" s="177"/>
      <c r="B646" s="177"/>
      <c r="C646" s="177"/>
      <c r="D646" s="177"/>
      <c r="AF646" s="177"/>
      <c r="AG646" s="177"/>
      <c r="AH646" s="177"/>
      <c r="AI646" s="177"/>
      <c r="AJ646" s="177"/>
      <c r="AK646" s="177"/>
      <c r="AL646" s="177"/>
      <c r="AM646" s="177"/>
      <c r="AN646" s="177"/>
    </row>
    <row r="647" spans="1:40">
      <c r="A647" s="177"/>
      <c r="B647" s="177"/>
      <c r="C647" s="177"/>
      <c r="D647" s="177"/>
      <c r="AF647" s="177"/>
      <c r="AG647" s="177"/>
      <c r="AH647" s="177"/>
      <c r="AI647" s="177"/>
      <c r="AJ647" s="177"/>
      <c r="AK647" s="177"/>
      <c r="AL647" s="177"/>
      <c r="AM647" s="177"/>
      <c r="AN647" s="177"/>
    </row>
    <row r="648" spans="1:40">
      <c r="A648" s="177"/>
      <c r="B648" s="177"/>
      <c r="C648" s="177"/>
      <c r="D648" s="177"/>
      <c r="AF648" s="177"/>
      <c r="AG648" s="177"/>
      <c r="AH648" s="177"/>
      <c r="AI648" s="177"/>
      <c r="AJ648" s="177"/>
      <c r="AK648" s="177"/>
      <c r="AL648" s="177"/>
      <c r="AM648" s="177"/>
      <c r="AN648" s="177"/>
    </row>
    <row r="649" spans="1:40">
      <c r="A649" s="177"/>
      <c r="B649" s="177"/>
      <c r="C649" s="177"/>
      <c r="D649" s="177"/>
      <c r="AF649" s="177"/>
      <c r="AG649" s="177"/>
      <c r="AH649" s="177"/>
      <c r="AI649" s="177"/>
      <c r="AJ649" s="177"/>
      <c r="AK649" s="177"/>
      <c r="AL649" s="177"/>
      <c r="AM649" s="177"/>
      <c r="AN649" s="177"/>
    </row>
    <row r="650" spans="1:40">
      <c r="A650" s="177"/>
      <c r="B650" s="177"/>
      <c r="C650" s="177"/>
      <c r="D650" s="177"/>
      <c r="AF650" s="177"/>
      <c r="AG650" s="177"/>
      <c r="AH650" s="177"/>
      <c r="AI650" s="177"/>
      <c r="AJ650" s="177"/>
      <c r="AK650" s="177"/>
      <c r="AL650" s="177"/>
      <c r="AM650" s="177"/>
      <c r="AN650" s="177"/>
    </row>
    <row r="651" spans="1:40">
      <c r="A651" s="177"/>
      <c r="B651" s="177"/>
      <c r="C651" s="177"/>
      <c r="D651" s="177"/>
      <c r="AF651" s="177"/>
      <c r="AG651" s="177"/>
      <c r="AH651" s="177"/>
      <c r="AI651" s="177"/>
      <c r="AJ651" s="177"/>
      <c r="AK651" s="177"/>
      <c r="AL651" s="177"/>
      <c r="AM651" s="177"/>
      <c r="AN651" s="177"/>
    </row>
    <row r="652" spans="1:40">
      <c r="A652" s="177"/>
      <c r="B652" s="177"/>
      <c r="C652" s="177"/>
      <c r="D652" s="177"/>
      <c r="AF652" s="177"/>
      <c r="AG652" s="177"/>
      <c r="AH652" s="177"/>
      <c r="AI652" s="177"/>
      <c r="AJ652" s="177"/>
      <c r="AK652" s="177"/>
      <c r="AL652" s="177"/>
      <c r="AM652" s="177"/>
      <c r="AN652" s="177"/>
    </row>
    <row r="653" spans="1:40">
      <c r="A653" s="177"/>
      <c r="B653" s="177"/>
      <c r="C653" s="177"/>
      <c r="D653" s="177"/>
      <c r="AF653" s="177"/>
      <c r="AG653" s="177"/>
      <c r="AH653" s="177"/>
      <c r="AI653" s="177"/>
      <c r="AJ653" s="177"/>
      <c r="AK653" s="177"/>
      <c r="AL653" s="177"/>
      <c r="AM653" s="177"/>
      <c r="AN653" s="177"/>
    </row>
    <row r="654" spans="1:40">
      <c r="A654" s="177"/>
      <c r="B654" s="177"/>
      <c r="C654" s="177"/>
      <c r="D654" s="177"/>
      <c r="AF654" s="177"/>
      <c r="AG654" s="177"/>
      <c r="AH654" s="177"/>
      <c r="AI654" s="177"/>
      <c r="AJ654" s="177"/>
      <c r="AK654" s="177"/>
      <c r="AL654" s="177"/>
      <c r="AM654" s="177"/>
      <c r="AN654" s="177"/>
    </row>
    <row r="655" spans="1:40">
      <c r="A655" s="177"/>
      <c r="B655" s="177"/>
      <c r="C655" s="177"/>
      <c r="D655" s="177"/>
      <c r="AF655" s="177"/>
      <c r="AG655" s="177"/>
      <c r="AH655" s="177"/>
      <c r="AI655" s="177"/>
      <c r="AJ655" s="177"/>
      <c r="AK655" s="177"/>
      <c r="AL655" s="177"/>
      <c r="AM655" s="177"/>
      <c r="AN655" s="177"/>
    </row>
    <row r="656" spans="1:40">
      <c r="A656" s="177"/>
      <c r="B656" s="177"/>
      <c r="C656" s="177"/>
      <c r="D656" s="177"/>
      <c r="AF656" s="177"/>
      <c r="AG656" s="177"/>
      <c r="AH656" s="177"/>
      <c r="AI656" s="177"/>
      <c r="AJ656" s="177"/>
      <c r="AK656" s="177"/>
      <c r="AL656" s="177"/>
      <c r="AM656" s="177"/>
      <c r="AN656" s="177"/>
    </row>
    <row r="657" spans="1:40">
      <c r="A657" s="177"/>
      <c r="B657" s="177"/>
      <c r="C657" s="177"/>
      <c r="D657" s="177"/>
      <c r="AF657" s="177"/>
      <c r="AG657" s="177"/>
      <c r="AH657" s="177"/>
      <c r="AI657" s="177"/>
      <c r="AJ657" s="177"/>
      <c r="AK657" s="177"/>
      <c r="AL657" s="177"/>
      <c r="AM657" s="177"/>
      <c r="AN657" s="177"/>
    </row>
    <row r="658" spans="1:40">
      <c r="A658" s="177"/>
      <c r="B658" s="177"/>
      <c r="C658" s="177"/>
      <c r="D658" s="177"/>
      <c r="AF658" s="177"/>
      <c r="AG658" s="177"/>
      <c r="AH658" s="177"/>
      <c r="AI658" s="177"/>
      <c r="AJ658" s="177"/>
      <c r="AK658" s="177"/>
      <c r="AL658" s="177"/>
      <c r="AM658" s="177"/>
      <c r="AN658" s="177"/>
    </row>
    <row r="659" spans="1:40">
      <c r="A659" s="177"/>
      <c r="B659" s="177"/>
      <c r="C659" s="177"/>
      <c r="D659" s="177"/>
      <c r="AF659" s="177"/>
      <c r="AG659" s="177"/>
      <c r="AH659" s="177"/>
      <c r="AI659" s="177"/>
      <c r="AJ659" s="177"/>
      <c r="AK659" s="177"/>
      <c r="AL659" s="177"/>
      <c r="AM659" s="177"/>
      <c r="AN659" s="177"/>
    </row>
    <row r="660" spans="1:40">
      <c r="A660" s="177"/>
      <c r="B660" s="177"/>
      <c r="C660" s="177"/>
      <c r="D660" s="177"/>
      <c r="AF660" s="177"/>
      <c r="AG660" s="177"/>
      <c r="AH660" s="177"/>
      <c r="AI660" s="177"/>
      <c r="AJ660" s="177"/>
      <c r="AK660" s="177"/>
      <c r="AL660" s="177"/>
      <c r="AM660" s="177"/>
      <c r="AN660" s="177"/>
    </row>
    <row r="661" spans="1:40">
      <c r="A661" s="177"/>
      <c r="B661" s="177"/>
      <c r="C661" s="177"/>
      <c r="D661" s="177"/>
      <c r="AF661" s="177"/>
      <c r="AG661" s="177"/>
      <c r="AH661" s="177"/>
      <c r="AI661" s="177"/>
      <c r="AJ661" s="177"/>
      <c r="AK661" s="177"/>
      <c r="AL661" s="177"/>
      <c r="AM661" s="177"/>
      <c r="AN661" s="177"/>
    </row>
    <row r="662" spans="1:40">
      <c r="A662" s="177"/>
      <c r="B662" s="177"/>
      <c r="C662" s="177"/>
      <c r="D662" s="177"/>
      <c r="AF662" s="177"/>
      <c r="AG662" s="177"/>
      <c r="AH662" s="177"/>
      <c r="AI662" s="177"/>
      <c r="AJ662" s="177"/>
      <c r="AK662" s="177"/>
      <c r="AL662" s="177"/>
      <c r="AM662" s="177"/>
      <c r="AN662" s="177"/>
    </row>
    <row r="663" spans="1:40">
      <c r="A663" s="177"/>
      <c r="B663" s="177"/>
      <c r="C663" s="177"/>
      <c r="D663" s="177"/>
      <c r="AF663" s="177"/>
      <c r="AG663" s="177"/>
      <c r="AH663" s="177"/>
      <c r="AI663" s="177"/>
      <c r="AJ663" s="177"/>
      <c r="AK663" s="177"/>
      <c r="AL663" s="177"/>
      <c r="AM663" s="177"/>
      <c r="AN663" s="177"/>
    </row>
    <row r="664" spans="1:40">
      <c r="A664" s="177"/>
      <c r="B664" s="177"/>
      <c r="C664" s="177"/>
      <c r="D664" s="177"/>
      <c r="AF664" s="177"/>
      <c r="AG664" s="177"/>
      <c r="AH664" s="177"/>
      <c r="AI664" s="177"/>
      <c r="AJ664" s="177"/>
      <c r="AK664" s="177"/>
      <c r="AL664" s="177"/>
      <c r="AM664" s="177"/>
      <c r="AN664" s="177"/>
    </row>
    <row r="665" spans="1:40">
      <c r="A665" s="177"/>
      <c r="B665" s="177"/>
      <c r="C665" s="177"/>
      <c r="D665" s="177"/>
      <c r="AF665" s="177"/>
      <c r="AG665" s="177"/>
      <c r="AH665" s="177"/>
      <c r="AI665" s="177"/>
      <c r="AJ665" s="177"/>
      <c r="AK665" s="177"/>
      <c r="AL665" s="177"/>
      <c r="AM665" s="177"/>
      <c r="AN665" s="177"/>
    </row>
    <row r="666" spans="1:40">
      <c r="A666" s="177"/>
      <c r="B666" s="177"/>
      <c r="C666" s="177"/>
      <c r="D666" s="177"/>
      <c r="AF666" s="177"/>
      <c r="AG666" s="177"/>
      <c r="AH666" s="177"/>
      <c r="AI666" s="177"/>
      <c r="AJ666" s="177"/>
      <c r="AK666" s="177"/>
      <c r="AL666" s="177"/>
      <c r="AM666" s="177"/>
      <c r="AN666" s="177"/>
    </row>
    <row r="667" spans="1:40">
      <c r="A667" s="177"/>
      <c r="B667" s="177"/>
      <c r="C667" s="177"/>
      <c r="D667" s="177"/>
      <c r="AF667" s="177"/>
      <c r="AG667" s="177"/>
      <c r="AH667" s="177"/>
      <c r="AI667" s="177"/>
      <c r="AJ667" s="177"/>
      <c r="AK667" s="177"/>
      <c r="AL667" s="177"/>
      <c r="AM667" s="177"/>
      <c r="AN667" s="177"/>
    </row>
    <row r="668" spans="1:40">
      <c r="A668" s="177"/>
      <c r="B668" s="177"/>
      <c r="C668" s="177"/>
      <c r="D668" s="177"/>
      <c r="AF668" s="177"/>
      <c r="AG668" s="177"/>
      <c r="AH668" s="177"/>
      <c r="AI668" s="177"/>
      <c r="AJ668" s="177"/>
      <c r="AK668" s="177"/>
      <c r="AL668" s="177"/>
      <c r="AM668" s="177"/>
      <c r="AN668" s="177"/>
    </row>
    <row r="669" spans="1:40">
      <c r="A669" s="177"/>
      <c r="B669" s="177"/>
      <c r="C669" s="177"/>
      <c r="D669" s="177"/>
      <c r="AF669" s="177"/>
      <c r="AG669" s="177"/>
      <c r="AH669" s="177"/>
      <c r="AI669" s="177"/>
      <c r="AJ669" s="177"/>
      <c r="AK669" s="177"/>
      <c r="AL669" s="177"/>
      <c r="AM669" s="177"/>
      <c r="AN669" s="177"/>
    </row>
    <row r="670" spans="1:40">
      <c r="A670" s="177"/>
      <c r="B670" s="177"/>
      <c r="C670" s="177"/>
      <c r="D670" s="177"/>
      <c r="AF670" s="177"/>
      <c r="AG670" s="177"/>
      <c r="AH670" s="177"/>
      <c r="AI670" s="177"/>
      <c r="AJ670" s="177"/>
      <c r="AK670" s="177"/>
      <c r="AL670" s="177"/>
      <c r="AM670" s="177"/>
      <c r="AN670" s="177"/>
    </row>
    <row r="671" spans="1:40">
      <c r="A671" s="177"/>
      <c r="B671" s="177"/>
      <c r="C671" s="177"/>
      <c r="D671" s="177"/>
      <c r="AF671" s="177"/>
      <c r="AG671" s="177"/>
      <c r="AH671" s="177"/>
      <c r="AI671" s="177"/>
      <c r="AJ671" s="177"/>
      <c r="AK671" s="177"/>
      <c r="AL671" s="177"/>
      <c r="AM671" s="177"/>
      <c r="AN671" s="177"/>
    </row>
    <row r="672" spans="1:40">
      <c r="A672" s="177"/>
      <c r="B672" s="177"/>
      <c r="C672" s="177"/>
      <c r="D672" s="177"/>
      <c r="AF672" s="177"/>
      <c r="AG672" s="177"/>
      <c r="AH672" s="177"/>
      <c r="AI672" s="177"/>
      <c r="AJ672" s="177"/>
      <c r="AK672" s="177"/>
      <c r="AL672" s="177"/>
      <c r="AM672" s="177"/>
      <c r="AN672" s="177"/>
    </row>
    <row r="673" spans="1:40">
      <c r="A673" s="177"/>
      <c r="B673" s="177"/>
      <c r="C673" s="177"/>
      <c r="D673" s="177"/>
      <c r="AF673" s="177"/>
      <c r="AG673" s="177"/>
      <c r="AH673" s="177"/>
      <c r="AI673" s="177"/>
      <c r="AJ673" s="177"/>
      <c r="AK673" s="177"/>
      <c r="AL673" s="177"/>
      <c r="AM673" s="177"/>
      <c r="AN673" s="177"/>
    </row>
    <row r="674" spans="1:40">
      <c r="A674" s="177"/>
      <c r="B674" s="177"/>
      <c r="C674" s="177"/>
      <c r="D674" s="177"/>
      <c r="AF674" s="177"/>
      <c r="AG674" s="177"/>
      <c r="AH674" s="177"/>
      <c r="AI674" s="177"/>
      <c r="AJ674" s="177"/>
      <c r="AK674" s="177"/>
      <c r="AL674" s="177"/>
      <c r="AM674" s="177"/>
      <c r="AN674" s="177"/>
    </row>
    <row r="675" spans="1:40">
      <c r="A675" s="177"/>
      <c r="B675" s="177"/>
      <c r="C675" s="177"/>
      <c r="D675" s="177"/>
      <c r="AF675" s="177"/>
      <c r="AG675" s="177"/>
      <c r="AH675" s="177"/>
      <c r="AI675" s="177"/>
      <c r="AJ675" s="177"/>
      <c r="AK675" s="177"/>
      <c r="AL675" s="177"/>
      <c r="AM675" s="177"/>
      <c r="AN675" s="177"/>
    </row>
    <row r="676" spans="1:40">
      <c r="A676" s="177"/>
      <c r="B676" s="177"/>
      <c r="C676" s="177"/>
      <c r="D676" s="177"/>
      <c r="AF676" s="177"/>
      <c r="AG676" s="177"/>
      <c r="AH676" s="177"/>
      <c r="AI676" s="177"/>
      <c r="AJ676" s="177"/>
      <c r="AK676" s="177"/>
      <c r="AL676" s="177"/>
      <c r="AM676" s="177"/>
      <c r="AN676" s="177"/>
    </row>
    <row r="677" spans="1:40">
      <c r="A677" s="177"/>
      <c r="B677" s="177"/>
      <c r="C677" s="177"/>
      <c r="D677" s="177"/>
      <c r="AF677" s="177"/>
      <c r="AG677" s="177"/>
      <c r="AH677" s="177"/>
      <c r="AI677" s="177"/>
      <c r="AJ677" s="177"/>
      <c r="AK677" s="177"/>
      <c r="AL677" s="177"/>
      <c r="AM677" s="177"/>
      <c r="AN677" s="177"/>
    </row>
    <row r="678" spans="1:40">
      <c r="A678" s="177"/>
      <c r="B678" s="177"/>
      <c r="C678" s="177"/>
      <c r="D678" s="177"/>
      <c r="AF678" s="177"/>
      <c r="AG678" s="177"/>
      <c r="AH678" s="177"/>
      <c r="AI678" s="177"/>
      <c r="AJ678" s="177"/>
      <c r="AK678" s="177"/>
      <c r="AL678" s="177"/>
      <c r="AM678" s="177"/>
      <c r="AN678" s="177"/>
    </row>
    <row r="679" spans="1:40">
      <c r="A679" s="177"/>
      <c r="B679" s="177"/>
      <c r="C679" s="177"/>
      <c r="D679" s="177"/>
      <c r="AF679" s="177"/>
      <c r="AG679" s="177"/>
      <c r="AH679" s="177"/>
      <c r="AI679" s="177"/>
      <c r="AJ679" s="177"/>
      <c r="AK679" s="177"/>
      <c r="AL679" s="177"/>
      <c r="AM679" s="177"/>
      <c r="AN679" s="177"/>
    </row>
    <row r="680" spans="1:40">
      <c r="A680" s="177"/>
      <c r="B680" s="177"/>
      <c r="C680" s="177"/>
      <c r="D680" s="177"/>
      <c r="AF680" s="177"/>
      <c r="AG680" s="177"/>
      <c r="AH680" s="177"/>
      <c r="AI680" s="177"/>
      <c r="AJ680" s="177"/>
      <c r="AK680" s="177"/>
      <c r="AL680" s="177"/>
      <c r="AM680" s="177"/>
      <c r="AN680" s="177"/>
    </row>
    <row r="681" spans="1:40">
      <c r="A681" s="177"/>
      <c r="B681" s="177"/>
      <c r="C681" s="177"/>
      <c r="D681" s="177"/>
      <c r="AF681" s="177"/>
      <c r="AG681" s="177"/>
      <c r="AH681" s="177"/>
      <c r="AI681" s="177"/>
      <c r="AJ681" s="177"/>
      <c r="AK681" s="177"/>
      <c r="AL681" s="177"/>
      <c r="AM681" s="177"/>
      <c r="AN681" s="177"/>
    </row>
    <row r="682" spans="1:40">
      <c r="A682" s="177"/>
      <c r="B682" s="177"/>
      <c r="C682" s="177"/>
      <c r="D682" s="177"/>
      <c r="AF682" s="177"/>
      <c r="AG682" s="177"/>
      <c r="AH682" s="177"/>
      <c r="AI682" s="177"/>
      <c r="AJ682" s="177"/>
      <c r="AK682" s="177"/>
      <c r="AL682" s="177"/>
      <c r="AM682" s="177"/>
      <c r="AN682" s="177"/>
    </row>
    <row r="683" spans="1:40">
      <c r="A683" s="177"/>
      <c r="B683" s="177"/>
      <c r="C683" s="177"/>
      <c r="D683" s="177"/>
      <c r="AF683" s="177"/>
      <c r="AG683" s="177"/>
      <c r="AH683" s="177"/>
      <c r="AI683" s="177"/>
      <c r="AJ683" s="177"/>
      <c r="AK683" s="177"/>
      <c r="AL683" s="177"/>
      <c r="AM683" s="177"/>
      <c r="AN683" s="177"/>
    </row>
    <row r="684" spans="1:40">
      <c r="A684" s="177"/>
      <c r="B684" s="177"/>
      <c r="C684" s="177"/>
      <c r="D684" s="177"/>
      <c r="AF684" s="177"/>
      <c r="AG684" s="177"/>
      <c r="AH684" s="177"/>
      <c r="AI684" s="177"/>
      <c r="AJ684" s="177"/>
      <c r="AK684" s="177"/>
      <c r="AL684" s="177"/>
      <c r="AM684" s="177"/>
      <c r="AN684" s="177"/>
    </row>
    <row r="685" spans="1:40">
      <c r="A685" s="177"/>
      <c r="B685" s="177"/>
      <c r="C685" s="177"/>
      <c r="D685" s="177"/>
      <c r="AF685" s="177"/>
      <c r="AG685" s="177"/>
      <c r="AH685" s="177"/>
      <c r="AI685" s="177"/>
      <c r="AJ685" s="177"/>
      <c r="AK685" s="177"/>
      <c r="AL685" s="177"/>
      <c r="AM685" s="177"/>
      <c r="AN685" s="177"/>
    </row>
    <row r="686" spans="1:40">
      <c r="A686" s="177"/>
      <c r="B686" s="177"/>
      <c r="C686" s="177"/>
      <c r="D686" s="177"/>
      <c r="AF686" s="177"/>
      <c r="AG686" s="177"/>
      <c r="AH686" s="177"/>
      <c r="AI686" s="177"/>
      <c r="AJ686" s="177"/>
      <c r="AK686" s="177"/>
      <c r="AL686" s="177"/>
      <c r="AM686" s="177"/>
      <c r="AN686" s="177"/>
    </row>
    <row r="687" spans="1:40">
      <c r="A687" s="177"/>
      <c r="B687" s="177"/>
      <c r="C687" s="177"/>
      <c r="D687" s="177"/>
      <c r="AF687" s="177"/>
      <c r="AG687" s="177"/>
      <c r="AH687" s="177"/>
      <c r="AI687" s="177"/>
      <c r="AJ687" s="177"/>
      <c r="AK687" s="177"/>
      <c r="AL687" s="177"/>
      <c r="AM687" s="177"/>
      <c r="AN687" s="177"/>
    </row>
    <row r="688" spans="1:40">
      <c r="A688" s="177"/>
      <c r="B688" s="177"/>
      <c r="C688" s="177"/>
      <c r="D688" s="177"/>
      <c r="AF688" s="177"/>
      <c r="AG688" s="177"/>
      <c r="AH688" s="177"/>
      <c r="AI688" s="177"/>
      <c r="AJ688" s="177"/>
      <c r="AK688" s="177"/>
      <c r="AL688" s="177"/>
      <c r="AM688" s="177"/>
      <c r="AN688" s="177"/>
    </row>
    <row r="689" spans="1:40">
      <c r="A689" s="177"/>
      <c r="B689" s="177"/>
      <c r="C689" s="177"/>
      <c r="D689" s="177"/>
      <c r="AF689" s="177"/>
      <c r="AG689" s="177"/>
      <c r="AH689" s="177"/>
      <c r="AI689" s="177"/>
      <c r="AJ689" s="177"/>
      <c r="AK689" s="177"/>
      <c r="AL689" s="177"/>
      <c r="AM689" s="177"/>
      <c r="AN689" s="177"/>
    </row>
    <row r="690" spans="1:40">
      <c r="A690" s="177"/>
      <c r="B690" s="177"/>
      <c r="C690" s="177"/>
      <c r="D690" s="177"/>
      <c r="AF690" s="177"/>
      <c r="AG690" s="177"/>
      <c r="AH690" s="177"/>
      <c r="AI690" s="177"/>
      <c r="AJ690" s="177"/>
      <c r="AK690" s="177"/>
      <c r="AL690" s="177"/>
      <c r="AM690" s="177"/>
      <c r="AN690" s="177"/>
    </row>
    <row r="691" spans="1:40">
      <c r="A691" s="177"/>
      <c r="B691" s="177"/>
      <c r="C691" s="177"/>
      <c r="D691" s="177"/>
      <c r="AF691" s="177"/>
      <c r="AG691" s="177"/>
      <c r="AH691" s="177"/>
      <c r="AI691" s="177"/>
      <c r="AJ691" s="177"/>
      <c r="AK691" s="177"/>
      <c r="AL691" s="177"/>
      <c r="AM691" s="177"/>
      <c r="AN691" s="177"/>
    </row>
    <row r="692" spans="1:40">
      <c r="A692" s="177"/>
      <c r="B692" s="177"/>
      <c r="C692" s="177"/>
      <c r="D692" s="177"/>
      <c r="AF692" s="177"/>
      <c r="AG692" s="177"/>
      <c r="AH692" s="177"/>
      <c r="AI692" s="177"/>
      <c r="AJ692" s="177"/>
      <c r="AK692" s="177"/>
      <c r="AL692" s="177"/>
      <c r="AM692" s="177"/>
      <c r="AN692" s="177"/>
    </row>
    <row r="693" spans="1:40">
      <c r="A693" s="177"/>
      <c r="B693" s="177"/>
      <c r="C693" s="177"/>
      <c r="D693" s="177"/>
      <c r="AF693" s="177"/>
      <c r="AG693" s="177"/>
      <c r="AH693" s="177"/>
      <c r="AI693" s="177"/>
      <c r="AJ693" s="177"/>
      <c r="AK693" s="177"/>
      <c r="AL693" s="177"/>
      <c r="AM693" s="177"/>
      <c r="AN693" s="177"/>
    </row>
    <row r="694" spans="1:40">
      <c r="A694" s="177"/>
      <c r="B694" s="177"/>
      <c r="C694" s="177"/>
      <c r="D694" s="177"/>
      <c r="AF694" s="177"/>
      <c r="AG694" s="177"/>
      <c r="AH694" s="177"/>
      <c r="AI694" s="177"/>
      <c r="AJ694" s="177"/>
      <c r="AK694" s="177"/>
      <c r="AL694" s="177"/>
      <c r="AM694" s="177"/>
      <c r="AN694" s="177"/>
    </row>
    <row r="695" spans="1:40">
      <c r="A695" s="177"/>
      <c r="B695" s="177"/>
      <c r="C695" s="177"/>
      <c r="D695" s="177"/>
      <c r="AF695" s="177"/>
      <c r="AG695" s="177"/>
      <c r="AH695" s="177"/>
      <c r="AI695" s="177"/>
      <c r="AJ695" s="177"/>
      <c r="AK695" s="177"/>
      <c r="AL695" s="177"/>
      <c r="AM695" s="177"/>
      <c r="AN695" s="177"/>
    </row>
    <row r="696" spans="1:40">
      <c r="A696" s="177"/>
      <c r="B696" s="177"/>
      <c r="C696" s="177"/>
      <c r="D696" s="177"/>
      <c r="AF696" s="177"/>
      <c r="AG696" s="177"/>
      <c r="AH696" s="177"/>
      <c r="AI696" s="177"/>
      <c r="AJ696" s="177"/>
      <c r="AK696" s="177"/>
      <c r="AL696" s="177"/>
      <c r="AM696" s="177"/>
      <c r="AN696" s="177"/>
    </row>
    <row r="697" spans="1:40">
      <c r="A697" s="177"/>
      <c r="B697" s="177"/>
      <c r="C697" s="177"/>
      <c r="D697" s="177"/>
      <c r="AF697" s="177"/>
      <c r="AG697" s="177"/>
      <c r="AH697" s="177"/>
      <c r="AI697" s="177"/>
      <c r="AJ697" s="177"/>
      <c r="AK697" s="177"/>
      <c r="AL697" s="177"/>
      <c r="AM697" s="177"/>
      <c r="AN697" s="177"/>
    </row>
    <row r="698" spans="1:40">
      <c r="A698" s="177"/>
      <c r="B698" s="177"/>
      <c r="C698" s="177"/>
      <c r="D698" s="177"/>
      <c r="AF698" s="177"/>
      <c r="AG698" s="177"/>
      <c r="AH698" s="177"/>
      <c r="AI698" s="177"/>
      <c r="AJ698" s="177"/>
      <c r="AK698" s="177"/>
      <c r="AL698" s="177"/>
      <c r="AM698" s="177"/>
      <c r="AN698" s="177"/>
    </row>
    <row r="699" spans="1:40">
      <c r="A699" s="177"/>
      <c r="B699" s="177"/>
      <c r="C699" s="177"/>
      <c r="D699" s="177"/>
      <c r="AF699" s="177"/>
      <c r="AG699" s="177"/>
      <c r="AH699" s="177"/>
      <c r="AI699" s="177"/>
      <c r="AJ699" s="177"/>
      <c r="AK699" s="177"/>
      <c r="AL699" s="177"/>
      <c r="AM699" s="177"/>
      <c r="AN699" s="177"/>
    </row>
    <row r="700" spans="1:40">
      <c r="A700" s="177"/>
      <c r="B700" s="177"/>
      <c r="C700" s="177"/>
      <c r="D700" s="177"/>
      <c r="AF700" s="177"/>
      <c r="AG700" s="177"/>
      <c r="AH700" s="177"/>
      <c r="AI700" s="177"/>
      <c r="AJ700" s="177"/>
      <c r="AK700" s="177"/>
      <c r="AL700" s="177"/>
      <c r="AM700" s="177"/>
      <c r="AN700" s="177"/>
    </row>
    <row r="701" spans="1:40">
      <c r="A701" s="177"/>
      <c r="B701" s="177"/>
      <c r="C701" s="177"/>
      <c r="D701" s="177"/>
      <c r="AF701" s="177"/>
      <c r="AG701" s="177"/>
      <c r="AH701" s="177"/>
      <c r="AI701" s="177"/>
      <c r="AJ701" s="177"/>
      <c r="AK701" s="177"/>
      <c r="AL701" s="177"/>
      <c r="AM701" s="177"/>
      <c r="AN701" s="177"/>
    </row>
    <row r="702" spans="1:40">
      <c r="A702" s="177"/>
      <c r="B702" s="177"/>
      <c r="C702" s="177"/>
      <c r="D702" s="177"/>
      <c r="AF702" s="177"/>
      <c r="AG702" s="177"/>
      <c r="AH702" s="177"/>
      <c r="AI702" s="177"/>
      <c r="AJ702" s="177"/>
      <c r="AK702" s="177"/>
      <c r="AL702" s="177"/>
      <c r="AM702" s="177"/>
      <c r="AN702" s="177"/>
    </row>
    <row r="703" spans="1:40">
      <c r="A703" s="177"/>
      <c r="B703" s="177"/>
      <c r="C703" s="177"/>
      <c r="D703" s="177"/>
      <c r="AF703" s="177"/>
      <c r="AG703" s="177"/>
      <c r="AH703" s="177"/>
      <c r="AI703" s="177"/>
      <c r="AJ703" s="177"/>
      <c r="AK703" s="177"/>
      <c r="AL703" s="177"/>
      <c r="AM703" s="177"/>
      <c r="AN703" s="177"/>
    </row>
    <row r="704" spans="1:40">
      <c r="A704" s="177"/>
      <c r="B704" s="177"/>
      <c r="C704" s="177"/>
      <c r="D704" s="177"/>
      <c r="AF704" s="177"/>
      <c r="AG704" s="177"/>
      <c r="AH704" s="177"/>
      <c r="AI704" s="177"/>
      <c r="AJ704" s="177"/>
      <c r="AK704" s="177"/>
      <c r="AL704" s="177"/>
      <c r="AM704" s="177"/>
      <c r="AN704" s="177"/>
    </row>
    <row r="705" spans="1:40">
      <c r="A705" s="177"/>
      <c r="B705" s="177"/>
      <c r="C705" s="177"/>
      <c r="D705" s="177"/>
      <c r="AF705" s="177"/>
      <c r="AG705" s="177"/>
      <c r="AH705" s="177"/>
      <c r="AI705" s="177"/>
      <c r="AJ705" s="177"/>
      <c r="AK705" s="177"/>
      <c r="AL705" s="177"/>
      <c r="AM705" s="177"/>
      <c r="AN705" s="177"/>
    </row>
    <row r="706" spans="1:40">
      <c r="A706" s="177"/>
      <c r="B706" s="177"/>
      <c r="C706" s="177"/>
      <c r="D706" s="177"/>
      <c r="AF706" s="177"/>
      <c r="AG706" s="177"/>
      <c r="AH706" s="177"/>
      <c r="AI706" s="177"/>
      <c r="AJ706" s="177"/>
      <c r="AK706" s="177"/>
      <c r="AL706" s="177"/>
      <c r="AM706" s="177"/>
      <c r="AN706" s="177"/>
    </row>
    <row r="707" spans="1:40">
      <c r="A707" s="177"/>
      <c r="B707" s="177"/>
      <c r="C707" s="177"/>
      <c r="D707" s="177"/>
      <c r="AF707" s="177"/>
      <c r="AG707" s="177"/>
      <c r="AH707" s="177"/>
      <c r="AI707" s="177"/>
      <c r="AJ707" s="177"/>
      <c r="AK707" s="177"/>
      <c r="AL707" s="177"/>
      <c r="AM707" s="177"/>
      <c r="AN707" s="177"/>
    </row>
    <row r="708" spans="1:40">
      <c r="A708" s="177"/>
      <c r="B708" s="177"/>
      <c r="C708" s="177"/>
      <c r="D708" s="177"/>
      <c r="AF708" s="177"/>
      <c r="AG708" s="177"/>
      <c r="AH708" s="177"/>
      <c r="AI708" s="177"/>
      <c r="AJ708" s="177"/>
      <c r="AK708" s="177"/>
      <c r="AL708" s="177"/>
      <c r="AM708" s="177"/>
      <c r="AN708" s="177"/>
    </row>
    <row r="709" spans="1:40">
      <c r="A709" s="177"/>
      <c r="B709" s="177"/>
      <c r="C709" s="177"/>
      <c r="D709" s="177"/>
      <c r="AF709" s="177"/>
      <c r="AG709" s="177"/>
      <c r="AH709" s="177"/>
      <c r="AI709" s="177"/>
      <c r="AJ709" s="177"/>
      <c r="AK709" s="177"/>
      <c r="AL709" s="177"/>
      <c r="AM709" s="177"/>
      <c r="AN709" s="177"/>
    </row>
    <row r="710" spans="1:40">
      <c r="A710" s="177"/>
      <c r="B710" s="177"/>
      <c r="C710" s="177"/>
      <c r="D710" s="177"/>
      <c r="AF710" s="177"/>
      <c r="AG710" s="177"/>
      <c r="AH710" s="177"/>
      <c r="AI710" s="177"/>
      <c r="AJ710" s="177"/>
      <c r="AK710" s="177"/>
      <c r="AL710" s="177"/>
      <c r="AM710" s="177"/>
      <c r="AN710" s="177"/>
    </row>
    <row r="711" spans="1:40">
      <c r="A711" s="177"/>
      <c r="B711" s="177"/>
      <c r="C711" s="177"/>
      <c r="D711" s="177"/>
      <c r="AF711" s="177"/>
      <c r="AG711" s="177"/>
      <c r="AH711" s="177"/>
      <c r="AI711" s="177"/>
      <c r="AJ711" s="177"/>
      <c r="AK711" s="177"/>
      <c r="AL711" s="177"/>
      <c r="AM711" s="177"/>
      <c r="AN711" s="177"/>
    </row>
    <row r="712" spans="1:40">
      <c r="A712" s="177"/>
      <c r="B712" s="177"/>
      <c r="C712" s="177"/>
      <c r="D712" s="177"/>
      <c r="AF712" s="177"/>
      <c r="AG712" s="177"/>
      <c r="AH712" s="177"/>
      <c r="AI712" s="177"/>
      <c r="AJ712" s="177"/>
      <c r="AK712" s="177"/>
      <c r="AL712" s="177"/>
      <c r="AM712" s="177"/>
      <c r="AN712" s="177"/>
    </row>
    <row r="713" spans="1:40">
      <c r="A713" s="177"/>
      <c r="B713" s="177"/>
      <c r="C713" s="177"/>
      <c r="D713" s="177"/>
      <c r="AF713" s="177"/>
      <c r="AG713" s="177"/>
      <c r="AH713" s="177"/>
      <c r="AI713" s="177"/>
      <c r="AJ713" s="177"/>
      <c r="AK713" s="177"/>
      <c r="AL713" s="177"/>
      <c r="AM713" s="177"/>
      <c r="AN713" s="177"/>
    </row>
    <row r="714" spans="1:40">
      <c r="A714" s="177"/>
      <c r="B714" s="177"/>
      <c r="C714" s="177"/>
      <c r="D714" s="177"/>
      <c r="AF714" s="177"/>
      <c r="AG714" s="177"/>
      <c r="AH714" s="177"/>
      <c r="AI714" s="177"/>
      <c r="AJ714" s="177"/>
      <c r="AK714" s="177"/>
      <c r="AL714" s="177"/>
      <c r="AM714" s="177"/>
      <c r="AN714" s="177"/>
    </row>
    <row r="715" spans="1:40">
      <c r="A715" s="177"/>
      <c r="B715" s="177"/>
      <c r="C715" s="177"/>
      <c r="D715" s="177"/>
      <c r="AF715" s="177"/>
      <c r="AG715" s="177"/>
      <c r="AH715" s="177"/>
      <c r="AI715" s="177"/>
      <c r="AJ715" s="177"/>
      <c r="AK715" s="177"/>
      <c r="AL715" s="177"/>
      <c r="AM715" s="177"/>
      <c r="AN715" s="177"/>
    </row>
    <row r="716" spans="1:40">
      <c r="A716" s="177"/>
      <c r="B716" s="177"/>
      <c r="C716" s="177"/>
      <c r="D716" s="177"/>
      <c r="AF716" s="177"/>
      <c r="AG716" s="177"/>
      <c r="AH716" s="177"/>
      <c r="AI716" s="177"/>
      <c r="AJ716" s="177"/>
      <c r="AK716" s="177"/>
      <c r="AL716" s="177"/>
      <c r="AM716" s="177"/>
      <c r="AN716" s="177"/>
    </row>
    <row r="717" spans="1:40">
      <c r="A717" s="177"/>
      <c r="B717" s="177"/>
      <c r="C717" s="177"/>
      <c r="D717" s="177"/>
      <c r="AF717" s="177"/>
      <c r="AG717" s="177"/>
      <c r="AH717" s="177"/>
      <c r="AI717" s="177"/>
      <c r="AJ717" s="177"/>
      <c r="AK717" s="177"/>
      <c r="AL717" s="177"/>
      <c r="AM717" s="177"/>
      <c r="AN717" s="177"/>
    </row>
    <row r="718" spans="1:40">
      <c r="A718" s="177"/>
      <c r="B718" s="177"/>
      <c r="C718" s="177"/>
      <c r="D718" s="177"/>
      <c r="AF718" s="177"/>
      <c r="AG718" s="177"/>
      <c r="AH718" s="177"/>
      <c r="AI718" s="177"/>
      <c r="AJ718" s="177"/>
      <c r="AK718" s="177"/>
      <c r="AL718" s="177"/>
      <c r="AM718" s="177"/>
      <c r="AN718" s="177"/>
    </row>
    <row r="719" spans="1:40">
      <c r="A719" s="177"/>
      <c r="B719" s="177"/>
      <c r="C719" s="177"/>
      <c r="D719" s="177"/>
      <c r="AF719" s="177"/>
      <c r="AG719" s="177"/>
      <c r="AH719" s="177"/>
      <c r="AI719" s="177"/>
      <c r="AJ719" s="177"/>
      <c r="AK719" s="177"/>
      <c r="AL719" s="177"/>
      <c r="AM719" s="177"/>
      <c r="AN719" s="177"/>
    </row>
    <row r="720" spans="1:40">
      <c r="A720" s="177"/>
      <c r="B720" s="177"/>
      <c r="C720" s="177"/>
      <c r="D720" s="177"/>
      <c r="AF720" s="177"/>
      <c r="AG720" s="177"/>
      <c r="AH720" s="177"/>
      <c r="AI720" s="177"/>
      <c r="AJ720" s="177"/>
      <c r="AK720" s="177"/>
      <c r="AL720" s="177"/>
      <c r="AM720" s="177"/>
      <c r="AN720" s="177"/>
    </row>
    <row r="721" spans="1:40">
      <c r="A721" s="177"/>
      <c r="B721" s="177"/>
      <c r="C721" s="177"/>
      <c r="D721" s="177"/>
      <c r="AF721" s="177"/>
      <c r="AG721" s="177"/>
      <c r="AH721" s="177"/>
      <c r="AI721" s="177"/>
      <c r="AJ721" s="177"/>
      <c r="AK721" s="177"/>
      <c r="AL721" s="177"/>
      <c r="AM721" s="177"/>
      <c r="AN721" s="177"/>
    </row>
    <row r="722" spans="1:40">
      <c r="A722" s="177"/>
      <c r="B722" s="177"/>
      <c r="C722" s="177"/>
      <c r="D722" s="177"/>
      <c r="AF722" s="177"/>
      <c r="AG722" s="177"/>
      <c r="AH722" s="177"/>
      <c r="AI722" s="177"/>
      <c r="AJ722" s="177"/>
      <c r="AK722" s="177"/>
      <c r="AL722" s="177"/>
      <c r="AM722" s="177"/>
      <c r="AN722" s="177"/>
    </row>
    <row r="723" spans="1:40">
      <c r="A723" s="177"/>
      <c r="B723" s="177"/>
      <c r="C723" s="177"/>
      <c r="D723" s="177"/>
      <c r="AF723" s="177"/>
      <c r="AG723" s="177"/>
      <c r="AH723" s="177"/>
      <c r="AI723" s="177"/>
      <c r="AJ723" s="177"/>
      <c r="AK723" s="177"/>
      <c r="AL723" s="177"/>
      <c r="AM723" s="177"/>
      <c r="AN723" s="177"/>
    </row>
    <row r="724" spans="1:40">
      <c r="A724" s="177"/>
      <c r="B724" s="177"/>
      <c r="C724" s="177"/>
      <c r="D724" s="177"/>
      <c r="AF724" s="177"/>
      <c r="AG724" s="177"/>
      <c r="AH724" s="177"/>
      <c r="AI724" s="177"/>
      <c r="AJ724" s="177"/>
      <c r="AK724" s="177"/>
      <c r="AL724" s="177"/>
      <c r="AM724" s="177"/>
      <c r="AN724" s="177"/>
    </row>
    <row r="725" spans="1:40">
      <c r="A725" s="177"/>
      <c r="B725" s="177"/>
      <c r="C725" s="177"/>
      <c r="D725" s="177"/>
      <c r="AF725" s="177"/>
      <c r="AG725" s="177"/>
      <c r="AH725" s="177"/>
      <c r="AI725" s="177"/>
      <c r="AJ725" s="177"/>
      <c r="AK725" s="177"/>
      <c r="AL725" s="177"/>
      <c r="AM725" s="177"/>
      <c r="AN725" s="177"/>
    </row>
    <row r="726" spans="1:40">
      <c r="A726" s="177"/>
      <c r="B726" s="177"/>
      <c r="C726" s="177"/>
      <c r="D726" s="177"/>
      <c r="AF726" s="177"/>
      <c r="AG726" s="177"/>
      <c r="AH726" s="177"/>
      <c r="AI726" s="177"/>
      <c r="AJ726" s="177"/>
      <c r="AK726" s="177"/>
      <c r="AL726" s="177"/>
      <c r="AM726" s="177"/>
      <c r="AN726" s="177"/>
    </row>
    <row r="727" spans="1:40">
      <c r="A727" s="177"/>
      <c r="B727" s="177"/>
      <c r="C727" s="177"/>
      <c r="D727" s="177"/>
      <c r="AF727" s="177"/>
      <c r="AG727" s="177"/>
      <c r="AH727" s="177"/>
      <c r="AI727" s="177"/>
      <c r="AJ727" s="177"/>
      <c r="AK727" s="177"/>
      <c r="AL727" s="177"/>
      <c r="AM727" s="177"/>
      <c r="AN727" s="177"/>
    </row>
    <row r="728" spans="1:40">
      <c r="A728" s="177"/>
      <c r="B728" s="177"/>
      <c r="C728" s="177"/>
      <c r="D728" s="177"/>
      <c r="AF728" s="177"/>
      <c r="AG728" s="177"/>
      <c r="AH728" s="177"/>
      <c r="AI728" s="177"/>
      <c r="AJ728" s="177"/>
      <c r="AK728" s="177"/>
      <c r="AL728" s="177"/>
      <c r="AM728" s="177"/>
      <c r="AN728" s="177"/>
    </row>
    <row r="729" spans="1:40">
      <c r="A729" s="177"/>
      <c r="B729" s="177"/>
      <c r="C729" s="177"/>
      <c r="D729" s="177"/>
      <c r="AF729" s="177"/>
      <c r="AG729" s="177"/>
      <c r="AH729" s="177"/>
      <c r="AI729" s="177"/>
      <c r="AJ729" s="177"/>
      <c r="AK729" s="177"/>
      <c r="AL729" s="177"/>
      <c r="AM729" s="177"/>
      <c r="AN729" s="177"/>
    </row>
    <row r="730" spans="1:40">
      <c r="A730" s="177"/>
      <c r="B730" s="177"/>
      <c r="C730" s="177"/>
      <c r="D730" s="177"/>
      <c r="AF730" s="177"/>
      <c r="AG730" s="177"/>
      <c r="AH730" s="177"/>
      <c r="AI730" s="177"/>
      <c r="AJ730" s="177"/>
      <c r="AK730" s="177"/>
      <c r="AL730" s="177"/>
      <c r="AM730" s="177"/>
      <c r="AN730" s="177"/>
    </row>
    <row r="731" spans="1:40">
      <c r="A731" s="177"/>
      <c r="B731" s="177"/>
      <c r="C731" s="177"/>
      <c r="D731" s="177"/>
      <c r="AF731" s="177"/>
      <c r="AG731" s="177"/>
      <c r="AH731" s="177"/>
      <c r="AI731" s="177"/>
      <c r="AJ731" s="177"/>
      <c r="AK731" s="177"/>
      <c r="AL731" s="177"/>
      <c r="AM731" s="177"/>
      <c r="AN731" s="177"/>
    </row>
    <row r="732" spans="1:40">
      <c r="A732" s="177"/>
      <c r="B732" s="177"/>
      <c r="C732" s="177"/>
      <c r="D732" s="177"/>
      <c r="AF732" s="177"/>
      <c r="AG732" s="177"/>
      <c r="AH732" s="177"/>
      <c r="AI732" s="177"/>
      <c r="AJ732" s="177"/>
      <c r="AK732" s="177"/>
      <c r="AL732" s="177"/>
      <c r="AM732" s="177"/>
      <c r="AN732" s="177"/>
    </row>
    <row r="733" spans="1:40">
      <c r="A733" s="177"/>
      <c r="B733" s="177"/>
      <c r="C733" s="177"/>
      <c r="D733" s="177"/>
      <c r="AF733" s="177"/>
      <c r="AG733" s="177"/>
      <c r="AH733" s="177"/>
      <c r="AI733" s="177"/>
      <c r="AJ733" s="177"/>
      <c r="AK733" s="177"/>
      <c r="AL733" s="177"/>
      <c r="AM733" s="177"/>
      <c r="AN733" s="177"/>
    </row>
    <row r="734" spans="1:40">
      <c r="A734" s="177"/>
      <c r="B734" s="177"/>
      <c r="C734" s="177"/>
      <c r="D734" s="177"/>
      <c r="AF734" s="177"/>
      <c r="AG734" s="177"/>
      <c r="AH734" s="177"/>
      <c r="AI734" s="177"/>
      <c r="AJ734" s="177"/>
      <c r="AK734" s="177"/>
      <c r="AL734" s="177"/>
      <c r="AM734" s="177"/>
      <c r="AN734" s="177"/>
    </row>
    <row r="735" spans="1:40">
      <c r="A735" s="177"/>
      <c r="B735" s="177"/>
      <c r="C735" s="177"/>
      <c r="D735" s="177"/>
      <c r="AF735" s="177"/>
      <c r="AG735" s="177"/>
      <c r="AH735" s="177"/>
      <c r="AI735" s="177"/>
      <c r="AJ735" s="177"/>
      <c r="AK735" s="177"/>
      <c r="AL735" s="177"/>
      <c r="AM735" s="177"/>
      <c r="AN735" s="177"/>
    </row>
    <row r="736" spans="1:40">
      <c r="A736" s="177"/>
      <c r="B736" s="177"/>
      <c r="C736" s="177"/>
      <c r="D736" s="177"/>
      <c r="AF736" s="177"/>
      <c r="AG736" s="177"/>
      <c r="AH736" s="177"/>
      <c r="AI736" s="177"/>
      <c r="AJ736" s="177"/>
      <c r="AK736" s="177"/>
      <c r="AL736" s="177"/>
      <c r="AM736" s="177"/>
      <c r="AN736" s="177"/>
    </row>
    <row r="737" spans="1:40">
      <c r="A737" s="177"/>
      <c r="B737" s="177"/>
      <c r="C737" s="177"/>
      <c r="D737" s="177"/>
      <c r="AF737" s="177"/>
      <c r="AG737" s="177"/>
      <c r="AH737" s="177"/>
      <c r="AI737" s="177"/>
      <c r="AJ737" s="177"/>
      <c r="AK737" s="177"/>
      <c r="AL737" s="177"/>
      <c r="AM737" s="177"/>
      <c r="AN737" s="177"/>
    </row>
    <row r="738" spans="1:40">
      <c r="A738" s="177"/>
      <c r="B738" s="177"/>
      <c r="C738" s="177"/>
      <c r="D738" s="177"/>
      <c r="AF738" s="177"/>
      <c r="AG738" s="177"/>
      <c r="AH738" s="177"/>
      <c r="AI738" s="177"/>
      <c r="AJ738" s="177"/>
      <c r="AK738" s="177"/>
      <c r="AL738" s="177"/>
      <c r="AM738" s="177"/>
      <c r="AN738" s="177"/>
    </row>
    <row r="739" spans="1:40">
      <c r="A739" s="177"/>
      <c r="B739" s="177"/>
      <c r="C739" s="177"/>
      <c r="D739" s="177"/>
      <c r="AF739" s="177"/>
      <c r="AG739" s="177"/>
      <c r="AH739" s="177"/>
      <c r="AI739" s="177"/>
      <c r="AJ739" s="177"/>
      <c r="AK739" s="177"/>
      <c r="AL739" s="177"/>
      <c r="AM739" s="177"/>
      <c r="AN739" s="177"/>
    </row>
    <row r="740" spans="1:40">
      <c r="A740" s="177"/>
      <c r="B740" s="177"/>
      <c r="C740" s="177"/>
      <c r="D740" s="177"/>
      <c r="AF740" s="177"/>
      <c r="AG740" s="177"/>
      <c r="AH740" s="177"/>
      <c r="AI740" s="177"/>
      <c r="AJ740" s="177"/>
      <c r="AK740" s="177"/>
      <c r="AL740" s="177"/>
      <c r="AM740" s="177"/>
      <c r="AN740" s="177"/>
    </row>
    <row r="741" spans="1:40">
      <c r="A741" s="177"/>
      <c r="B741" s="177"/>
      <c r="C741" s="177"/>
      <c r="D741" s="177"/>
      <c r="AF741" s="177"/>
      <c r="AG741" s="177"/>
      <c r="AH741" s="177"/>
      <c r="AI741" s="177"/>
      <c r="AJ741" s="177"/>
      <c r="AK741" s="177"/>
      <c r="AL741" s="177"/>
      <c r="AM741" s="177"/>
      <c r="AN741" s="177"/>
    </row>
    <row r="742" spans="1:40">
      <c r="A742" s="177"/>
      <c r="B742" s="177"/>
      <c r="C742" s="177"/>
      <c r="D742" s="177"/>
      <c r="AF742" s="177"/>
      <c r="AG742" s="177"/>
      <c r="AH742" s="177"/>
      <c r="AI742" s="177"/>
      <c r="AJ742" s="177"/>
      <c r="AK742" s="177"/>
      <c r="AL742" s="177"/>
      <c r="AM742" s="177"/>
      <c r="AN742" s="177"/>
    </row>
    <row r="743" spans="1:40">
      <c r="A743" s="177"/>
      <c r="B743" s="177"/>
      <c r="C743" s="177"/>
      <c r="D743" s="177"/>
      <c r="AF743" s="177"/>
      <c r="AG743" s="177"/>
      <c r="AH743" s="177"/>
      <c r="AI743" s="177"/>
      <c r="AJ743" s="177"/>
      <c r="AK743" s="177"/>
      <c r="AL743" s="177"/>
      <c r="AM743" s="177"/>
      <c r="AN743" s="177"/>
    </row>
    <row r="744" spans="1:40">
      <c r="A744" s="177"/>
      <c r="B744" s="177"/>
      <c r="C744" s="177"/>
      <c r="D744" s="177"/>
      <c r="AF744" s="177"/>
      <c r="AG744" s="177"/>
      <c r="AH744" s="177"/>
      <c r="AI744" s="177"/>
      <c r="AJ744" s="177"/>
      <c r="AK744" s="177"/>
      <c r="AL744" s="177"/>
      <c r="AM744" s="177"/>
      <c r="AN744" s="177"/>
    </row>
    <row r="745" spans="1:40">
      <c r="A745" s="177"/>
      <c r="B745" s="177"/>
      <c r="C745" s="177"/>
      <c r="D745" s="177"/>
      <c r="AF745" s="177"/>
      <c r="AG745" s="177"/>
      <c r="AH745" s="177"/>
      <c r="AI745" s="177"/>
      <c r="AJ745" s="177"/>
      <c r="AK745" s="177"/>
      <c r="AL745" s="177"/>
      <c r="AM745" s="177"/>
      <c r="AN745" s="177"/>
    </row>
    <row r="746" spans="1:40">
      <c r="A746" s="177"/>
      <c r="B746" s="177"/>
      <c r="C746" s="177"/>
      <c r="D746" s="177"/>
      <c r="AF746" s="177"/>
      <c r="AG746" s="177"/>
      <c r="AH746" s="177"/>
      <c r="AI746" s="177"/>
      <c r="AJ746" s="177"/>
      <c r="AK746" s="177"/>
      <c r="AL746" s="177"/>
      <c r="AM746" s="177"/>
      <c r="AN746" s="177"/>
    </row>
    <row r="747" spans="1:40">
      <c r="A747" s="177"/>
      <c r="B747" s="177"/>
      <c r="C747" s="177"/>
      <c r="D747" s="177"/>
      <c r="AF747" s="177"/>
      <c r="AG747" s="177"/>
      <c r="AH747" s="177"/>
      <c r="AI747" s="177"/>
      <c r="AJ747" s="177"/>
      <c r="AK747" s="177"/>
      <c r="AL747" s="177"/>
      <c r="AM747" s="177"/>
      <c r="AN747" s="177"/>
    </row>
    <row r="748" spans="1:40">
      <c r="A748" s="177"/>
      <c r="B748" s="177"/>
      <c r="C748" s="177"/>
      <c r="D748" s="177"/>
      <c r="AF748" s="177"/>
      <c r="AG748" s="177"/>
      <c r="AH748" s="177"/>
      <c r="AI748" s="177"/>
      <c r="AJ748" s="177"/>
      <c r="AK748" s="177"/>
      <c r="AL748" s="177"/>
      <c r="AM748" s="177"/>
      <c r="AN748" s="177"/>
    </row>
    <row r="749" spans="1:40">
      <c r="A749" s="177"/>
      <c r="B749" s="177"/>
      <c r="C749" s="177"/>
      <c r="D749" s="177"/>
      <c r="AF749" s="177"/>
      <c r="AG749" s="177"/>
      <c r="AH749" s="177"/>
      <c r="AI749" s="177"/>
      <c r="AJ749" s="177"/>
      <c r="AK749" s="177"/>
      <c r="AL749" s="177"/>
      <c r="AM749" s="177"/>
      <c r="AN749" s="177"/>
    </row>
    <row r="750" spans="1:40">
      <c r="A750" s="177"/>
      <c r="B750" s="177"/>
      <c r="C750" s="177"/>
      <c r="D750" s="177"/>
      <c r="AF750" s="177"/>
      <c r="AG750" s="177"/>
      <c r="AH750" s="177"/>
      <c r="AI750" s="177"/>
      <c r="AJ750" s="177"/>
      <c r="AK750" s="177"/>
      <c r="AL750" s="177"/>
      <c r="AM750" s="177"/>
      <c r="AN750" s="177"/>
    </row>
    <row r="751" spans="1:40">
      <c r="A751" s="177"/>
      <c r="B751" s="177"/>
      <c r="C751" s="177"/>
      <c r="D751" s="177"/>
      <c r="AF751" s="177"/>
      <c r="AG751" s="177"/>
      <c r="AH751" s="177"/>
      <c r="AI751" s="177"/>
      <c r="AJ751" s="177"/>
      <c r="AK751" s="177"/>
      <c r="AL751" s="177"/>
      <c r="AM751" s="177"/>
      <c r="AN751" s="177"/>
    </row>
    <row r="752" spans="1:40">
      <c r="A752" s="177"/>
      <c r="B752" s="177"/>
      <c r="C752" s="177"/>
      <c r="D752" s="177"/>
      <c r="AF752" s="177"/>
      <c r="AG752" s="177"/>
      <c r="AH752" s="177"/>
      <c r="AI752" s="177"/>
      <c r="AJ752" s="177"/>
      <c r="AK752" s="177"/>
      <c r="AL752" s="177"/>
      <c r="AM752" s="177"/>
      <c r="AN752" s="177"/>
    </row>
    <row r="753" spans="1:40">
      <c r="A753" s="177"/>
      <c r="B753" s="177"/>
      <c r="C753" s="177"/>
      <c r="D753" s="177"/>
      <c r="AF753" s="177"/>
      <c r="AG753" s="177"/>
      <c r="AH753" s="177"/>
      <c r="AI753" s="177"/>
      <c r="AJ753" s="177"/>
      <c r="AK753" s="177"/>
      <c r="AL753" s="177"/>
      <c r="AM753" s="177"/>
      <c r="AN753" s="177"/>
    </row>
    <row r="754" spans="1:40">
      <c r="A754" s="177"/>
      <c r="B754" s="177"/>
      <c r="C754" s="177"/>
      <c r="D754" s="177"/>
      <c r="AF754" s="177"/>
      <c r="AG754" s="177"/>
      <c r="AH754" s="177"/>
      <c r="AI754" s="177"/>
      <c r="AJ754" s="177"/>
      <c r="AK754" s="177"/>
      <c r="AL754" s="177"/>
      <c r="AM754" s="177"/>
      <c r="AN754" s="177"/>
    </row>
    <row r="755" spans="1:40">
      <c r="A755" s="177"/>
      <c r="B755" s="177"/>
      <c r="C755" s="177"/>
      <c r="D755" s="177"/>
      <c r="AF755" s="177"/>
      <c r="AG755" s="177"/>
      <c r="AH755" s="177"/>
      <c r="AI755" s="177"/>
      <c r="AJ755" s="177"/>
      <c r="AK755" s="177"/>
      <c r="AL755" s="177"/>
      <c r="AM755" s="177"/>
      <c r="AN755" s="177"/>
    </row>
    <row r="756" spans="1:40">
      <c r="A756" s="177"/>
      <c r="B756" s="177"/>
      <c r="C756" s="177"/>
      <c r="D756" s="177"/>
      <c r="AF756" s="177"/>
      <c r="AG756" s="177"/>
      <c r="AH756" s="177"/>
      <c r="AI756" s="177"/>
      <c r="AJ756" s="177"/>
      <c r="AK756" s="177"/>
      <c r="AL756" s="177"/>
      <c r="AM756" s="177"/>
      <c r="AN756" s="177"/>
    </row>
    <row r="757" spans="1:40">
      <c r="A757" s="177"/>
      <c r="B757" s="177"/>
      <c r="C757" s="177"/>
      <c r="D757" s="177"/>
      <c r="AF757" s="177"/>
      <c r="AG757" s="177"/>
      <c r="AH757" s="177"/>
      <c r="AI757" s="177"/>
      <c r="AJ757" s="177"/>
      <c r="AK757" s="177"/>
      <c r="AL757" s="177"/>
      <c r="AM757" s="177"/>
      <c r="AN757" s="177"/>
    </row>
    <row r="758" spans="1:40">
      <c r="A758" s="177"/>
      <c r="B758" s="177"/>
      <c r="C758" s="177"/>
      <c r="D758" s="177"/>
      <c r="AF758" s="177"/>
      <c r="AG758" s="177"/>
      <c r="AH758" s="177"/>
      <c r="AI758" s="177"/>
      <c r="AJ758" s="177"/>
      <c r="AK758" s="177"/>
      <c r="AL758" s="177"/>
      <c r="AM758" s="177"/>
      <c r="AN758" s="177"/>
    </row>
    <row r="759" spans="1:40">
      <c r="A759" s="177"/>
      <c r="B759" s="177"/>
      <c r="C759" s="177"/>
      <c r="D759" s="177"/>
      <c r="AF759" s="177"/>
      <c r="AG759" s="177"/>
      <c r="AH759" s="177"/>
      <c r="AI759" s="177"/>
      <c r="AJ759" s="177"/>
      <c r="AK759" s="177"/>
      <c r="AL759" s="177"/>
      <c r="AM759" s="177"/>
      <c r="AN759" s="177"/>
    </row>
    <row r="760" spans="1:40">
      <c r="A760" s="177"/>
      <c r="B760" s="177"/>
      <c r="C760" s="177"/>
      <c r="D760" s="177"/>
      <c r="AF760" s="177"/>
      <c r="AG760" s="177"/>
      <c r="AH760" s="177"/>
      <c r="AI760" s="177"/>
      <c r="AJ760" s="177"/>
      <c r="AK760" s="177"/>
      <c r="AL760" s="177"/>
      <c r="AM760" s="177"/>
      <c r="AN760" s="177"/>
    </row>
    <row r="761" spans="1:40">
      <c r="A761" s="177"/>
      <c r="B761" s="177"/>
      <c r="C761" s="177"/>
      <c r="D761" s="177"/>
      <c r="AF761" s="177"/>
      <c r="AG761" s="177"/>
      <c r="AH761" s="177"/>
      <c r="AI761" s="177"/>
      <c r="AJ761" s="177"/>
      <c r="AK761" s="177"/>
      <c r="AL761" s="177"/>
      <c r="AM761" s="177"/>
      <c r="AN761" s="177"/>
    </row>
    <row r="762" spans="1:40">
      <c r="A762" s="177"/>
      <c r="B762" s="177"/>
      <c r="C762" s="177"/>
      <c r="D762" s="177"/>
      <c r="AF762" s="177"/>
      <c r="AG762" s="177"/>
      <c r="AH762" s="177"/>
      <c r="AI762" s="177"/>
      <c r="AJ762" s="177"/>
      <c r="AK762" s="177"/>
      <c r="AL762" s="177"/>
      <c r="AM762" s="177"/>
      <c r="AN762" s="177"/>
    </row>
    <row r="763" spans="1:40">
      <c r="A763" s="177"/>
      <c r="B763" s="177"/>
      <c r="C763" s="177"/>
      <c r="D763" s="177"/>
      <c r="AF763" s="177"/>
      <c r="AG763" s="177"/>
      <c r="AH763" s="177"/>
      <c r="AI763" s="177"/>
      <c r="AJ763" s="177"/>
      <c r="AK763" s="177"/>
      <c r="AL763" s="177"/>
      <c r="AM763" s="177"/>
      <c r="AN763" s="177"/>
    </row>
    <row r="764" spans="1:40">
      <c r="A764" s="177"/>
      <c r="B764" s="177"/>
      <c r="C764" s="177"/>
      <c r="D764" s="177"/>
      <c r="AF764" s="177"/>
      <c r="AG764" s="177"/>
      <c r="AH764" s="177"/>
      <c r="AI764" s="177"/>
      <c r="AJ764" s="177"/>
      <c r="AK764" s="177"/>
      <c r="AL764" s="177"/>
      <c r="AM764" s="177"/>
      <c r="AN764" s="177"/>
    </row>
    <row r="765" spans="1:40">
      <c r="A765" s="177"/>
      <c r="B765" s="177"/>
      <c r="C765" s="177"/>
      <c r="D765" s="177"/>
      <c r="AF765" s="177"/>
      <c r="AG765" s="177"/>
      <c r="AH765" s="177"/>
      <c r="AI765" s="177"/>
      <c r="AJ765" s="177"/>
      <c r="AK765" s="177"/>
      <c r="AL765" s="177"/>
      <c r="AM765" s="177"/>
      <c r="AN765" s="177"/>
    </row>
    <row r="766" spans="1:40">
      <c r="A766" s="177"/>
      <c r="B766" s="177"/>
      <c r="C766" s="177"/>
      <c r="D766" s="177"/>
      <c r="AF766" s="177"/>
      <c r="AG766" s="177"/>
      <c r="AH766" s="177"/>
      <c r="AI766" s="177"/>
      <c r="AJ766" s="177"/>
      <c r="AK766" s="177"/>
      <c r="AL766" s="177"/>
      <c r="AM766" s="177"/>
      <c r="AN766" s="177"/>
    </row>
    <row r="767" spans="1:40">
      <c r="A767" s="177"/>
      <c r="B767" s="177"/>
      <c r="C767" s="177"/>
      <c r="D767" s="177"/>
      <c r="AF767" s="177"/>
      <c r="AG767" s="177"/>
      <c r="AH767" s="177"/>
      <c r="AI767" s="177"/>
      <c r="AJ767" s="177"/>
      <c r="AK767" s="177"/>
      <c r="AL767" s="177"/>
      <c r="AM767" s="177"/>
      <c r="AN767" s="177"/>
    </row>
    <row r="768" spans="1:40">
      <c r="A768" s="177"/>
      <c r="B768" s="177"/>
      <c r="C768" s="177"/>
      <c r="D768" s="177"/>
      <c r="AF768" s="177"/>
      <c r="AG768" s="177"/>
      <c r="AH768" s="177"/>
      <c r="AI768" s="177"/>
      <c r="AJ768" s="177"/>
      <c r="AK768" s="177"/>
      <c r="AL768" s="177"/>
      <c r="AM768" s="177"/>
      <c r="AN768" s="177"/>
    </row>
    <row r="769" spans="1:40">
      <c r="A769" s="177"/>
      <c r="B769" s="177"/>
      <c r="C769" s="177"/>
      <c r="D769" s="177"/>
      <c r="AF769" s="177"/>
      <c r="AG769" s="177"/>
      <c r="AH769" s="177"/>
      <c r="AI769" s="177"/>
      <c r="AJ769" s="177"/>
      <c r="AK769" s="177"/>
      <c r="AL769" s="177"/>
      <c r="AM769" s="177"/>
      <c r="AN769" s="177"/>
    </row>
    <row r="770" spans="1:40">
      <c r="A770" s="177"/>
      <c r="B770" s="177"/>
      <c r="C770" s="177"/>
      <c r="D770" s="177"/>
      <c r="AF770" s="177"/>
      <c r="AG770" s="177"/>
      <c r="AH770" s="177"/>
      <c r="AI770" s="177"/>
      <c r="AJ770" s="177"/>
      <c r="AK770" s="177"/>
      <c r="AL770" s="177"/>
      <c r="AM770" s="177"/>
      <c r="AN770" s="177"/>
    </row>
    <row r="771" spans="1:40">
      <c r="A771" s="177"/>
      <c r="B771" s="177"/>
      <c r="C771" s="177"/>
      <c r="D771" s="177"/>
      <c r="AF771" s="177"/>
      <c r="AG771" s="177"/>
      <c r="AH771" s="177"/>
      <c r="AI771" s="177"/>
      <c r="AJ771" s="177"/>
      <c r="AK771" s="177"/>
      <c r="AL771" s="177"/>
      <c r="AM771" s="177"/>
      <c r="AN771" s="177"/>
    </row>
    <row r="772" spans="1:40">
      <c r="A772" s="177"/>
      <c r="B772" s="177"/>
      <c r="C772" s="177"/>
      <c r="D772" s="177"/>
      <c r="AF772" s="177"/>
      <c r="AG772" s="177"/>
      <c r="AH772" s="177"/>
      <c r="AI772" s="177"/>
      <c r="AJ772" s="177"/>
      <c r="AK772" s="177"/>
      <c r="AL772" s="177"/>
      <c r="AM772" s="177"/>
      <c r="AN772" s="177"/>
    </row>
    <row r="773" spans="1:40">
      <c r="A773" s="177"/>
      <c r="B773" s="177"/>
      <c r="C773" s="177"/>
      <c r="D773" s="177"/>
      <c r="AF773" s="177"/>
      <c r="AG773" s="177"/>
      <c r="AH773" s="177"/>
      <c r="AI773" s="177"/>
      <c r="AJ773" s="177"/>
      <c r="AK773" s="177"/>
      <c r="AL773" s="177"/>
      <c r="AM773" s="177"/>
      <c r="AN773" s="177"/>
    </row>
    <row r="774" spans="1:40">
      <c r="A774" s="177"/>
      <c r="B774" s="177"/>
      <c r="C774" s="177"/>
      <c r="D774" s="177"/>
      <c r="AF774" s="177"/>
      <c r="AG774" s="177"/>
      <c r="AH774" s="177"/>
      <c r="AI774" s="177"/>
      <c r="AJ774" s="177"/>
      <c r="AK774" s="177"/>
      <c r="AL774" s="177"/>
      <c r="AM774" s="177"/>
      <c r="AN774" s="177"/>
    </row>
    <row r="775" spans="1:40">
      <c r="A775" s="177"/>
      <c r="B775" s="177"/>
      <c r="C775" s="177"/>
      <c r="D775" s="177"/>
      <c r="AF775" s="177"/>
      <c r="AG775" s="177"/>
      <c r="AH775" s="177"/>
      <c r="AI775" s="177"/>
      <c r="AJ775" s="177"/>
      <c r="AK775" s="177"/>
      <c r="AL775" s="177"/>
      <c r="AM775" s="177"/>
      <c r="AN775" s="177"/>
    </row>
    <row r="776" spans="1:40">
      <c r="A776" s="177"/>
      <c r="B776" s="177"/>
      <c r="C776" s="177"/>
      <c r="D776" s="177"/>
      <c r="AF776" s="177"/>
      <c r="AG776" s="177"/>
      <c r="AH776" s="177"/>
      <c r="AI776" s="177"/>
      <c r="AJ776" s="177"/>
      <c r="AK776" s="177"/>
      <c r="AL776" s="177"/>
      <c r="AM776" s="177"/>
      <c r="AN776" s="177"/>
    </row>
    <row r="777" spans="1:40">
      <c r="A777" s="177"/>
      <c r="B777" s="177"/>
      <c r="C777" s="177"/>
      <c r="D777" s="177"/>
      <c r="AF777" s="177"/>
      <c r="AG777" s="177"/>
      <c r="AH777" s="177"/>
      <c r="AI777" s="177"/>
      <c r="AJ777" s="177"/>
      <c r="AK777" s="177"/>
      <c r="AL777" s="177"/>
      <c r="AM777" s="177"/>
      <c r="AN777" s="177"/>
    </row>
    <row r="778" spans="1:40">
      <c r="A778" s="177"/>
      <c r="B778" s="177"/>
      <c r="C778" s="177"/>
      <c r="D778" s="177"/>
      <c r="AF778" s="177"/>
      <c r="AG778" s="177"/>
      <c r="AH778" s="177"/>
      <c r="AI778" s="177"/>
      <c r="AJ778" s="177"/>
      <c r="AK778" s="177"/>
      <c r="AL778" s="177"/>
      <c r="AM778" s="177"/>
      <c r="AN778" s="177"/>
    </row>
    <row r="779" spans="1:40">
      <c r="A779" s="177"/>
      <c r="B779" s="177"/>
      <c r="C779" s="177"/>
      <c r="D779" s="177"/>
      <c r="AF779" s="177"/>
      <c r="AG779" s="177"/>
      <c r="AH779" s="177"/>
      <c r="AI779" s="177"/>
      <c r="AJ779" s="177"/>
      <c r="AK779" s="177"/>
      <c r="AL779" s="177"/>
      <c r="AM779" s="177"/>
      <c r="AN779" s="177"/>
    </row>
    <row r="780" spans="1:40">
      <c r="A780" s="177"/>
      <c r="B780" s="177"/>
      <c r="C780" s="177"/>
      <c r="D780" s="177"/>
      <c r="AF780" s="177"/>
      <c r="AG780" s="177"/>
      <c r="AH780" s="177"/>
      <c r="AI780" s="177"/>
      <c r="AJ780" s="177"/>
      <c r="AK780" s="177"/>
      <c r="AL780" s="177"/>
      <c r="AM780" s="177"/>
      <c r="AN780" s="177"/>
    </row>
    <row r="781" spans="1:40">
      <c r="A781" s="177"/>
      <c r="B781" s="177"/>
      <c r="C781" s="177"/>
      <c r="D781" s="177"/>
      <c r="AF781" s="177"/>
      <c r="AG781" s="177"/>
      <c r="AH781" s="177"/>
      <c r="AI781" s="177"/>
      <c r="AJ781" s="177"/>
      <c r="AK781" s="177"/>
      <c r="AL781" s="177"/>
      <c r="AM781" s="177"/>
      <c r="AN781" s="177"/>
    </row>
    <row r="782" spans="1:40">
      <c r="A782" s="177"/>
      <c r="B782" s="177"/>
      <c r="C782" s="177"/>
      <c r="D782" s="177"/>
      <c r="AF782" s="177"/>
      <c r="AG782" s="177"/>
      <c r="AH782" s="177"/>
      <c r="AI782" s="177"/>
      <c r="AJ782" s="177"/>
      <c r="AK782" s="177"/>
      <c r="AL782" s="177"/>
      <c r="AM782" s="177"/>
      <c r="AN782" s="177"/>
    </row>
    <row r="783" spans="1:40">
      <c r="A783" s="177"/>
      <c r="B783" s="177"/>
      <c r="C783" s="177"/>
      <c r="D783" s="177"/>
      <c r="AF783" s="177"/>
      <c r="AG783" s="177"/>
      <c r="AH783" s="177"/>
      <c r="AI783" s="177"/>
      <c r="AJ783" s="177"/>
      <c r="AK783" s="177"/>
      <c r="AL783" s="177"/>
      <c r="AM783" s="177"/>
      <c r="AN783" s="177"/>
    </row>
    <row r="784" spans="1:40">
      <c r="A784" s="177"/>
      <c r="B784" s="177"/>
      <c r="C784" s="177"/>
      <c r="D784" s="177"/>
      <c r="AF784" s="177"/>
      <c r="AG784" s="177"/>
      <c r="AH784" s="177"/>
      <c r="AI784" s="177"/>
      <c r="AJ784" s="177"/>
      <c r="AK784" s="177"/>
      <c r="AL784" s="177"/>
      <c r="AM784" s="177"/>
      <c r="AN784" s="177"/>
    </row>
    <row r="785" spans="1:40">
      <c r="A785" s="177"/>
      <c r="B785" s="177"/>
      <c r="C785" s="177"/>
      <c r="D785" s="177"/>
      <c r="AF785" s="177"/>
      <c r="AG785" s="177"/>
      <c r="AH785" s="177"/>
      <c r="AI785" s="177"/>
      <c r="AJ785" s="177"/>
      <c r="AK785" s="177"/>
      <c r="AL785" s="177"/>
      <c r="AM785" s="177"/>
      <c r="AN785" s="177"/>
    </row>
    <row r="786" spans="1:40">
      <c r="A786" s="177"/>
      <c r="B786" s="177"/>
      <c r="C786" s="177"/>
      <c r="D786" s="177"/>
      <c r="AF786" s="177"/>
      <c r="AG786" s="177"/>
      <c r="AH786" s="177"/>
      <c r="AI786" s="177"/>
      <c r="AJ786" s="177"/>
      <c r="AK786" s="177"/>
      <c r="AL786" s="177"/>
      <c r="AM786" s="177"/>
      <c r="AN786" s="177"/>
    </row>
    <row r="787" spans="1:40">
      <c r="A787" s="177"/>
      <c r="B787" s="177"/>
      <c r="C787" s="177"/>
      <c r="D787" s="177"/>
      <c r="AF787" s="177"/>
      <c r="AG787" s="177"/>
      <c r="AH787" s="177"/>
      <c r="AI787" s="177"/>
      <c r="AJ787" s="177"/>
      <c r="AK787" s="177"/>
      <c r="AL787" s="177"/>
      <c r="AM787" s="177"/>
      <c r="AN787" s="177"/>
    </row>
    <row r="788" spans="1:40">
      <c r="A788" s="177"/>
      <c r="B788" s="177"/>
      <c r="C788" s="177"/>
      <c r="D788" s="177"/>
      <c r="AF788" s="177"/>
      <c r="AG788" s="177"/>
      <c r="AH788" s="177"/>
      <c r="AI788" s="177"/>
      <c r="AJ788" s="177"/>
      <c r="AK788" s="177"/>
      <c r="AL788" s="177"/>
      <c r="AM788" s="177"/>
      <c r="AN788" s="177"/>
    </row>
    <row r="789" spans="1:40">
      <c r="A789" s="177"/>
      <c r="B789" s="177"/>
      <c r="C789" s="177"/>
      <c r="D789" s="177"/>
      <c r="AF789" s="177"/>
      <c r="AG789" s="177"/>
      <c r="AH789" s="177"/>
      <c r="AI789" s="177"/>
      <c r="AJ789" s="177"/>
      <c r="AK789" s="177"/>
      <c r="AL789" s="177"/>
      <c r="AM789" s="177"/>
      <c r="AN789" s="177"/>
    </row>
    <row r="790" spans="1:40">
      <c r="A790" s="177"/>
      <c r="B790" s="177"/>
      <c r="C790" s="177"/>
      <c r="D790" s="177"/>
      <c r="AF790" s="177"/>
      <c r="AG790" s="177"/>
      <c r="AH790" s="177"/>
      <c r="AI790" s="177"/>
      <c r="AJ790" s="177"/>
      <c r="AK790" s="177"/>
      <c r="AL790" s="177"/>
      <c r="AM790" s="177"/>
      <c r="AN790" s="177"/>
    </row>
    <row r="791" spans="1:40">
      <c r="A791" s="177"/>
      <c r="B791" s="177"/>
      <c r="C791" s="177"/>
      <c r="D791" s="177"/>
      <c r="AF791" s="177"/>
      <c r="AG791" s="177"/>
      <c r="AH791" s="177"/>
      <c r="AI791" s="177"/>
      <c r="AJ791" s="177"/>
      <c r="AK791" s="177"/>
      <c r="AL791" s="177"/>
      <c r="AM791" s="177"/>
      <c r="AN791" s="177"/>
    </row>
    <row r="792" spans="1:40">
      <c r="A792" s="177"/>
      <c r="B792" s="177"/>
      <c r="C792" s="177"/>
      <c r="D792" s="177"/>
      <c r="AF792" s="177"/>
      <c r="AG792" s="177"/>
      <c r="AH792" s="177"/>
      <c r="AI792" s="177"/>
      <c r="AJ792" s="177"/>
      <c r="AK792" s="177"/>
      <c r="AL792" s="177"/>
      <c r="AM792" s="177"/>
      <c r="AN792" s="177"/>
    </row>
    <row r="793" spans="1:40">
      <c r="A793" s="177"/>
      <c r="B793" s="177"/>
      <c r="C793" s="177"/>
      <c r="D793" s="177"/>
      <c r="AF793" s="177"/>
      <c r="AG793" s="177"/>
      <c r="AH793" s="177"/>
      <c r="AI793" s="177"/>
      <c r="AJ793" s="177"/>
      <c r="AK793" s="177"/>
      <c r="AL793" s="177"/>
      <c r="AM793" s="177"/>
      <c r="AN793" s="177"/>
    </row>
    <row r="794" spans="1:40">
      <c r="A794" s="177"/>
      <c r="B794" s="177"/>
      <c r="C794" s="177"/>
      <c r="D794" s="177"/>
      <c r="AF794" s="177"/>
      <c r="AG794" s="177"/>
      <c r="AH794" s="177"/>
      <c r="AI794" s="177"/>
      <c r="AJ794" s="177"/>
      <c r="AK794" s="177"/>
      <c r="AL794" s="177"/>
      <c r="AM794" s="177"/>
      <c r="AN794" s="177"/>
    </row>
    <row r="795" spans="1:40">
      <c r="A795" s="177"/>
      <c r="B795" s="177"/>
      <c r="C795" s="177"/>
      <c r="D795" s="177"/>
      <c r="AF795" s="177"/>
      <c r="AG795" s="177"/>
      <c r="AH795" s="177"/>
      <c r="AI795" s="177"/>
      <c r="AJ795" s="177"/>
      <c r="AK795" s="177"/>
      <c r="AL795" s="177"/>
      <c r="AM795" s="177"/>
      <c r="AN795" s="177"/>
    </row>
    <row r="796" spans="1:40">
      <c r="A796" s="177"/>
      <c r="B796" s="177"/>
      <c r="C796" s="177"/>
      <c r="D796" s="177"/>
      <c r="AF796" s="177"/>
      <c r="AG796" s="177"/>
      <c r="AH796" s="177"/>
      <c r="AI796" s="177"/>
      <c r="AJ796" s="177"/>
      <c r="AK796" s="177"/>
      <c r="AL796" s="177"/>
      <c r="AM796" s="177"/>
      <c r="AN796" s="177"/>
    </row>
    <row r="797" spans="1:40">
      <c r="A797" s="177"/>
      <c r="B797" s="177"/>
      <c r="C797" s="177"/>
      <c r="D797" s="177"/>
      <c r="AF797" s="177"/>
      <c r="AG797" s="177"/>
      <c r="AH797" s="177"/>
      <c r="AI797" s="177"/>
      <c r="AJ797" s="177"/>
      <c r="AK797" s="177"/>
      <c r="AL797" s="177"/>
      <c r="AM797" s="177"/>
      <c r="AN797" s="177"/>
    </row>
    <row r="798" spans="1:40">
      <c r="A798" s="177"/>
      <c r="B798" s="177"/>
      <c r="C798" s="177"/>
      <c r="D798" s="177"/>
      <c r="AF798" s="177"/>
      <c r="AG798" s="177"/>
      <c r="AH798" s="177"/>
      <c r="AI798" s="177"/>
      <c r="AJ798" s="177"/>
      <c r="AK798" s="177"/>
      <c r="AL798" s="177"/>
      <c r="AM798" s="177"/>
      <c r="AN798" s="177"/>
    </row>
    <row r="799" spans="1:40">
      <c r="A799" s="177"/>
      <c r="B799" s="177"/>
      <c r="C799" s="177"/>
      <c r="D799" s="177"/>
      <c r="AF799" s="177"/>
      <c r="AG799" s="177"/>
      <c r="AH799" s="177"/>
      <c r="AI799" s="177"/>
      <c r="AJ799" s="177"/>
      <c r="AK799" s="177"/>
      <c r="AL799" s="177"/>
      <c r="AM799" s="177"/>
      <c r="AN799" s="177"/>
    </row>
    <row r="800" spans="1:40">
      <c r="A800" s="177"/>
      <c r="B800" s="177"/>
      <c r="C800" s="177"/>
      <c r="D800" s="177"/>
      <c r="AF800" s="177"/>
      <c r="AG800" s="177"/>
      <c r="AH800" s="177"/>
      <c r="AI800" s="177"/>
      <c r="AJ800" s="177"/>
      <c r="AK800" s="177"/>
      <c r="AL800" s="177"/>
      <c r="AM800" s="177"/>
      <c r="AN800" s="177"/>
    </row>
    <row r="801" spans="1:40">
      <c r="A801" s="177"/>
      <c r="B801" s="177"/>
      <c r="C801" s="177"/>
      <c r="D801" s="177"/>
      <c r="AF801" s="177"/>
      <c r="AG801" s="177"/>
      <c r="AH801" s="177"/>
      <c r="AI801" s="177"/>
      <c r="AJ801" s="177"/>
      <c r="AK801" s="177"/>
      <c r="AL801" s="177"/>
      <c r="AM801" s="177"/>
      <c r="AN801" s="177"/>
    </row>
    <row r="802" spans="1:40">
      <c r="A802" s="177"/>
      <c r="B802" s="177"/>
      <c r="C802" s="177"/>
      <c r="D802" s="177"/>
      <c r="AF802" s="177"/>
      <c r="AG802" s="177"/>
      <c r="AH802" s="177"/>
      <c r="AI802" s="177"/>
      <c r="AJ802" s="177"/>
      <c r="AK802" s="177"/>
      <c r="AL802" s="177"/>
      <c r="AM802" s="177"/>
      <c r="AN802" s="177"/>
    </row>
    <row r="803" spans="1:40">
      <c r="A803" s="177"/>
      <c r="B803" s="177"/>
      <c r="C803" s="177"/>
      <c r="D803" s="177"/>
      <c r="AF803" s="177"/>
      <c r="AG803" s="177"/>
      <c r="AH803" s="177"/>
      <c r="AI803" s="177"/>
      <c r="AJ803" s="177"/>
      <c r="AK803" s="177"/>
      <c r="AL803" s="177"/>
      <c r="AM803" s="177"/>
      <c r="AN803" s="177"/>
    </row>
    <row r="804" spans="1:40">
      <c r="A804" s="177"/>
      <c r="B804" s="177"/>
      <c r="C804" s="177"/>
      <c r="D804" s="177"/>
      <c r="AF804" s="177"/>
      <c r="AG804" s="177"/>
      <c r="AH804" s="177"/>
      <c r="AI804" s="177"/>
      <c r="AJ804" s="177"/>
      <c r="AK804" s="177"/>
      <c r="AL804" s="177"/>
      <c r="AM804" s="177"/>
      <c r="AN804" s="177"/>
    </row>
    <row r="805" spans="1:40">
      <c r="A805" s="177"/>
      <c r="B805" s="177"/>
      <c r="C805" s="177"/>
      <c r="D805" s="177"/>
      <c r="AF805" s="177"/>
      <c r="AG805" s="177"/>
      <c r="AH805" s="177"/>
      <c r="AI805" s="177"/>
      <c r="AJ805" s="177"/>
      <c r="AK805" s="177"/>
      <c r="AL805" s="177"/>
      <c r="AM805" s="177"/>
      <c r="AN805" s="177"/>
    </row>
    <row r="806" spans="1:40">
      <c r="A806" s="177"/>
      <c r="B806" s="177"/>
      <c r="C806" s="177"/>
      <c r="D806" s="177"/>
      <c r="AF806" s="177"/>
      <c r="AG806" s="177"/>
      <c r="AH806" s="177"/>
      <c r="AI806" s="177"/>
      <c r="AJ806" s="177"/>
      <c r="AK806" s="177"/>
      <c r="AL806" s="177"/>
      <c r="AM806" s="177"/>
      <c r="AN806" s="177"/>
    </row>
    <row r="807" spans="1:40">
      <c r="A807" s="177"/>
      <c r="B807" s="177"/>
      <c r="C807" s="177"/>
      <c r="D807" s="177"/>
      <c r="AF807" s="177"/>
      <c r="AG807" s="177"/>
      <c r="AH807" s="177"/>
      <c r="AI807" s="177"/>
      <c r="AJ807" s="177"/>
      <c r="AK807" s="177"/>
      <c r="AL807" s="177"/>
      <c r="AM807" s="177"/>
      <c r="AN807" s="177"/>
    </row>
    <row r="808" spans="1:40">
      <c r="A808" s="177"/>
      <c r="B808" s="177"/>
      <c r="C808" s="177"/>
      <c r="D808" s="177"/>
      <c r="AF808" s="177"/>
      <c r="AG808" s="177"/>
      <c r="AH808" s="177"/>
      <c r="AI808" s="177"/>
      <c r="AJ808" s="177"/>
      <c r="AK808" s="177"/>
      <c r="AL808" s="177"/>
      <c r="AM808" s="177"/>
      <c r="AN808" s="177"/>
    </row>
    <row r="809" spans="1:40">
      <c r="A809" s="177"/>
      <c r="B809" s="177"/>
      <c r="C809" s="177"/>
      <c r="D809" s="177"/>
      <c r="AF809" s="177"/>
      <c r="AG809" s="177"/>
      <c r="AH809" s="177"/>
      <c r="AI809" s="177"/>
      <c r="AJ809" s="177"/>
      <c r="AK809" s="177"/>
      <c r="AL809" s="177"/>
      <c r="AM809" s="177"/>
      <c r="AN809" s="177"/>
    </row>
    <row r="810" spans="1:40">
      <c r="A810" s="177"/>
      <c r="B810" s="177"/>
      <c r="C810" s="177"/>
      <c r="D810" s="177"/>
      <c r="AF810" s="177"/>
      <c r="AG810" s="177"/>
      <c r="AH810" s="177"/>
      <c r="AI810" s="177"/>
      <c r="AJ810" s="177"/>
      <c r="AK810" s="177"/>
      <c r="AL810" s="177"/>
      <c r="AM810" s="177"/>
      <c r="AN810" s="177"/>
    </row>
    <row r="811" spans="1:40">
      <c r="A811" s="177"/>
      <c r="B811" s="177"/>
      <c r="C811" s="177"/>
      <c r="D811" s="177"/>
      <c r="AF811" s="177"/>
      <c r="AG811" s="177"/>
      <c r="AH811" s="177"/>
      <c r="AI811" s="177"/>
      <c r="AJ811" s="177"/>
      <c r="AK811" s="177"/>
      <c r="AL811" s="177"/>
      <c r="AM811" s="177"/>
      <c r="AN811" s="177"/>
    </row>
    <row r="812" spans="1:40">
      <c r="A812" s="177"/>
      <c r="B812" s="177"/>
      <c r="C812" s="177"/>
      <c r="D812" s="177"/>
      <c r="AF812" s="177"/>
      <c r="AG812" s="177"/>
      <c r="AH812" s="177"/>
      <c r="AI812" s="177"/>
      <c r="AJ812" s="177"/>
      <c r="AK812" s="177"/>
      <c r="AL812" s="177"/>
      <c r="AM812" s="177"/>
      <c r="AN812" s="177"/>
    </row>
    <row r="813" spans="1:40">
      <c r="A813" s="177"/>
      <c r="B813" s="177"/>
      <c r="C813" s="177"/>
      <c r="D813" s="177"/>
      <c r="AF813" s="177"/>
      <c r="AG813" s="177"/>
      <c r="AH813" s="177"/>
      <c r="AI813" s="177"/>
      <c r="AJ813" s="177"/>
      <c r="AK813" s="177"/>
      <c r="AL813" s="177"/>
      <c r="AM813" s="177"/>
      <c r="AN813" s="177"/>
    </row>
    <row r="814" spans="1:40">
      <c r="A814" s="177"/>
      <c r="B814" s="177"/>
      <c r="C814" s="177"/>
      <c r="D814" s="177"/>
      <c r="AF814" s="177"/>
      <c r="AG814" s="177"/>
      <c r="AH814" s="177"/>
      <c r="AI814" s="177"/>
      <c r="AJ814" s="177"/>
      <c r="AK814" s="177"/>
      <c r="AL814" s="177"/>
      <c r="AM814" s="177"/>
      <c r="AN814" s="177"/>
    </row>
    <row r="815" spans="1:40">
      <c r="A815" s="177"/>
      <c r="B815" s="177"/>
      <c r="C815" s="177"/>
      <c r="D815" s="177"/>
      <c r="AF815" s="177"/>
      <c r="AG815" s="177"/>
      <c r="AH815" s="177"/>
      <c r="AI815" s="177"/>
      <c r="AJ815" s="177"/>
      <c r="AK815" s="177"/>
      <c r="AL815" s="177"/>
      <c r="AM815" s="177"/>
      <c r="AN815" s="177"/>
    </row>
    <row r="816" spans="1:40">
      <c r="A816" s="177"/>
      <c r="B816" s="177"/>
      <c r="C816" s="177"/>
      <c r="D816" s="177"/>
      <c r="AF816" s="177"/>
      <c r="AG816" s="177"/>
      <c r="AH816" s="177"/>
      <c r="AI816" s="177"/>
      <c r="AJ816" s="177"/>
      <c r="AK816" s="177"/>
      <c r="AL816" s="177"/>
      <c r="AM816" s="177"/>
      <c r="AN816" s="177"/>
    </row>
    <row r="817" spans="1:40">
      <c r="A817" s="177"/>
      <c r="B817" s="177"/>
      <c r="C817" s="177"/>
      <c r="D817" s="177"/>
      <c r="AF817" s="177"/>
      <c r="AG817" s="177"/>
      <c r="AH817" s="177"/>
      <c r="AI817" s="177"/>
      <c r="AJ817" s="177"/>
      <c r="AK817" s="177"/>
      <c r="AL817" s="177"/>
      <c r="AM817" s="177"/>
      <c r="AN817" s="177"/>
    </row>
    <row r="818" spans="1:40">
      <c r="A818" s="177"/>
      <c r="B818" s="177"/>
      <c r="C818" s="177"/>
      <c r="D818" s="177"/>
      <c r="AF818" s="177"/>
      <c r="AG818" s="177"/>
      <c r="AH818" s="177"/>
      <c r="AI818" s="177"/>
      <c r="AJ818" s="177"/>
      <c r="AK818" s="177"/>
      <c r="AL818" s="177"/>
      <c r="AM818" s="177"/>
      <c r="AN818" s="177"/>
    </row>
    <row r="819" spans="1:40">
      <c r="A819" s="177"/>
      <c r="B819" s="177"/>
      <c r="C819" s="177"/>
      <c r="D819" s="177"/>
      <c r="AF819" s="177"/>
      <c r="AG819" s="177"/>
      <c r="AH819" s="177"/>
      <c r="AI819" s="177"/>
      <c r="AJ819" s="177"/>
      <c r="AK819" s="177"/>
      <c r="AL819" s="177"/>
      <c r="AM819" s="177"/>
      <c r="AN819" s="177"/>
    </row>
    <row r="820" spans="1:40">
      <c r="A820" s="177"/>
      <c r="B820" s="177"/>
      <c r="C820" s="177"/>
      <c r="D820" s="177"/>
      <c r="AF820" s="177"/>
      <c r="AG820" s="177"/>
      <c r="AH820" s="177"/>
      <c r="AI820" s="177"/>
      <c r="AJ820" s="177"/>
      <c r="AK820" s="177"/>
      <c r="AL820" s="177"/>
      <c r="AM820" s="177"/>
      <c r="AN820" s="177"/>
    </row>
    <row r="821" spans="1:40">
      <c r="A821" s="177"/>
      <c r="B821" s="177"/>
      <c r="C821" s="177"/>
      <c r="D821" s="177"/>
      <c r="AF821" s="177"/>
      <c r="AG821" s="177"/>
      <c r="AH821" s="177"/>
      <c r="AI821" s="177"/>
      <c r="AJ821" s="177"/>
      <c r="AK821" s="177"/>
      <c r="AL821" s="177"/>
      <c r="AM821" s="177"/>
      <c r="AN821" s="177"/>
    </row>
    <row r="822" spans="1:40">
      <c r="A822" s="177"/>
      <c r="B822" s="177"/>
      <c r="C822" s="177"/>
      <c r="D822" s="177"/>
      <c r="AF822" s="177"/>
      <c r="AG822" s="177"/>
      <c r="AH822" s="177"/>
      <c r="AI822" s="177"/>
      <c r="AJ822" s="177"/>
      <c r="AK822" s="177"/>
      <c r="AL822" s="177"/>
      <c r="AM822" s="177"/>
      <c r="AN822" s="177"/>
    </row>
    <row r="823" spans="1:40">
      <c r="A823" s="177"/>
      <c r="B823" s="177"/>
      <c r="C823" s="177"/>
      <c r="D823" s="177"/>
      <c r="AF823" s="177"/>
      <c r="AG823" s="177"/>
      <c r="AH823" s="177"/>
      <c r="AI823" s="177"/>
      <c r="AJ823" s="177"/>
      <c r="AK823" s="177"/>
      <c r="AL823" s="177"/>
      <c r="AM823" s="177"/>
      <c r="AN823" s="177"/>
    </row>
    <row r="824" spans="1:40">
      <c r="A824" s="177"/>
      <c r="B824" s="177"/>
      <c r="C824" s="177"/>
      <c r="D824" s="177"/>
      <c r="AF824" s="177"/>
      <c r="AG824" s="177"/>
      <c r="AH824" s="177"/>
      <c r="AI824" s="177"/>
      <c r="AJ824" s="177"/>
      <c r="AK824" s="177"/>
      <c r="AL824" s="177"/>
      <c r="AM824" s="177"/>
      <c r="AN824" s="177"/>
    </row>
    <row r="825" spans="1:40">
      <c r="A825" s="177"/>
      <c r="B825" s="177"/>
      <c r="C825" s="177"/>
      <c r="D825" s="177"/>
      <c r="AF825" s="177"/>
      <c r="AG825" s="177"/>
      <c r="AH825" s="177"/>
      <c r="AI825" s="177"/>
      <c r="AJ825" s="177"/>
      <c r="AK825" s="177"/>
      <c r="AL825" s="177"/>
      <c r="AM825" s="177"/>
      <c r="AN825" s="177"/>
    </row>
    <row r="826" spans="1:40">
      <c r="A826" s="177"/>
      <c r="B826" s="177"/>
      <c r="C826" s="177"/>
      <c r="D826" s="177"/>
      <c r="AF826" s="177"/>
      <c r="AG826" s="177"/>
      <c r="AH826" s="177"/>
      <c r="AI826" s="177"/>
      <c r="AJ826" s="177"/>
      <c r="AK826" s="177"/>
      <c r="AL826" s="177"/>
      <c r="AM826" s="177"/>
      <c r="AN826" s="177"/>
    </row>
    <row r="827" spans="1:40">
      <c r="A827" s="177"/>
      <c r="B827" s="177"/>
      <c r="C827" s="177"/>
      <c r="D827" s="177"/>
      <c r="AF827" s="177"/>
      <c r="AG827" s="177"/>
      <c r="AH827" s="177"/>
      <c r="AI827" s="177"/>
      <c r="AJ827" s="177"/>
      <c r="AK827" s="177"/>
      <c r="AL827" s="177"/>
      <c r="AM827" s="177"/>
      <c r="AN827" s="177"/>
    </row>
    <row r="828" spans="1:40">
      <c r="A828" s="177"/>
      <c r="B828" s="177"/>
      <c r="C828" s="177"/>
      <c r="D828" s="177"/>
      <c r="AF828" s="177"/>
      <c r="AG828" s="177"/>
      <c r="AH828" s="177"/>
      <c r="AI828" s="177"/>
      <c r="AJ828" s="177"/>
      <c r="AK828" s="177"/>
      <c r="AL828" s="177"/>
      <c r="AM828" s="177"/>
      <c r="AN828" s="177"/>
    </row>
    <row r="829" spans="1:40">
      <c r="A829" s="177"/>
      <c r="B829" s="177"/>
      <c r="C829" s="177"/>
      <c r="D829" s="177"/>
      <c r="AF829" s="177"/>
      <c r="AG829" s="177"/>
      <c r="AH829" s="177"/>
      <c r="AI829" s="177"/>
      <c r="AJ829" s="177"/>
      <c r="AK829" s="177"/>
      <c r="AL829" s="177"/>
      <c r="AM829" s="177"/>
      <c r="AN829" s="177"/>
    </row>
    <row r="830" spans="1:40">
      <c r="A830" s="177"/>
      <c r="B830" s="177"/>
      <c r="C830" s="177"/>
      <c r="D830" s="177"/>
      <c r="AF830" s="177"/>
      <c r="AG830" s="177"/>
      <c r="AH830" s="177"/>
      <c r="AI830" s="177"/>
      <c r="AJ830" s="177"/>
      <c r="AK830" s="177"/>
      <c r="AL830" s="177"/>
      <c r="AM830" s="177"/>
      <c r="AN830" s="177"/>
    </row>
    <row r="831" spans="1:40">
      <c r="A831" s="177"/>
      <c r="B831" s="177"/>
      <c r="C831" s="177"/>
      <c r="D831" s="177"/>
      <c r="AF831" s="177"/>
      <c r="AG831" s="177"/>
      <c r="AH831" s="177"/>
      <c r="AI831" s="177"/>
      <c r="AJ831" s="177"/>
      <c r="AK831" s="177"/>
      <c r="AL831" s="177"/>
      <c r="AM831" s="177"/>
      <c r="AN831" s="177"/>
    </row>
    <row r="832" spans="1:40">
      <c r="A832" s="177"/>
      <c r="B832" s="177"/>
      <c r="C832" s="177"/>
      <c r="D832" s="177"/>
      <c r="AF832" s="177"/>
      <c r="AG832" s="177"/>
      <c r="AH832" s="177"/>
      <c r="AI832" s="177"/>
      <c r="AJ832" s="177"/>
      <c r="AK832" s="177"/>
      <c r="AL832" s="177"/>
      <c r="AM832" s="177"/>
      <c r="AN832" s="177"/>
    </row>
    <row r="833" spans="1:40">
      <c r="A833" s="177"/>
      <c r="B833" s="177"/>
      <c r="C833" s="177"/>
      <c r="D833" s="177"/>
      <c r="AF833" s="177"/>
      <c r="AG833" s="177"/>
      <c r="AH833" s="177"/>
      <c r="AI833" s="177"/>
      <c r="AJ833" s="177"/>
      <c r="AK833" s="177"/>
      <c r="AL833" s="177"/>
      <c r="AM833" s="177"/>
      <c r="AN833" s="177"/>
    </row>
    <row r="834" spans="1:40">
      <c r="A834" s="177"/>
      <c r="B834" s="177"/>
      <c r="C834" s="177"/>
      <c r="D834" s="177"/>
      <c r="AF834" s="177"/>
      <c r="AG834" s="177"/>
      <c r="AH834" s="177"/>
      <c r="AI834" s="177"/>
      <c r="AJ834" s="177"/>
      <c r="AK834" s="177"/>
      <c r="AL834" s="177"/>
      <c r="AM834" s="177"/>
      <c r="AN834" s="177"/>
    </row>
    <row r="835" spans="1:40">
      <c r="A835" s="177"/>
      <c r="B835" s="177"/>
      <c r="C835" s="177"/>
      <c r="D835" s="177"/>
      <c r="AF835" s="177"/>
      <c r="AG835" s="177"/>
      <c r="AH835" s="177"/>
      <c r="AI835" s="177"/>
      <c r="AJ835" s="177"/>
      <c r="AK835" s="177"/>
      <c r="AL835" s="177"/>
      <c r="AM835" s="177"/>
      <c r="AN835" s="177"/>
    </row>
    <row r="836" spans="1:40">
      <c r="A836" s="177"/>
      <c r="B836" s="177"/>
      <c r="C836" s="177"/>
      <c r="D836" s="177"/>
      <c r="AF836" s="177"/>
      <c r="AG836" s="177"/>
      <c r="AH836" s="177"/>
      <c r="AI836" s="177"/>
      <c r="AJ836" s="177"/>
      <c r="AK836" s="177"/>
      <c r="AL836" s="177"/>
      <c r="AM836" s="177"/>
      <c r="AN836" s="177"/>
    </row>
    <row r="837" spans="1:40">
      <c r="A837" s="177"/>
      <c r="B837" s="177"/>
      <c r="C837" s="177"/>
      <c r="D837" s="177"/>
      <c r="AF837" s="177"/>
      <c r="AG837" s="177"/>
      <c r="AH837" s="177"/>
      <c r="AI837" s="177"/>
      <c r="AJ837" s="177"/>
      <c r="AK837" s="177"/>
      <c r="AL837" s="177"/>
      <c r="AM837" s="177"/>
      <c r="AN837" s="177"/>
    </row>
    <row r="838" spans="1:40">
      <c r="A838" s="177"/>
      <c r="B838" s="177"/>
      <c r="C838" s="177"/>
      <c r="D838" s="177"/>
      <c r="AF838" s="177"/>
      <c r="AG838" s="177"/>
      <c r="AH838" s="177"/>
      <c r="AI838" s="177"/>
      <c r="AJ838" s="177"/>
      <c r="AK838" s="177"/>
      <c r="AL838" s="177"/>
      <c r="AM838" s="177"/>
      <c r="AN838" s="177"/>
    </row>
    <row r="839" spans="1:40">
      <c r="A839" s="177"/>
      <c r="B839" s="177"/>
      <c r="C839" s="177"/>
      <c r="D839" s="177"/>
      <c r="AF839" s="177"/>
      <c r="AG839" s="177"/>
      <c r="AH839" s="177"/>
      <c r="AI839" s="177"/>
      <c r="AJ839" s="177"/>
      <c r="AK839" s="177"/>
      <c r="AL839" s="177"/>
      <c r="AM839" s="177"/>
      <c r="AN839" s="177"/>
    </row>
    <row r="840" spans="1:40">
      <c r="A840" s="177"/>
      <c r="B840" s="177"/>
      <c r="C840" s="177"/>
      <c r="D840" s="177"/>
      <c r="AF840" s="177"/>
      <c r="AG840" s="177"/>
      <c r="AH840" s="177"/>
      <c r="AI840" s="177"/>
      <c r="AJ840" s="177"/>
      <c r="AK840" s="177"/>
      <c r="AL840" s="177"/>
      <c r="AM840" s="177"/>
      <c r="AN840" s="177"/>
    </row>
    <row r="841" spans="1:40">
      <c r="A841" s="177"/>
      <c r="B841" s="177"/>
      <c r="C841" s="177"/>
      <c r="D841" s="177"/>
      <c r="AF841" s="177"/>
      <c r="AG841" s="177"/>
      <c r="AH841" s="177"/>
      <c r="AI841" s="177"/>
      <c r="AJ841" s="177"/>
      <c r="AK841" s="177"/>
      <c r="AL841" s="177"/>
      <c r="AM841" s="177"/>
      <c r="AN841" s="177"/>
    </row>
    <row r="842" spans="1:40">
      <c r="A842" s="177"/>
      <c r="B842" s="177"/>
      <c r="C842" s="177"/>
      <c r="D842" s="177"/>
      <c r="AF842" s="177"/>
      <c r="AG842" s="177"/>
      <c r="AH842" s="177"/>
      <c r="AI842" s="177"/>
      <c r="AJ842" s="177"/>
      <c r="AK842" s="177"/>
      <c r="AL842" s="177"/>
      <c r="AM842" s="177"/>
      <c r="AN842" s="177"/>
    </row>
    <row r="843" spans="1:40">
      <c r="A843" s="177"/>
      <c r="B843" s="177"/>
      <c r="C843" s="177"/>
      <c r="D843" s="177"/>
      <c r="AF843" s="177"/>
      <c r="AG843" s="177"/>
      <c r="AH843" s="177"/>
      <c r="AI843" s="177"/>
      <c r="AJ843" s="177"/>
      <c r="AK843" s="177"/>
      <c r="AL843" s="177"/>
      <c r="AM843" s="177"/>
      <c r="AN843" s="177"/>
    </row>
    <row r="844" spans="1:40">
      <c r="A844" s="177"/>
      <c r="B844" s="177"/>
      <c r="C844" s="177"/>
      <c r="D844" s="177"/>
      <c r="AF844" s="177"/>
      <c r="AG844" s="177"/>
      <c r="AH844" s="177"/>
      <c r="AI844" s="177"/>
      <c r="AJ844" s="177"/>
      <c r="AK844" s="177"/>
      <c r="AL844" s="177"/>
      <c r="AM844" s="177"/>
      <c r="AN844" s="177"/>
    </row>
    <row r="845" spans="1:40">
      <c r="A845" s="177"/>
      <c r="B845" s="177"/>
      <c r="C845" s="177"/>
      <c r="D845" s="177"/>
      <c r="AF845" s="177"/>
      <c r="AG845" s="177"/>
      <c r="AH845" s="177"/>
      <c r="AI845" s="177"/>
      <c r="AJ845" s="177"/>
      <c r="AK845" s="177"/>
      <c r="AL845" s="177"/>
      <c r="AM845" s="177"/>
      <c r="AN845" s="177"/>
    </row>
    <row r="846" spans="1:40">
      <c r="A846" s="177"/>
      <c r="B846" s="177"/>
      <c r="C846" s="177"/>
      <c r="D846" s="177"/>
      <c r="AF846" s="177"/>
      <c r="AG846" s="177"/>
      <c r="AH846" s="177"/>
      <c r="AI846" s="177"/>
      <c r="AJ846" s="177"/>
      <c r="AK846" s="177"/>
      <c r="AL846" s="177"/>
      <c r="AM846" s="177"/>
      <c r="AN846" s="177"/>
    </row>
    <row r="847" spans="1:40">
      <c r="A847" s="177"/>
      <c r="B847" s="177"/>
      <c r="C847" s="177"/>
      <c r="D847" s="177"/>
      <c r="AF847" s="177"/>
      <c r="AG847" s="177"/>
      <c r="AH847" s="177"/>
      <c r="AI847" s="177"/>
      <c r="AJ847" s="177"/>
      <c r="AK847" s="177"/>
      <c r="AL847" s="177"/>
      <c r="AM847" s="177"/>
      <c r="AN847" s="177"/>
    </row>
    <row r="848" spans="1:40">
      <c r="A848" s="177"/>
      <c r="B848" s="177"/>
      <c r="C848" s="177"/>
      <c r="D848" s="177"/>
      <c r="AF848" s="177"/>
      <c r="AG848" s="177"/>
      <c r="AH848" s="177"/>
      <c r="AI848" s="177"/>
      <c r="AJ848" s="177"/>
      <c r="AK848" s="177"/>
      <c r="AL848" s="177"/>
      <c r="AM848" s="177"/>
      <c r="AN848" s="177"/>
    </row>
    <row r="849" spans="1:40">
      <c r="A849" s="177"/>
      <c r="B849" s="177"/>
      <c r="C849" s="177"/>
      <c r="D849" s="177"/>
      <c r="AF849" s="177"/>
      <c r="AG849" s="177"/>
      <c r="AH849" s="177"/>
      <c r="AI849" s="177"/>
      <c r="AJ849" s="177"/>
      <c r="AK849" s="177"/>
      <c r="AL849" s="177"/>
      <c r="AM849" s="177"/>
      <c r="AN849" s="177"/>
    </row>
    <row r="850" spans="1:40">
      <c r="A850" s="177"/>
      <c r="B850" s="177"/>
      <c r="C850" s="177"/>
      <c r="D850" s="177"/>
      <c r="AF850" s="177"/>
      <c r="AG850" s="177"/>
      <c r="AH850" s="177"/>
      <c r="AI850" s="177"/>
      <c r="AJ850" s="177"/>
      <c r="AK850" s="177"/>
      <c r="AL850" s="177"/>
      <c r="AM850" s="177"/>
      <c r="AN850" s="177"/>
    </row>
    <row r="851" spans="1:40">
      <c r="A851" s="177"/>
      <c r="B851" s="177"/>
      <c r="C851" s="177"/>
      <c r="D851" s="177"/>
      <c r="AF851" s="177"/>
      <c r="AG851" s="177"/>
      <c r="AH851" s="177"/>
      <c r="AI851" s="177"/>
      <c r="AJ851" s="177"/>
      <c r="AK851" s="177"/>
      <c r="AL851" s="177"/>
      <c r="AM851" s="177"/>
      <c r="AN851" s="177"/>
    </row>
    <row r="852" spans="1:40">
      <c r="A852" s="177"/>
      <c r="B852" s="177"/>
      <c r="C852" s="177"/>
      <c r="D852" s="177"/>
      <c r="AF852" s="177"/>
      <c r="AG852" s="177"/>
      <c r="AH852" s="177"/>
      <c r="AI852" s="177"/>
      <c r="AJ852" s="177"/>
      <c r="AK852" s="177"/>
      <c r="AL852" s="177"/>
      <c r="AM852" s="177"/>
      <c r="AN852" s="177"/>
    </row>
    <row r="853" spans="1:40">
      <c r="A853" s="177"/>
      <c r="B853" s="177"/>
      <c r="C853" s="177"/>
      <c r="D853" s="177"/>
      <c r="AF853" s="177"/>
      <c r="AG853" s="177"/>
      <c r="AH853" s="177"/>
      <c r="AI853" s="177"/>
      <c r="AJ853" s="177"/>
      <c r="AK853" s="177"/>
      <c r="AL853" s="177"/>
      <c r="AM853" s="177"/>
      <c r="AN853" s="177"/>
    </row>
    <row r="854" spans="1:40">
      <c r="A854" s="177"/>
      <c r="B854" s="177"/>
      <c r="C854" s="177"/>
      <c r="D854" s="177"/>
      <c r="AF854" s="177"/>
      <c r="AG854" s="177"/>
      <c r="AH854" s="177"/>
      <c r="AI854" s="177"/>
      <c r="AJ854" s="177"/>
      <c r="AK854" s="177"/>
      <c r="AL854" s="177"/>
      <c r="AM854" s="177"/>
      <c r="AN854" s="177"/>
    </row>
    <row r="855" spans="1:40">
      <c r="A855" s="177"/>
      <c r="B855" s="177"/>
      <c r="C855" s="177"/>
      <c r="D855" s="177"/>
      <c r="AF855" s="177"/>
      <c r="AG855" s="177"/>
      <c r="AH855" s="177"/>
      <c r="AI855" s="177"/>
      <c r="AJ855" s="177"/>
      <c r="AK855" s="177"/>
      <c r="AL855" s="177"/>
      <c r="AM855" s="177"/>
      <c r="AN855" s="177"/>
    </row>
    <row r="856" spans="1:40">
      <c r="A856" s="177"/>
      <c r="B856" s="177"/>
      <c r="C856" s="177"/>
      <c r="D856" s="177"/>
      <c r="AF856" s="177"/>
      <c r="AG856" s="177"/>
      <c r="AH856" s="177"/>
      <c r="AI856" s="177"/>
      <c r="AJ856" s="177"/>
      <c r="AK856" s="177"/>
      <c r="AL856" s="177"/>
      <c r="AM856" s="177"/>
      <c r="AN856" s="177"/>
    </row>
    <row r="857" spans="1:40">
      <c r="A857" s="177"/>
      <c r="B857" s="177"/>
      <c r="C857" s="177"/>
      <c r="D857" s="177"/>
      <c r="AF857" s="177"/>
      <c r="AG857" s="177"/>
      <c r="AH857" s="177"/>
      <c r="AI857" s="177"/>
      <c r="AJ857" s="177"/>
      <c r="AK857" s="177"/>
      <c r="AL857" s="177"/>
      <c r="AM857" s="177"/>
      <c r="AN857" s="177"/>
    </row>
    <row r="858" spans="1:40">
      <c r="A858" s="177"/>
      <c r="B858" s="177"/>
      <c r="C858" s="177"/>
      <c r="D858" s="177"/>
      <c r="AF858" s="177"/>
      <c r="AG858" s="177"/>
      <c r="AH858" s="177"/>
      <c r="AI858" s="177"/>
      <c r="AJ858" s="177"/>
      <c r="AK858" s="177"/>
      <c r="AL858" s="177"/>
      <c r="AM858" s="177"/>
      <c r="AN858" s="177"/>
    </row>
    <row r="859" spans="1:40">
      <c r="A859" s="177"/>
      <c r="B859" s="177"/>
      <c r="C859" s="177"/>
      <c r="D859" s="177"/>
      <c r="AF859" s="177"/>
      <c r="AG859" s="177"/>
      <c r="AH859" s="177"/>
      <c r="AI859" s="177"/>
      <c r="AJ859" s="177"/>
      <c r="AK859" s="177"/>
      <c r="AL859" s="177"/>
      <c r="AM859" s="177"/>
      <c r="AN859" s="177"/>
    </row>
    <row r="860" spans="1:40">
      <c r="A860" s="177"/>
      <c r="B860" s="177"/>
      <c r="C860" s="177"/>
      <c r="D860" s="177"/>
      <c r="AF860" s="177"/>
      <c r="AG860" s="177"/>
      <c r="AH860" s="177"/>
      <c r="AI860" s="177"/>
      <c r="AJ860" s="177"/>
      <c r="AK860" s="177"/>
      <c r="AL860" s="177"/>
      <c r="AM860" s="177"/>
      <c r="AN860" s="177"/>
    </row>
    <row r="861" spans="1:40">
      <c r="A861" s="177"/>
      <c r="B861" s="177"/>
      <c r="C861" s="177"/>
      <c r="D861" s="177"/>
      <c r="AF861" s="177"/>
      <c r="AG861" s="177"/>
      <c r="AH861" s="177"/>
      <c r="AI861" s="177"/>
      <c r="AJ861" s="177"/>
      <c r="AK861" s="177"/>
      <c r="AL861" s="177"/>
      <c r="AM861" s="177"/>
      <c r="AN861" s="177"/>
    </row>
    <row r="862" spans="1:40">
      <c r="A862" s="177"/>
      <c r="B862" s="177"/>
      <c r="C862" s="177"/>
      <c r="D862" s="177"/>
      <c r="AF862" s="177"/>
      <c r="AG862" s="177"/>
      <c r="AH862" s="177"/>
      <c r="AI862" s="177"/>
      <c r="AJ862" s="177"/>
      <c r="AK862" s="177"/>
      <c r="AL862" s="177"/>
      <c r="AM862" s="177"/>
      <c r="AN862" s="177"/>
    </row>
    <row r="863" spans="1:40">
      <c r="A863" s="177"/>
      <c r="B863" s="177"/>
      <c r="C863" s="177"/>
      <c r="D863" s="177"/>
      <c r="AF863" s="177"/>
      <c r="AG863" s="177"/>
      <c r="AH863" s="177"/>
      <c r="AI863" s="177"/>
      <c r="AJ863" s="177"/>
      <c r="AK863" s="177"/>
      <c r="AL863" s="177"/>
      <c r="AM863" s="177"/>
      <c r="AN863" s="177"/>
    </row>
    <row r="864" spans="1:40">
      <c r="A864" s="177"/>
      <c r="B864" s="177"/>
      <c r="C864" s="177"/>
      <c r="D864" s="177"/>
      <c r="AF864" s="177"/>
      <c r="AG864" s="177"/>
      <c r="AH864" s="177"/>
      <c r="AI864" s="177"/>
      <c r="AJ864" s="177"/>
      <c r="AK864" s="177"/>
      <c r="AL864" s="177"/>
      <c r="AM864" s="177"/>
      <c r="AN864" s="177"/>
    </row>
    <row r="865" spans="1:40">
      <c r="A865" s="177"/>
      <c r="B865" s="177"/>
      <c r="C865" s="177"/>
      <c r="D865" s="177"/>
      <c r="AF865" s="177"/>
      <c r="AG865" s="177"/>
      <c r="AH865" s="177"/>
      <c r="AI865" s="177"/>
      <c r="AJ865" s="177"/>
      <c r="AK865" s="177"/>
      <c r="AL865" s="177"/>
      <c r="AM865" s="177"/>
      <c r="AN865" s="177"/>
    </row>
    <row r="866" spans="1:40">
      <c r="A866" s="177"/>
      <c r="B866" s="177"/>
      <c r="C866" s="177"/>
      <c r="D866" s="177"/>
      <c r="AF866" s="177"/>
      <c r="AG866" s="177"/>
      <c r="AH866" s="177"/>
      <c r="AI866" s="177"/>
      <c r="AJ866" s="177"/>
      <c r="AK866" s="177"/>
      <c r="AL866" s="177"/>
      <c r="AM866" s="177"/>
      <c r="AN866" s="177"/>
    </row>
    <row r="867" spans="1:40">
      <c r="A867" s="177"/>
      <c r="B867" s="177"/>
      <c r="C867" s="177"/>
      <c r="D867" s="177"/>
      <c r="AF867" s="177"/>
      <c r="AG867" s="177"/>
      <c r="AH867" s="177"/>
      <c r="AI867" s="177"/>
      <c r="AJ867" s="177"/>
      <c r="AK867" s="177"/>
      <c r="AL867" s="177"/>
      <c r="AM867" s="177"/>
      <c r="AN867" s="177"/>
    </row>
    <row r="868" spans="1:40">
      <c r="A868" s="177"/>
      <c r="B868" s="177"/>
      <c r="C868" s="177"/>
      <c r="D868" s="177"/>
      <c r="AF868" s="177"/>
      <c r="AG868" s="177"/>
      <c r="AH868" s="177"/>
      <c r="AI868" s="177"/>
      <c r="AJ868" s="177"/>
      <c r="AK868" s="177"/>
      <c r="AL868" s="177"/>
      <c r="AM868" s="177"/>
      <c r="AN868" s="177"/>
    </row>
    <row r="869" spans="1:40">
      <c r="A869" s="177"/>
      <c r="B869" s="177"/>
      <c r="C869" s="177"/>
      <c r="D869" s="177"/>
      <c r="AF869" s="177"/>
      <c r="AG869" s="177"/>
      <c r="AH869" s="177"/>
      <c r="AI869" s="177"/>
      <c r="AJ869" s="177"/>
      <c r="AK869" s="177"/>
      <c r="AL869" s="177"/>
      <c r="AM869" s="177"/>
      <c r="AN869" s="177"/>
    </row>
    <row r="870" spans="1:40">
      <c r="A870" s="177"/>
      <c r="B870" s="177"/>
      <c r="C870" s="177"/>
      <c r="D870" s="177"/>
      <c r="AF870" s="177"/>
      <c r="AG870" s="177"/>
      <c r="AH870" s="177"/>
      <c r="AI870" s="177"/>
      <c r="AJ870" s="177"/>
      <c r="AK870" s="177"/>
      <c r="AL870" s="177"/>
      <c r="AM870" s="177"/>
      <c r="AN870" s="177"/>
    </row>
    <row r="871" spans="1:40">
      <c r="A871" s="177"/>
      <c r="B871" s="177"/>
      <c r="C871" s="177"/>
      <c r="D871" s="177"/>
      <c r="AF871" s="177"/>
      <c r="AG871" s="177"/>
      <c r="AH871" s="177"/>
      <c r="AI871" s="177"/>
      <c r="AJ871" s="177"/>
      <c r="AK871" s="177"/>
      <c r="AL871" s="177"/>
      <c r="AM871" s="177"/>
      <c r="AN871" s="177"/>
    </row>
    <row r="872" spans="1:40">
      <c r="A872" s="177"/>
      <c r="B872" s="177"/>
      <c r="C872" s="177"/>
      <c r="D872" s="177"/>
      <c r="AF872" s="177"/>
      <c r="AG872" s="177"/>
      <c r="AH872" s="177"/>
      <c r="AI872" s="177"/>
      <c r="AJ872" s="177"/>
      <c r="AK872" s="177"/>
      <c r="AL872" s="177"/>
      <c r="AM872" s="177"/>
      <c r="AN872" s="177"/>
    </row>
    <row r="873" spans="1:40">
      <c r="A873" s="177"/>
      <c r="B873" s="177"/>
      <c r="C873" s="177"/>
      <c r="D873" s="177"/>
      <c r="AF873" s="177"/>
      <c r="AG873" s="177"/>
      <c r="AH873" s="177"/>
      <c r="AI873" s="177"/>
      <c r="AJ873" s="177"/>
      <c r="AK873" s="177"/>
      <c r="AL873" s="177"/>
      <c r="AM873" s="177"/>
      <c r="AN873" s="177"/>
    </row>
    <row r="874" spans="1:40">
      <c r="A874" s="177"/>
      <c r="B874" s="177"/>
      <c r="C874" s="177"/>
      <c r="D874" s="177"/>
      <c r="AF874" s="177"/>
      <c r="AG874" s="177"/>
      <c r="AH874" s="177"/>
      <c r="AI874" s="177"/>
      <c r="AJ874" s="177"/>
      <c r="AK874" s="177"/>
      <c r="AL874" s="177"/>
      <c r="AM874" s="177"/>
      <c r="AN874" s="177"/>
    </row>
    <row r="875" spans="1:40">
      <c r="A875" s="177"/>
      <c r="B875" s="177"/>
      <c r="C875" s="177"/>
      <c r="D875" s="177"/>
      <c r="AF875" s="177"/>
      <c r="AG875" s="177"/>
      <c r="AH875" s="177"/>
      <c r="AI875" s="177"/>
      <c r="AJ875" s="177"/>
      <c r="AK875" s="177"/>
      <c r="AL875" s="177"/>
      <c r="AM875" s="177"/>
      <c r="AN875" s="177"/>
    </row>
    <row r="876" spans="1:40">
      <c r="A876" s="177"/>
      <c r="B876" s="177"/>
      <c r="C876" s="177"/>
      <c r="D876" s="177"/>
      <c r="AF876" s="177"/>
      <c r="AG876" s="177"/>
      <c r="AH876" s="177"/>
      <c r="AI876" s="177"/>
      <c r="AJ876" s="177"/>
      <c r="AK876" s="177"/>
      <c r="AL876" s="177"/>
      <c r="AM876" s="177"/>
      <c r="AN876" s="177"/>
    </row>
    <row r="877" spans="1:40">
      <c r="A877" s="177"/>
      <c r="B877" s="177"/>
      <c r="C877" s="177"/>
      <c r="D877" s="177"/>
      <c r="AF877" s="177"/>
      <c r="AG877" s="177"/>
      <c r="AH877" s="177"/>
      <c r="AI877" s="177"/>
      <c r="AJ877" s="177"/>
      <c r="AK877" s="177"/>
      <c r="AL877" s="177"/>
      <c r="AM877" s="177"/>
      <c r="AN877" s="177"/>
    </row>
    <row r="878" spans="1:40">
      <c r="A878" s="177"/>
      <c r="B878" s="177"/>
      <c r="C878" s="177"/>
      <c r="D878" s="177"/>
      <c r="AF878" s="177"/>
      <c r="AG878" s="177"/>
      <c r="AH878" s="177"/>
      <c r="AI878" s="177"/>
      <c r="AJ878" s="177"/>
      <c r="AK878" s="177"/>
      <c r="AL878" s="177"/>
      <c r="AM878" s="177"/>
      <c r="AN878" s="177"/>
    </row>
    <row r="879" spans="1:40">
      <c r="A879" s="177"/>
      <c r="B879" s="177"/>
      <c r="C879" s="177"/>
      <c r="D879" s="177"/>
      <c r="AF879" s="177"/>
      <c r="AG879" s="177"/>
      <c r="AH879" s="177"/>
      <c r="AI879" s="177"/>
      <c r="AJ879" s="177"/>
      <c r="AK879" s="177"/>
      <c r="AL879" s="177"/>
      <c r="AM879" s="177"/>
      <c r="AN879" s="177"/>
    </row>
    <row r="880" spans="1:40">
      <c r="A880" s="177"/>
      <c r="B880" s="177"/>
      <c r="C880" s="177"/>
      <c r="D880" s="177"/>
      <c r="AF880" s="177"/>
      <c r="AG880" s="177"/>
      <c r="AH880" s="177"/>
      <c r="AI880" s="177"/>
      <c r="AJ880" s="177"/>
      <c r="AK880" s="177"/>
      <c r="AL880" s="177"/>
      <c r="AM880" s="177"/>
      <c r="AN880" s="177"/>
    </row>
    <row r="881" spans="1:40">
      <c r="A881" s="177"/>
      <c r="B881" s="177"/>
      <c r="C881" s="177"/>
      <c r="D881" s="177"/>
      <c r="AF881" s="177"/>
      <c r="AG881" s="177"/>
      <c r="AH881" s="177"/>
      <c r="AI881" s="177"/>
      <c r="AJ881" s="177"/>
      <c r="AK881" s="177"/>
      <c r="AL881" s="177"/>
      <c r="AM881" s="177"/>
      <c r="AN881" s="177"/>
    </row>
    <row r="882" spans="1:40">
      <c r="A882" s="177"/>
      <c r="B882" s="177"/>
      <c r="C882" s="177"/>
      <c r="D882" s="177"/>
      <c r="AF882" s="177"/>
      <c r="AG882" s="177"/>
      <c r="AH882" s="177"/>
      <c r="AI882" s="177"/>
      <c r="AJ882" s="177"/>
      <c r="AK882" s="177"/>
      <c r="AL882" s="177"/>
      <c r="AM882" s="177"/>
      <c r="AN882" s="177"/>
    </row>
    <row r="883" spans="1:40">
      <c r="A883" s="177"/>
      <c r="B883" s="177"/>
      <c r="C883" s="177"/>
      <c r="D883" s="177"/>
      <c r="AF883" s="177"/>
      <c r="AG883" s="177"/>
      <c r="AH883" s="177"/>
      <c r="AI883" s="177"/>
      <c r="AJ883" s="177"/>
      <c r="AK883" s="177"/>
      <c r="AL883" s="177"/>
      <c r="AM883" s="177"/>
      <c r="AN883" s="177"/>
    </row>
    <row r="884" spans="1:40">
      <c r="A884" s="177"/>
      <c r="B884" s="177"/>
      <c r="C884" s="177"/>
      <c r="D884" s="177"/>
      <c r="AF884" s="177"/>
      <c r="AG884" s="177"/>
      <c r="AH884" s="177"/>
      <c r="AI884" s="177"/>
      <c r="AJ884" s="177"/>
      <c r="AK884" s="177"/>
      <c r="AL884" s="177"/>
      <c r="AM884" s="177"/>
      <c r="AN884" s="177"/>
    </row>
    <row r="885" spans="1:40">
      <c r="A885" s="177"/>
      <c r="B885" s="177"/>
      <c r="C885" s="177"/>
      <c r="D885" s="177"/>
      <c r="AF885" s="177"/>
      <c r="AG885" s="177"/>
      <c r="AH885" s="177"/>
      <c r="AI885" s="177"/>
      <c r="AJ885" s="177"/>
      <c r="AK885" s="177"/>
      <c r="AL885" s="177"/>
      <c r="AM885" s="177"/>
      <c r="AN885" s="177"/>
    </row>
    <row r="886" spans="1:40">
      <c r="A886" s="177"/>
      <c r="B886" s="177"/>
      <c r="C886" s="177"/>
      <c r="D886" s="177"/>
      <c r="AF886" s="177"/>
      <c r="AG886" s="177"/>
      <c r="AH886" s="177"/>
      <c r="AI886" s="177"/>
      <c r="AJ886" s="177"/>
      <c r="AK886" s="177"/>
      <c r="AL886" s="177"/>
      <c r="AM886" s="177"/>
      <c r="AN886" s="177"/>
    </row>
    <row r="887" spans="1:40">
      <c r="A887" s="177"/>
      <c r="B887" s="177"/>
      <c r="C887" s="177"/>
      <c r="D887" s="177"/>
      <c r="AF887" s="177"/>
      <c r="AG887" s="177"/>
      <c r="AH887" s="177"/>
      <c r="AI887" s="177"/>
      <c r="AJ887" s="177"/>
      <c r="AK887" s="177"/>
      <c r="AL887" s="177"/>
      <c r="AM887" s="177"/>
      <c r="AN887" s="177"/>
    </row>
    <row r="888" spans="1:40">
      <c r="A888" s="177"/>
      <c r="B888" s="177"/>
      <c r="C888" s="177"/>
      <c r="D888" s="177"/>
      <c r="AF888" s="177"/>
      <c r="AG888" s="177"/>
      <c r="AH888" s="177"/>
      <c r="AI888" s="177"/>
      <c r="AJ888" s="177"/>
      <c r="AK888" s="177"/>
      <c r="AL888" s="177"/>
      <c r="AM888" s="177"/>
      <c r="AN888" s="177"/>
    </row>
    <row r="889" spans="1:40">
      <c r="A889" s="177"/>
      <c r="B889" s="177"/>
      <c r="C889" s="177"/>
      <c r="D889" s="177"/>
      <c r="AF889" s="177"/>
      <c r="AG889" s="177"/>
      <c r="AH889" s="177"/>
      <c r="AI889" s="177"/>
      <c r="AJ889" s="177"/>
      <c r="AK889" s="177"/>
      <c r="AL889" s="177"/>
      <c r="AM889" s="177"/>
      <c r="AN889" s="177"/>
    </row>
    <row r="890" spans="1:40">
      <c r="A890" s="177"/>
      <c r="B890" s="177"/>
      <c r="C890" s="177"/>
      <c r="D890" s="177"/>
      <c r="AF890" s="177"/>
      <c r="AG890" s="177"/>
      <c r="AH890" s="177"/>
      <c r="AI890" s="177"/>
      <c r="AJ890" s="177"/>
      <c r="AK890" s="177"/>
      <c r="AL890" s="177"/>
      <c r="AM890" s="177"/>
      <c r="AN890" s="177"/>
    </row>
    <row r="891" spans="1:40">
      <c r="A891" s="177"/>
      <c r="B891" s="177"/>
      <c r="C891" s="177"/>
      <c r="D891" s="177"/>
      <c r="AF891" s="177"/>
      <c r="AG891" s="177"/>
      <c r="AH891" s="177"/>
      <c r="AI891" s="177"/>
      <c r="AJ891" s="177"/>
      <c r="AK891" s="177"/>
      <c r="AL891" s="177"/>
      <c r="AM891" s="177"/>
      <c r="AN891" s="177"/>
    </row>
    <row r="892" spans="1:40">
      <c r="A892" s="177"/>
      <c r="B892" s="177"/>
      <c r="C892" s="177"/>
      <c r="D892" s="177"/>
      <c r="AF892" s="177"/>
      <c r="AG892" s="177"/>
      <c r="AH892" s="177"/>
      <c r="AI892" s="177"/>
      <c r="AJ892" s="177"/>
      <c r="AK892" s="177"/>
      <c r="AL892" s="177"/>
      <c r="AM892" s="177"/>
      <c r="AN892" s="177"/>
    </row>
    <row r="893" spans="1:40">
      <c r="A893" s="177"/>
      <c r="B893" s="177"/>
      <c r="C893" s="177"/>
      <c r="D893" s="177"/>
      <c r="AF893" s="177"/>
      <c r="AG893" s="177"/>
      <c r="AH893" s="177"/>
      <c r="AI893" s="177"/>
      <c r="AJ893" s="177"/>
      <c r="AK893" s="177"/>
      <c r="AL893" s="177"/>
      <c r="AM893" s="177"/>
      <c r="AN893" s="177"/>
    </row>
    <row r="894" spans="1:40">
      <c r="A894" s="177"/>
      <c r="B894" s="177"/>
      <c r="C894" s="177"/>
      <c r="D894" s="177"/>
      <c r="AF894" s="177"/>
      <c r="AG894" s="177"/>
      <c r="AH894" s="177"/>
      <c r="AI894" s="177"/>
      <c r="AJ894" s="177"/>
      <c r="AK894" s="177"/>
      <c r="AL894" s="177"/>
      <c r="AM894" s="177"/>
      <c r="AN894" s="177"/>
    </row>
    <row r="895" spans="1:40">
      <c r="A895" s="177"/>
      <c r="B895" s="177"/>
      <c r="C895" s="177"/>
      <c r="D895" s="177"/>
      <c r="AF895" s="177"/>
      <c r="AG895" s="177"/>
      <c r="AH895" s="177"/>
      <c r="AI895" s="177"/>
      <c r="AJ895" s="177"/>
      <c r="AK895" s="177"/>
      <c r="AL895" s="177"/>
      <c r="AM895" s="177"/>
      <c r="AN895" s="177"/>
    </row>
    <row r="896" spans="1:40">
      <c r="A896" s="177"/>
      <c r="B896" s="177"/>
      <c r="C896" s="177"/>
      <c r="D896" s="177"/>
      <c r="AF896" s="177"/>
      <c r="AG896" s="177"/>
      <c r="AH896" s="177"/>
      <c r="AI896" s="177"/>
      <c r="AJ896" s="177"/>
      <c r="AK896" s="177"/>
      <c r="AL896" s="177"/>
      <c r="AM896" s="177"/>
      <c r="AN896" s="177"/>
    </row>
    <row r="897" spans="1:40">
      <c r="A897" s="177"/>
      <c r="B897" s="177"/>
      <c r="C897" s="177"/>
      <c r="D897" s="177"/>
      <c r="AF897" s="177"/>
      <c r="AG897" s="177"/>
      <c r="AH897" s="177"/>
      <c r="AI897" s="177"/>
      <c r="AJ897" s="177"/>
      <c r="AK897" s="177"/>
      <c r="AL897" s="177"/>
      <c r="AM897" s="177"/>
      <c r="AN897" s="177"/>
    </row>
    <row r="898" spans="1:40">
      <c r="A898" s="177"/>
      <c r="B898" s="177"/>
      <c r="C898" s="177"/>
      <c r="D898" s="177"/>
      <c r="AF898" s="177"/>
      <c r="AG898" s="177"/>
      <c r="AH898" s="177"/>
      <c r="AI898" s="177"/>
      <c r="AJ898" s="177"/>
      <c r="AK898" s="177"/>
      <c r="AL898" s="177"/>
      <c r="AM898" s="177"/>
      <c r="AN898" s="177"/>
    </row>
    <row r="899" spans="1:40">
      <c r="A899" s="177"/>
      <c r="B899" s="177"/>
      <c r="C899" s="177"/>
      <c r="D899" s="177"/>
      <c r="AF899" s="177"/>
      <c r="AG899" s="177"/>
      <c r="AH899" s="177"/>
      <c r="AI899" s="177"/>
      <c r="AJ899" s="177"/>
      <c r="AK899" s="177"/>
      <c r="AL899" s="177"/>
      <c r="AM899" s="177"/>
      <c r="AN899" s="177"/>
    </row>
    <row r="900" spans="1:40">
      <c r="A900" s="177"/>
      <c r="B900" s="177"/>
      <c r="C900" s="177"/>
      <c r="D900" s="177"/>
      <c r="AF900" s="177"/>
      <c r="AG900" s="177"/>
      <c r="AH900" s="177"/>
      <c r="AI900" s="177"/>
      <c r="AJ900" s="177"/>
      <c r="AK900" s="177"/>
      <c r="AL900" s="177"/>
      <c r="AM900" s="177"/>
      <c r="AN900" s="177"/>
    </row>
    <row r="901" spans="1:40">
      <c r="A901" s="177"/>
      <c r="B901" s="177"/>
      <c r="C901" s="177"/>
      <c r="D901" s="177"/>
      <c r="AF901" s="177"/>
      <c r="AG901" s="177"/>
      <c r="AH901" s="177"/>
      <c r="AI901" s="177"/>
      <c r="AJ901" s="177"/>
      <c r="AK901" s="177"/>
      <c r="AL901" s="177"/>
      <c r="AM901" s="177"/>
      <c r="AN901" s="177"/>
    </row>
    <row r="902" spans="1:40">
      <c r="A902" s="177"/>
      <c r="B902" s="177"/>
      <c r="C902" s="177"/>
      <c r="D902" s="177"/>
      <c r="AF902" s="177"/>
      <c r="AG902" s="177"/>
      <c r="AH902" s="177"/>
      <c r="AI902" s="177"/>
      <c r="AJ902" s="177"/>
      <c r="AK902" s="177"/>
      <c r="AL902" s="177"/>
      <c r="AM902" s="177"/>
      <c r="AN902" s="177"/>
    </row>
    <row r="903" spans="1:40">
      <c r="A903" s="177"/>
      <c r="B903" s="177"/>
      <c r="C903" s="177"/>
      <c r="D903" s="177"/>
      <c r="AF903" s="177"/>
      <c r="AG903" s="177"/>
      <c r="AH903" s="177"/>
      <c r="AI903" s="177"/>
      <c r="AJ903" s="177"/>
      <c r="AK903" s="177"/>
      <c r="AL903" s="177"/>
      <c r="AM903" s="177"/>
      <c r="AN903" s="177"/>
    </row>
    <row r="904" spans="1:40">
      <c r="A904" s="177"/>
      <c r="B904" s="177"/>
      <c r="C904" s="177"/>
      <c r="D904" s="177"/>
      <c r="AF904" s="177"/>
      <c r="AG904" s="177"/>
      <c r="AH904" s="177"/>
      <c r="AI904" s="177"/>
      <c r="AJ904" s="177"/>
      <c r="AK904" s="177"/>
      <c r="AL904" s="177"/>
      <c r="AM904" s="177"/>
      <c r="AN904" s="177"/>
    </row>
    <row r="905" spans="1:40">
      <c r="A905" s="177"/>
      <c r="B905" s="177"/>
      <c r="C905" s="177"/>
      <c r="D905" s="177"/>
      <c r="AF905" s="177"/>
      <c r="AG905" s="177"/>
      <c r="AH905" s="177"/>
      <c r="AI905" s="177"/>
      <c r="AJ905" s="177"/>
      <c r="AK905" s="177"/>
      <c r="AL905" s="177"/>
      <c r="AM905" s="177"/>
      <c r="AN905" s="177"/>
    </row>
    <row r="906" spans="1:40">
      <c r="A906" s="177"/>
      <c r="B906" s="177"/>
      <c r="C906" s="177"/>
      <c r="D906" s="177"/>
      <c r="AF906" s="177"/>
      <c r="AG906" s="177"/>
      <c r="AH906" s="177"/>
      <c r="AI906" s="177"/>
      <c r="AJ906" s="177"/>
      <c r="AK906" s="177"/>
      <c r="AL906" s="177"/>
      <c r="AM906" s="177"/>
      <c r="AN906" s="177"/>
    </row>
    <row r="907" spans="1:40">
      <c r="A907" s="177"/>
      <c r="B907" s="177"/>
      <c r="C907" s="177"/>
      <c r="D907" s="177"/>
      <c r="AF907" s="177"/>
      <c r="AG907" s="177"/>
      <c r="AH907" s="177"/>
      <c r="AI907" s="177"/>
      <c r="AJ907" s="177"/>
      <c r="AK907" s="177"/>
      <c r="AL907" s="177"/>
      <c r="AM907" s="177"/>
      <c r="AN907" s="177"/>
    </row>
    <row r="908" spans="1:40">
      <c r="A908" s="177"/>
      <c r="B908" s="177"/>
      <c r="C908" s="177"/>
      <c r="D908" s="177"/>
      <c r="AF908" s="177"/>
      <c r="AG908" s="177"/>
      <c r="AH908" s="177"/>
      <c r="AI908" s="177"/>
      <c r="AJ908" s="177"/>
      <c r="AK908" s="177"/>
      <c r="AL908" s="177"/>
      <c r="AM908" s="177"/>
      <c r="AN908" s="177"/>
    </row>
    <row r="909" spans="1:40">
      <c r="A909" s="177"/>
      <c r="B909" s="177"/>
      <c r="C909" s="177"/>
      <c r="D909" s="177"/>
      <c r="AF909" s="177"/>
      <c r="AG909" s="177"/>
      <c r="AH909" s="177"/>
      <c r="AI909" s="177"/>
      <c r="AJ909" s="177"/>
      <c r="AK909" s="177"/>
      <c r="AL909" s="177"/>
      <c r="AM909" s="177"/>
      <c r="AN909" s="177"/>
    </row>
    <row r="910" spans="1:40">
      <c r="A910" s="177"/>
      <c r="B910" s="177"/>
      <c r="C910" s="177"/>
      <c r="D910" s="177"/>
      <c r="AF910" s="177"/>
      <c r="AG910" s="177"/>
      <c r="AH910" s="177"/>
      <c r="AI910" s="177"/>
      <c r="AJ910" s="177"/>
      <c r="AK910" s="177"/>
      <c r="AL910" s="177"/>
      <c r="AM910" s="177"/>
      <c r="AN910" s="177"/>
    </row>
    <row r="911" spans="1:40">
      <c r="A911" s="177"/>
      <c r="B911" s="177"/>
      <c r="C911" s="177"/>
      <c r="D911" s="177"/>
      <c r="AF911" s="177"/>
      <c r="AG911" s="177"/>
      <c r="AH911" s="177"/>
      <c r="AI911" s="177"/>
      <c r="AJ911" s="177"/>
      <c r="AK911" s="177"/>
      <c r="AL911" s="177"/>
      <c r="AM911" s="177"/>
      <c r="AN911" s="177"/>
    </row>
    <row r="912" spans="1:40">
      <c r="A912" s="177"/>
      <c r="B912" s="177"/>
      <c r="C912" s="177"/>
      <c r="D912" s="177"/>
      <c r="AF912" s="177"/>
      <c r="AG912" s="177"/>
      <c r="AH912" s="177"/>
      <c r="AI912" s="177"/>
      <c r="AJ912" s="177"/>
      <c r="AK912" s="177"/>
      <c r="AL912" s="177"/>
      <c r="AM912" s="177"/>
      <c r="AN912" s="177"/>
    </row>
    <row r="913" spans="1:40">
      <c r="A913" s="177"/>
      <c r="B913" s="177"/>
      <c r="C913" s="177"/>
      <c r="D913" s="177"/>
      <c r="AF913" s="177"/>
      <c r="AG913" s="177"/>
      <c r="AH913" s="177"/>
      <c r="AI913" s="177"/>
      <c r="AJ913" s="177"/>
      <c r="AK913" s="177"/>
      <c r="AL913" s="177"/>
      <c r="AM913" s="177"/>
      <c r="AN913" s="177"/>
    </row>
    <row r="914" spans="1:40">
      <c r="A914" s="177"/>
      <c r="B914" s="177"/>
      <c r="C914" s="177"/>
      <c r="D914" s="177"/>
      <c r="AF914" s="177"/>
      <c r="AG914" s="177"/>
      <c r="AH914" s="177"/>
      <c r="AI914" s="177"/>
      <c r="AJ914" s="177"/>
      <c r="AK914" s="177"/>
      <c r="AL914" s="177"/>
      <c r="AM914" s="177"/>
      <c r="AN914" s="177"/>
    </row>
    <row r="915" spans="1:40">
      <c r="A915" s="177"/>
      <c r="B915" s="177"/>
      <c r="C915" s="177"/>
      <c r="D915" s="177"/>
      <c r="AF915" s="177"/>
      <c r="AG915" s="177"/>
      <c r="AH915" s="177"/>
      <c r="AI915" s="177"/>
      <c r="AJ915" s="177"/>
      <c r="AK915" s="177"/>
      <c r="AL915" s="177"/>
      <c r="AM915" s="177"/>
      <c r="AN915" s="177"/>
    </row>
    <row r="916" spans="1:40">
      <c r="A916" s="177"/>
      <c r="B916" s="177"/>
      <c r="C916" s="177"/>
      <c r="D916" s="177"/>
      <c r="AF916" s="177"/>
      <c r="AG916" s="177"/>
      <c r="AH916" s="177"/>
      <c r="AI916" s="177"/>
      <c r="AJ916" s="177"/>
      <c r="AK916" s="177"/>
      <c r="AL916" s="177"/>
      <c r="AM916" s="177"/>
      <c r="AN916" s="177"/>
    </row>
    <row r="917" spans="1:40">
      <c r="A917" s="177"/>
      <c r="B917" s="177"/>
      <c r="C917" s="177"/>
      <c r="D917" s="177"/>
      <c r="AF917" s="177"/>
      <c r="AG917" s="177"/>
      <c r="AH917" s="177"/>
      <c r="AI917" s="177"/>
      <c r="AJ917" s="177"/>
      <c r="AK917" s="177"/>
      <c r="AL917" s="177"/>
      <c r="AM917" s="177"/>
      <c r="AN917" s="177"/>
    </row>
    <row r="918" spans="1:40">
      <c r="A918" s="177"/>
      <c r="B918" s="177"/>
      <c r="C918" s="177"/>
      <c r="D918" s="177"/>
      <c r="AF918" s="177"/>
      <c r="AG918" s="177"/>
      <c r="AH918" s="177"/>
      <c r="AI918" s="177"/>
      <c r="AJ918" s="177"/>
      <c r="AK918" s="177"/>
      <c r="AL918" s="177"/>
      <c r="AM918" s="177"/>
      <c r="AN918" s="177"/>
    </row>
    <row r="919" spans="1:40">
      <c r="A919" s="177"/>
      <c r="B919" s="177"/>
      <c r="C919" s="177"/>
      <c r="D919" s="177"/>
      <c r="AF919" s="177"/>
      <c r="AG919" s="177"/>
      <c r="AH919" s="177"/>
      <c r="AI919" s="177"/>
      <c r="AJ919" s="177"/>
      <c r="AK919" s="177"/>
      <c r="AL919" s="177"/>
      <c r="AM919" s="177"/>
      <c r="AN919" s="177"/>
    </row>
    <row r="920" spans="1:40">
      <c r="A920" s="177"/>
      <c r="B920" s="177"/>
      <c r="C920" s="177"/>
      <c r="D920" s="177"/>
      <c r="AF920" s="177"/>
      <c r="AG920" s="177"/>
      <c r="AH920" s="177"/>
      <c r="AI920" s="177"/>
      <c r="AJ920" s="177"/>
      <c r="AK920" s="177"/>
      <c r="AL920" s="177"/>
      <c r="AM920" s="177"/>
      <c r="AN920" s="177"/>
    </row>
    <row r="921" spans="1:40">
      <c r="A921" s="177"/>
      <c r="B921" s="177"/>
      <c r="C921" s="177"/>
      <c r="D921" s="177"/>
      <c r="AF921" s="177"/>
      <c r="AG921" s="177"/>
      <c r="AH921" s="177"/>
      <c r="AI921" s="177"/>
      <c r="AJ921" s="177"/>
      <c r="AK921" s="177"/>
      <c r="AL921" s="177"/>
      <c r="AM921" s="177"/>
      <c r="AN921" s="177"/>
    </row>
    <row r="922" spans="1:40">
      <c r="A922" s="177"/>
      <c r="B922" s="177"/>
      <c r="C922" s="177"/>
      <c r="D922" s="177"/>
      <c r="AF922" s="177"/>
      <c r="AG922" s="177"/>
      <c r="AH922" s="177"/>
      <c r="AI922" s="177"/>
      <c r="AJ922" s="177"/>
      <c r="AK922" s="177"/>
      <c r="AL922" s="177"/>
      <c r="AM922" s="177"/>
      <c r="AN922" s="177"/>
    </row>
    <row r="923" spans="1:40">
      <c r="A923" s="177"/>
      <c r="B923" s="177"/>
      <c r="C923" s="177"/>
      <c r="D923" s="177"/>
      <c r="AF923" s="177"/>
      <c r="AG923" s="177"/>
      <c r="AH923" s="177"/>
      <c r="AI923" s="177"/>
      <c r="AJ923" s="177"/>
      <c r="AK923" s="177"/>
      <c r="AL923" s="177"/>
      <c r="AM923" s="177"/>
      <c r="AN923" s="177"/>
    </row>
    <row r="924" spans="1:40">
      <c r="A924" s="177"/>
      <c r="B924" s="177"/>
      <c r="C924" s="177"/>
      <c r="D924" s="177"/>
      <c r="AF924" s="177"/>
      <c r="AG924" s="177"/>
      <c r="AH924" s="177"/>
      <c r="AI924" s="177"/>
      <c r="AJ924" s="177"/>
      <c r="AK924" s="177"/>
      <c r="AL924" s="177"/>
      <c r="AM924" s="177"/>
      <c r="AN924" s="177"/>
    </row>
    <row r="925" spans="1:40">
      <c r="A925" s="177"/>
      <c r="B925" s="177"/>
      <c r="C925" s="177"/>
      <c r="D925" s="177"/>
      <c r="AF925" s="177"/>
      <c r="AG925" s="177"/>
      <c r="AH925" s="177"/>
      <c r="AI925" s="177"/>
      <c r="AJ925" s="177"/>
      <c r="AK925" s="177"/>
      <c r="AL925" s="177"/>
      <c r="AM925" s="177"/>
      <c r="AN925" s="177"/>
    </row>
    <row r="926" spans="1:40">
      <c r="A926" s="177"/>
      <c r="B926" s="177"/>
      <c r="C926" s="177"/>
      <c r="D926" s="177"/>
      <c r="AF926" s="177"/>
      <c r="AG926" s="177"/>
      <c r="AH926" s="177"/>
      <c r="AI926" s="177"/>
      <c r="AJ926" s="177"/>
      <c r="AK926" s="177"/>
      <c r="AL926" s="177"/>
      <c r="AM926" s="177"/>
      <c r="AN926" s="177"/>
    </row>
    <row r="927" spans="1:40">
      <c r="A927" s="177"/>
      <c r="B927" s="177"/>
      <c r="C927" s="177"/>
      <c r="D927" s="177"/>
      <c r="AF927" s="177"/>
      <c r="AG927" s="177"/>
      <c r="AH927" s="177"/>
      <c r="AI927" s="177"/>
      <c r="AJ927" s="177"/>
      <c r="AK927" s="177"/>
      <c r="AL927" s="177"/>
      <c r="AM927" s="177"/>
      <c r="AN927" s="177"/>
    </row>
    <row r="928" spans="1:40">
      <c r="A928" s="177"/>
      <c r="B928" s="177"/>
      <c r="C928" s="177"/>
      <c r="D928" s="177"/>
      <c r="AF928" s="177"/>
      <c r="AG928" s="177"/>
      <c r="AH928" s="177"/>
      <c r="AI928" s="177"/>
      <c r="AJ928" s="177"/>
      <c r="AK928" s="177"/>
      <c r="AL928" s="177"/>
      <c r="AM928" s="177"/>
      <c r="AN928" s="177"/>
    </row>
    <row r="929" spans="1:40">
      <c r="A929" s="177"/>
      <c r="B929" s="177"/>
      <c r="C929" s="177"/>
      <c r="D929" s="177"/>
      <c r="AF929" s="177"/>
      <c r="AG929" s="177"/>
      <c r="AH929" s="177"/>
      <c r="AI929" s="177"/>
      <c r="AJ929" s="177"/>
      <c r="AK929" s="177"/>
      <c r="AL929" s="177"/>
      <c r="AM929" s="177"/>
      <c r="AN929" s="177"/>
    </row>
    <row r="930" spans="1:40">
      <c r="A930" s="177"/>
      <c r="B930" s="177"/>
      <c r="C930" s="177"/>
      <c r="D930" s="177"/>
      <c r="AF930" s="177"/>
      <c r="AG930" s="177"/>
      <c r="AH930" s="177"/>
      <c r="AI930" s="177"/>
      <c r="AJ930" s="177"/>
      <c r="AK930" s="177"/>
      <c r="AL930" s="177"/>
      <c r="AM930" s="177"/>
      <c r="AN930" s="177"/>
    </row>
    <row r="931" spans="1:40">
      <c r="A931" s="177"/>
      <c r="B931" s="177"/>
      <c r="C931" s="177"/>
      <c r="D931" s="177"/>
      <c r="AF931" s="177"/>
      <c r="AG931" s="177"/>
      <c r="AH931" s="177"/>
      <c r="AI931" s="177"/>
      <c r="AJ931" s="177"/>
      <c r="AK931" s="177"/>
      <c r="AL931" s="177"/>
      <c r="AM931" s="177"/>
      <c r="AN931" s="177"/>
    </row>
    <row r="932" spans="1:40">
      <c r="A932" s="177"/>
      <c r="B932" s="177"/>
      <c r="C932" s="177"/>
      <c r="D932" s="177"/>
      <c r="AF932" s="177"/>
      <c r="AG932" s="177"/>
      <c r="AH932" s="177"/>
      <c r="AI932" s="177"/>
      <c r="AJ932" s="177"/>
      <c r="AK932" s="177"/>
      <c r="AL932" s="177"/>
      <c r="AM932" s="177"/>
      <c r="AN932" s="177"/>
    </row>
    <row r="933" spans="1:40">
      <c r="A933" s="177"/>
      <c r="B933" s="177"/>
      <c r="C933" s="177"/>
      <c r="D933" s="177"/>
      <c r="AF933" s="177"/>
      <c r="AG933" s="177"/>
      <c r="AH933" s="177"/>
      <c r="AI933" s="177"/>
      <c r="AJ933" s="177"/>
      <c r="AK933" s="177"/>
      <c r="AL933" s="177"/>
      <c r="AM933" s="177"/>
      <c r="AN933" s="177"/>
    </row>
    <row r="934" spans="1:40">
      <c r="A934" s="177"/>
      <c r="B934" s="177"/>
      <c r="C934" s="177"/>
      <c r="D934" s="177"/>
      <c r="AF934" s="177"/>
      <c r="AG934" s="177"/>
      <c r="AH934" s="177"/>
      <c r="AI934" s="177"/>
      <c r="AJ934" s="177"/>
      <c r="AK934" s="177"/>
      <c r="AL934" s="177"/>
      <c r="AM934" s="177"/>
      <c r="AN934" s="177"/>
    </row>
    <row r="935" spans="1:40">
      <c r="A935" s="177"/>
      <c r="B935" s="177"/>
      <c r="C935" s="177"/>
      <c r="D935" s="177"/>
      <c r="AF935" s="177"/>
      <c r="AG935" s="177"/>
      <c r="AH935" s="177"/>
      <c r="AI935" s="177"/>
      <c r="AJ935" s="177"/>
      <c r="AK935" s="177"/>
      <c r="AL935" s="177"/>
      <c r="AM935" s="177"/>
      <c r="AN935" s="177"/>
    </row>
    <row r="936" spans="1:40">
      <c r="A936" s="177"/>
      <c r="B936" s="177"/>
      <c r="C936" s="177"/>
      <c r="D936" s="177"/>
      <c r="AF936" s="177"/>
      <c r="AG936" s="177"/>
      <c r="AH936" s="177"/>
      <c r="AI936" s="177"/>
      <c r="AJ936" s="177"/>
      <c r="AK936" s="177"/>
      <c r="AL936" s="177"/>
      <c r="AM936" s="177"/>
      <c r="AN936" s="177"/>
    </row>
    <row r="937" spans="1:40">
      <c r="A937" s="177"/>
      <c r="B937" s="177"/>
      <c r="C937" s="177"/>
      <c r="D937" s="177"/>
      <c r="AF937" s="177"/>
      <c r="AG937" s="177"/>
      <c r="AH937" s="177"/>
      <c r="AI937" s="177"/>
      <c r="AJ937" s="177"/>
      <c r="AK937" s="177"/>
      <c r="AL937" s="177"/>
      <c r="AM937" s="177"/>
      <c r="AN937" s="177"/>
    </row>
    <row r="938" spans="1:40">
      <c r="A938" s="177"/>
      <c r="B938" s="177"/>
      <c r="C938" s="177"/>
      <c r="D938" s="177"/>
      <c r="AF938" s="177"/>
      <c r="AG938" s="177"/>
      <c r="AH938" s="177"/>
      <c r="AI938" s="177"/>
      <c r="AJ938" s="177"/>
      <c r="AK938" s="177"/>
      <c r="AL938" s="177"/>
      <c r="AM938" s="177"/>
      <c r="AN938" s="177"/>
    </row>
    <row r="939" spans="1:40">
      <c r="A939" s="177"/>
      <c r="B939" s="177"/>
      <c r="C939" s="177"/>
      <c r="D939" s="177"/>
      <c r="AF939" s="177"/>
      <c r="AG939" s="177"/>
      <c r="AH939" s="177"/>
      <c r="AI939" s="177"/>
      <c r="AJ939" s="177"/>
      <c r="AK939" s="177"/>
      <c r="AL939" s="177"/>
      <c r="AM939" s="177"/>
      <c r="AN939" s="177"/>
    </row>
    <row r="940" spans="1:40">
      <c r="A940" s="177"/>
      <c r="B940" s="177"/>
      <c r="C940" s="177"/>
      <c r="D940" s="177"/>
      <c r="AF940" s="177"/>
      <c r="AG940" s="177"/>
      <c r="AH940" s="177"/>
      <c r="AI940" s="177"/>
      <c r="AJ940" s="177"/>
      <c r="AK940" s="177"/>
      <c r="AL940" s="177"/>
      <c r="AM940" s="177"/>
      <c r="AN940" s="177"/>
    </row>
    <row r="941" spans="1:40">
      <c r="A941" s="177"/>
      <c r="B941" s="177"/>
      <c r="C941" s="177"/>
      <c r="D941" s="177"/>
      <c r="AF941" s="177"/>
      <c r="AG941" s="177"/>
      <c r="AH941" s="177"/>
      <c r="AI941" s="177"/>
      <c r="AJ941" s="177"/>
      <c r="AK941" s="177"/>
      <c r="AL941" s="177"/>
      <c r="AM941" s="177"/>
      <c r="AN941" s="177"/>
    </row>
    <row r="942" spans="1:40">
      <c r="A942" s="177"/>
      <c r="B942" s="177"/>
      <c r="C942" s="177"/>
      <c r="D942" s="177"/>
      <c r="AF942" s="177"/>
      <c r="AG942" s="177"/>
      <c r="AH942" s="177"/>
      <c r="AI942" s="177"/>
      <c r="AJ942" s="177"/>
      <c r="AK942" s="177"/>
      <c r="AL942" s="177"/>
      <c r="AM942" s="177"/>
      <c r="AN942" s="177"/>
    </row>
    <row r="943" spans="1:40">
      <c r="A943" s="177"/>
      <c r="B943" s="177"/>
      <c r="C943" s="177"/>
      <c r="D943" s="177"/>
      <c r="AF943" s="177"/>
      <c r="AG943" s="177"/>
      <c r="AH943" s="177"/>
      <c r="AI943" s="177"/>
      <c r="AJ943" s="177"/>
      <c r="AK943" s="177"/>
      <c r="AL943" s="177"/>
      <c r="AM943" s="177"/>
      <c r="AN943" s="177"/>
    </row>
    <row r="944" spans="1:40">
      <c r="A944" s="177"/>
      <c r="B944" s="177"/>
      <c r="C944" s="177"/>
      <c r="D944" s="177"/>
      <c r="AF944" s="177"/>
      <c r="AG944" s="177"/>
      <c r="AH944" s="177"/>
      <c r="AI944" s="177"/>
      <c r="AJ944" s="177"/>
      <c r="AK944" s="177"/>
      <c r="AL944" s="177"/>
      <c r="AM944" s="177"/>
      <c r="AN944" s="177"/>
    </row>
    <row r="945" spans="1:40">
      <c r="A945" s="177"/>
      <c r="B945" s="177"/>
      <c r="C945" s="177"/>
      <c r="D945" s="177"/>
      <c r="AF945" s="177"/>
      <c r="AG945" s="177"/>
      <c r="AH945" s="177"/>
      <c r="AI945" s="177"/>
      <c r="AJ945" s="177"/>
      <c r="AK945" s="177"/>
      <c r="AL945" s="177"/>
      <c r="AM945" s="177"/>
      <c r="AN945" s="177"/>
    </row>
    <row r="946" spans="1:40">
      <c r="A946" s="177"/>
      <c r="B946" s="177"/>
      <c r="C946" s="177"/>
      <c r="D946" s="177"/>
      <c r="AF946" s="177"/>
      <c r="AG946" s="177"/>
      <c r="AH946" s="177"/>
      <c r="AI946" s="177"/>
      <c r="AJ946" s="177"/>
      <c r="AK946" s="177"/>
      <c r="AL946" s="177"/>
      <c r="AM946" s="177"/>
      <c r="AN946" s="177"/>
    </row>
    <row r="947" spans="1:40">
      <c r="A947" s="177"/>
      <c r="B947" s="177"/>
      <c r="C947" s="177"/>
      <c r="D947" s="177"/>
      <c r="AF947" s="177"/>
      <c r="AG947" s="177"/>
      <c r="AH947" s="177"/>
      <c r="AI947" s="177"/>
      <c r="AJ947" s="177"/>
      <c r="AK947" s="177"/>
      <c r="AL947" s="177"/>
      <c r="AM947" s="177"/>
      <c r="AN947" s="177"/>
    </row>
    <row r="948" spans="1:40">
      <c r="A948" s="177"/>
      <c r="B948" s="177"/>
      <c r="C948" s="177"/>
      <c r="D948" s="177"/>
      <c r="AF948" s="177"/>
      <c r="AG948" s="177"/>
      <c r="AH948" s="177"/>
      <c r="AI948" s="177"/>
      <c r="AJ948" s="177"/>
      <c r="AK948" s="177"/>
      <c r="AL948" s="177"/>
      <c r="AM948" s="177"/>
      <c r="AN948" s="177"/>
    </row>
    <row r="949" spans="1:40">
      <c r="A949" s="177"/>
      <c r="B949" s="177"/>
      <c r="C949" s="177"/>
      <c r="D949" s="177"/>
      <c r="AF949" s="177"/>
      <c r="AG949" s="177"/>
      <c r="AH949" s="177"/>
      <c r="AI949" s="177"/>
      <c r="AJ949" s="177"/>
      <c r="AK949" s="177"/>
      <c r="AL949" s="177"/>
      <c r="AM949" s="177"/>
      <c r="AN949" s="177"/>
    </row>
    <row r="950" spans="1:40">
      <c r="A950" s="177"/>
      <c r="B950" s="177"/>
      <c r="C950" s="177"/>
      <c r="D950" s="177"/>
      <c r="AF950" s="177"/>
      <c r="AG950" s="177"/>
      <c r="AH950" s="177"/>
      <c r="AI950" s="177"/>
      <c r="AJ950" s="177"/>
      <c r="AK950" s="177"/>
      <c r="AL950" s="177"/>
      <c r="AM950" s="177"/>
      <c r="AN950" s="177"/>
    </row>
    <row r="951" spans="1:40">
      <c r="A951" s="177"/>
      <c r="B951" s="177"/>
      <c r="C951" s="177"/>
      <c r="D951" s="177"/>
      <c r="AF951" s="177"/>
      <c r="AG951" s="177"/>
      <c r="AH951" s="177"/>
      <c r="AI951" s="177"/>
      <c r="AJ951" s="177"/>
      <c r="AK951" s="177"/>
      <c r="AL951" s="177"/>
      <c r="AM951" s="177"/>
      <c r="AN951" s="177"/>
    </row>
    <row r="952" spans="1:40">
      <c r="A952" s="177"/>
      <c r="B952" s="177"/>
      <c r="C952" s="177"/>
      <c r="D952" s="177"/>
      <c r="AF952" s="177"/>
      <c r="AG952" s="177"/>
      <c r="AH952" s="177"/>
      <c r="AI952" s="177"/>
      <c r="AJ952" s="177"/>
      <c r="AK952" s="177"/>
      <c r="AL952" s="177"/>
      <c r="AM952" s="177"/>
      <c r="AN952" s="177"/>
    </row>
    <row r="953" spans="1:40">
      <c r="A953" s="177"/>
      <c r="B953" s="177"/>
      <c r="C953" s="177"/>
      <c r="D953" s="177"/>
      <c r="AF953" s="177"/>
      <c r="AG953" s="177"/>
      <c r="AH953" s="177"/>
      <c r="AI953" s="177"/>
      <c r="AJ953" s="177"/>
      <c r="AK953" s="177"/>
      <c r="AL953" s="177"/>
      <c r="AM953" s="177"/>
      <c r="AN953" s="177"/>
    </row>
    <row r="954" spans="1:40">
      <c r="A954" s="177"/>
      <c r="B954" s="177"/>
      <c r="C954" s="177"/>
      <c r="D954" s="177"/>
      <c r="AF954" s="177"/>
      <c r="AG954" s="177"/>
      <c r="AH954" s="177"/>
      <c r="AI954" s="177"/>
      <c r="AJ954" s="177"/>
      <c r="AK954" s="177"/>
      <c r="AL954" s="177"/>
      <c r="AM954" s="177"/>
      <c r="AN954" s="177"/>
    </row>
    <row r="955" spans="1:40">
      <c r="A955" s="177"/>
      <c r="B955" s="177"/>
      <c r="C955" s="177"/>
      <c r="D955" s="177"/>
      <c r="AF955" s="177"/>
      <c r="AG955" s="177"/>
      <c r="AH955" s="177"/>
      <c r="AI955" s="177"/>
      <c r="AJ955" s="177"/>
      <c r="AK955" s="177"/>
      <c r="AL955" s="177"/>
      <c r="AM955" s="177"/>
      <c r="AN955" s="177"/>
    </row>
    <row r="956" spans="1:40">
      <c r="A956" s="177"/>
      <c r="B956" s="177"/>
      <c r="C956" s="177"/>
      <c r="D956" s="177"/>
      <c r="AF956" s="177"/>
      <c r="AG956" s="177"/>
      <c r="AH956" s="177"/>
      <c r="AI956" s="177"/>
      <c r="AJ956" s="177"/>
      <c r="AK956" s="177"/>
      <c r="AL956" s="177"/>
      <c r="AM956" s="177"/>
      <c r="AN956" s="177"/>
    </row>
    <row r="957" spans="1:40">
      <c r="A957" s="177"/>
      <c r="B957" s="177"/>
      <c r="C957" s="177"/>
      <c r="D957" s="177"/>
      <c r="AF957" s="177"/>
      <c r="AG957" s="177"/>
      <c r="AH957" s="177"/>
      <c r="AI957" s="177"/>
      <c r="AJ957" s="177"/>
      <c r="AK957" s="177"/>
      <c r="AL957" s="177"/>
      <c r="AM957" s="177"/>
      <c r="AN957" s="177"/>
    </row>
    <row r="958" spans="1:40">
      <c r="A958" s="177"/>
      <c r="B958" s="177"/>
      <c r="C958" s="177"/>
      <c r="D958" s="177"/>
      <c r="AF958" s="177"/>
      <c r="AG958" s="177"/>
      <c r="AH958" s="177"/>
      <c r="AI958" s="177"/>
      <c r="AJ958" s="177"/>
      <c r="AK958" s="177"/>
      <c r="AL958" s="177"/>
      <c r="AM958" s="177"/>
      <c r="AN958" s="177"/>
    </row>
    <row r="959" spans="1:40">
      <c r="A959" s="177"/>
      <c r="B959" s="177"/>
      <c r="C959" s="177"/>
      <c r="D959" s="177"/>
      <c r="AF959" s="177"/>
      <c r="AG959" s="177"/>
      <c r="AH959" s="177"/>
      <c r="AI959" s="177"/>
      <c r="AJ959" s="177"/>
      <c r="AK959" s="177"/>
      <c r="AL959" s="177"/>
      <c r="AM959" s="177"/>
      <c r="AN959" s="177"/>
    </row>
    <row r="960" spans="1:40">
      <c r="A960" s="177"/>
      <c r="B960" s="177"/>
      <c r="C960" s="177"/>
      <c r="D960" s="177"/>
      <c r="AF960" s="177"/>
      <c r="AG960" s="177"/>
      <c r="AH960" s="177"/>
      <c r="AI960" s="177"/>
      <c r="AJ960" s="177"/>
      <c r="AK960" s="177"/>
      <c r="AL960" s="177"/>
      <c r="AM960" s="177"/>
      <c r="AN960" s="177"/>
    </row>
    <row r="961" spans="1:40">
      <c r="A961" s="177"/>
      <c r="B961" s="177"/>
      <c r="C961" s="177"/>
      <c r="D961" s="177"/>
      <c r="AF961" s="177"/>
      <c r="AG961" s="177"/>
      <c r="AH961" s="177"/>
      <c r="AI961" s="177"/>
      <c r="AJ961" s="177"/>
      <c r="AK961" s="177"/>
      <c r="AL961" s="177"/>
      <c r="AM961" s="177"/>
      <c r="AN961" s="177"/>
    </row>
    <row r="962" spans="1:40">
      <c r="A962" s="177"/>
      <c r="B962" s="177"/>
      <c r="C962" s="177"/>
      <c r="D962" s="177"/>
      <c r="AF962" s="177"/>
      <c r="AG962" s="177"/>
      <c r="AH962" s="177"/>
      <c r="AI962" s="177"/>
      <c r="AJ962" s="177"/>
      <c r="AK962" s="177"/>
      <c r="AL962" s="177"/>
      <c r="AM962" s="177"/>
      <c r="AN962" s="177"/>
    </row>
    <row r="963" spans="1:40">
      <c r="A963" s="177"/>
      <c r="B963" s="177"/>
      <c r="C963" s="177"/>
      <c r="D963" s="177"/>
      <c r="AF963" s="177"/>
      <c r="AG963" s="177"/>
      <c r="AH963" s="177"/>
      <c r="AI963" s="177"/>
      <c r="AJ963" s="177"/>
      <c r="AK963" s="177"/>
      <c r="AL963" s="177"/>
      <c r="AM963" s="177"/>
      <c r="AN963" s="177"/>
    </row>
    <row r="964" spans="1:40">
      <c r="A964" s="177"/>
      <c r="B964" s="177"/>
      <c r="C964" s="177"/>
      <c r="D964" s="177"/>
      <c r="AF964" s="177"/>
      <c r="AG964" s="177"/>
      <c r="AH964" s="177"/>
      <c r="AI964" s="177"/>
      <c r="AJ964" s="177"/>
      <c r="AK964" s="177"/>
      <c r="AL964" s="177"/>
      <c r="AM964" s="177"/>
      <c r="AN964" s="177"/>
    </row>
    <row r="965" spans="1:40">
      <c r="A965" s="177"/>
      <c r="B965" s="177"/>
      <c r="C965" s="177"/>
      <c r="D965" s="177"/>
      <c r="AF965" s="177"/>
      <c r="AG965" s="177"/>
      <c r="AH965" s="177"/>
      <c r="AI965" s="177"/>
      <c r="AJ965" s="177"/>
      <c r="AK965" s="177"/>
      <c r="AL965" s="177"/>
      <c r="AM965" s="177"/>
      <c r="AN965" s="177"/>
    </row>
    <row r="966" spans="1:40">
      <c r="A966" s="177"/>
      <c r="B966" s="177"/>
      <c r="C966" s="177"/>
      <c r="D966" s="177"/>
      <c r="AF966" s="177"/>
      <c r="AG966" s="177"/>
      <c r="AH966" s="177"/>
      <c r="AI966" s="177"/>
      <c r="AJ966" s="177"/>
      <c r="AK966" s="177"/>
      <c r="AL966" s="177"/>
      <c r="AM966" s="177"/>
      <c r="AN966" s="177"/>
    </row>
    <row r="967" spans="1:40">
      <c r="A967" s="177"/>
      <c r="B967" s="177"/>
      <c r="C967" s="177"/>
      <c r="D967" s="177"/>
      <c r="AF967" s="177"/>
      <c r="AG967" s="177"/>
      <c r="AH967" s="177"/>
      <c r="AI967" s="177"/>
      <c r="AJ967" s="177"/>
      <c r="AK967" s="177"/>
      <c r="AL967" s="177"/>
      <c r="AM967" s="177"/>
      <c r="AN967" s="177"/>
    </row>
    <row r="968" spans="1:40">
      <c r="A968" s="177"/>
      <c r="B968" s="177"/>
      <c r="C968" s="177"/>
      <c r="D968" s="177"/>
      <c r="AF968" s="177"/>
      <c r="AG968" s="177"/>
      <c r="AH968" s="177"/>
      <c r="AI968" s="177"/>
      <c r="AJ968" s="177"/>
      <c r="AK968" s="177"/>
      <c r="AL968" s="177"/>
      <c r="AM968" s="177"/>
      <c r="AN968" s="177"/>
    </row>
    <row r="969" spans="1:40">
      <c r="A969" s="177"/>
      <c r="B969" s="177"/>
      <c r="C969" s="177"/>
      <c r="D969" s="177"/>
      <c r="AF969" s="177"/>
      <c r="AG969" s="177"/>
      <c r="AH969" s="177"/>
      <c r="AI969" s="177"/>
      <c r="AJ969" s="177"/>
      <c r="AK969" s="177"/>
      <c r="AL969" s="177"/>
      <c r="AM969" s="177"/>
      <c r="AN969" s="177"/>
    </row>
    <row r="970" spans="1:40">
      <c r="A970" s="177"/>
      <c r="B970" s="177"/>
      <c r="C970" s="177"/>
      <c r="D970" s="177"/>
      <c r="AF970" s="177"/>
      <c r="AG970" s="177"/>
      <c r="AH970" s="177"/>
      <c r="AI970" s="177"/>
      <c r="AJ970" s="177"/>
      <c r="AK970" s="177"/>
      <c r="AL970" s="177"/>
      <c r="AM970" s="177"/>
      <c r="AN970" s="177"/>
    </row>
    <row r="971" spans="1:40">
      <c r="A971" s="177"/>
      <c r="B971" s="177"/>
      <c r="C971" s="177"/>
      <c r="D971" s="177"/>
      <c r="AF971" s="177"/>
      <c r="AG971" s="177"/>
      <c r="AH971" s="177"/>
      <c r="AI971" s="177"/>
      <c r="AJ971" s="177"/>
      <c r="AK971" s="177"/>
      <c r="AL971" s="177"/>
      <c r="AM971" s="177"/>
      <c r="AN971" s="177"/>
    </row>
    <row r="972" spans="1:40">
      <c r="A972" s="177"/>
      <c r="B972" s="177"/>
      <c r="C972" s="177"/>
      <c r="D972" s="177"/>
      <c r="AF972" s="177"/>
      <c r="AG972" s="177"/>
      <c r="AH972" s="177"/>
      <c r="AI972" s="177"/>
      <c r="AJ972" s="177"/>
      <c r="AK972" s="177"/>
      <c r="AL972" s="177"/>
      <c r="AM972" s="177"/>
      <c r="AN972" s="177"/>
    </row>
    <row r="973" spans="1:40">
      <c r="A973" s="177"/>
      <c r="B973" s="177"/>
      <c r="C973" s="177"/>
      <c r="D973" s="177"/>
      <c r="AF973" s="177"/>
      <c r="AG973" s="177"/>
      <c r="AH973" s="177"/>
      <c r="AI973" s="177"/>
      <c r="AJ973" s="177"/>
      <c r="AK973" s="177"/>
      <c r="AL973" s="177"/>
      <c r="AM973" s="177"/>
      <c r="AN973" s="177"/>
    </row>
    <row r="974" spans="1:40">
      <c r="A974" s="177"/>
      <c r="B974" s="177"/>
      <c r="C974" s="177"/>
      <c r="D974" s="177"/>
      <c r="AF974" s="177"/>
      <c r="AG974" s="177"/>
      <c r="AH974" s="177"/>
      <c r="AI974" s="177"/>
      <c r="AJ974" s="177"/>
      <c r="AK974" s="177"/>
      <c r="AL974" s="177"/>
      <c r="AM974" s="177"/>
      <c r="AN974" s="177"/>
    </row>
    <row r="975" spans="1:40">
      <c r="A975" s="177"/>
      <c r="B975" s="177"/>
      <c r="C975" s="177"/>
      <c r="D975" s="177"/>
      <c r="AF975" s="177"/>
      <c r="AG975" s="177"/>
      <c r="AH975" s="177"/>
      <c r="AI975" s="177"/>
      <c r="AJ975" s="177"/>
      <c r="AK975" s="177"/>
      <c r="AL975" s="177"/>
      <c r="AM975" s="177"/>
      <c r="AN975" s="177"/>
    </row>
    <row r="976" spans="1:40">
      <c r="A976" s="177"/>
      <c r="B976" s="177"/>
      <c r="C976" s="177"/>
      <c r="D976" s="177"/>
      <c r="AF976" s="177"/>
      <c r="AG976" s="177"/>
      <c r="AH976" s="177"/>
      <c r="AI976" s="177"/>
      <c r="AJ976" s="177"/>
      <c r="AK976" s="177"/>
      <c r="AL976" s="177"/>
      <c r="AM976" s="177"/>
      <c r="AN976" s="177"/>
    </row>
    <row r="977" spans="1:40">
      <c r="A977" s="177"/>
      <c r="B977" s="177"/>
      <c r="C977" s="177"/>
      <c r="D977" s="177"/>
      <c r="AF977" s="177"/>
      <c r="AG977" s="177"/>
      <c r="AH977" s="177"/>
      <c r="AI977" s="177"/>
      <c r="AJ977" s="177"/>
      <c r="AK977" s="177"/>
      <c r="AL977" s="177"/>
      <c r="AM977" s="177"/>
      <c r="AN977" s="177"/>
    </row>
    <row r="978" spans="1:40">
      <c r="A978" s="177"/>
      <c r="B978" s="177"/>
      <c r="C978" s="177"/>
      <c r="D978" s="177"/>
      <c r="AF978" s="177"/>
      <c r="AG978" s="177"/>
      <c r="AH978" s="177"/>
      <c r="AI978" s="177"/>
      <c r="AJ978" s="177"/>
      <c r="AK978" s="177"/>
      <c r="AL978" s="177"/>
      <c r="AM978" s="177"/>
      <c r="AN978" s="177"/>
    </row>
    <row r="979" spans="1:40">
      <c r="A979" s="177"/>
      <c r="B979" s="177"/>
      <c r="C979" s="177"/>
      <c r="D979" s="177"/>
      <c r="AF979" s="177"/>
      <c r="AG979" s="177"/>
      <c r="AH979" s="177"/>
      <c r="AI979" s="177"/>
      <c r="AJ979" s="177"/>
      <c r="AK979" s="177"/>
      <c r="AL979" s="177"/>
      <c r="AM979" s="177"/>
      <c r="AN979" s="177"/>
    </row>
    <row r="980" spans="1:40">
      <c r="A980" s="177"/>
      <c r="B980" s="177"/>
      <c r="C980" s="177"/>
      <c r="D980" s="177"/>
      <c r="AF980" s="177"/>
      <c r="AG980" s="177"/>
      <c r="AH980" s="177"/>
      <c r="AI980" s="177"/>
      <c r="AJ980" s="177"/>
      <c r="AK980" s="177"/>
      <c r="AL980" s="177"/>
      <c r="AM980" s="177"/>
      <c r="AN980" s="177"/>
    </row>
    <row r="981" spans="1:40">
      <c r="A981" s="177"/>
      <c r="B981" s="177"/>
      <c r="C981" s="177"/>
      <c r="D981" s="177"/>
      <c r="AF981" s="177"/>
      <c r="AG981" s="177"/>
      <c r="AH981" s="177"/>
      <c r="AI981" s="177"/>
      <c r="AJ981" s="177"/>
      <c r="AK981" s="177"/>
      <c r="AL981" s="177"/>
      <c r="AM981" s="177"/>
      <c r="AN981" s="177"/>
    </row>
    <row r="982" spans="1:40">
      <c r="A982" s="177"/>
      <c r="B982" s="177"/>
      <c r="C982" s="177"/>
      <c r="D982" s="177"/>
      <c r="AF982" s="177"/>
      <c r="AG982" s="177"/>
      <c r="AH982" s="177"/>
      <c r="AI982" s="177"/>
      <c r="AJ982" s="177"/>
      <c r="AK982" s="177"/>
      <c r="AL982" s="177"/>
      <c r="AM982" s="177"/>
      <c r="AN982" s="177"/>
    </row>
    <row r="983" spans="1:40">
      <c r="A983" s="177"/>
      <c r="B983" s="177"/>
      <c r="C983" s="177"/>
      <c r="D983" s="177"/>
      <c r="AF983" s="177"/>
      <c r="AG983" s="177"/>
      <c r="AH983" s="177"/>
      <c r="AI983" s="177"/>
      <c r="AJ983" s="177"/>
      <c r="AK983" s="177"/>
      <c r="AL983" s="177"/>
      <c r="AM983" s="177"/>
      <c r="AN983" s="177"/>
    </row>
    <row r="984" spans="1:40">
      <c r="A984" s="177"/>
      <c r="B984" s="177"/>
      <c r="C984" s="177"/>
      <c r="D984" s="177"/>
      <c r="AF984" s="177"/>
      <c r="AG984" s="177"/>
      <c r="AH984" s="177"/>
      <c r="AI984" s="177"/>
      <c r="AJ984" s="177"/>
      <c r="AK984" s="177"/>
      <c r="AL984" s="177"/>
      <c r="AM984" s="177"/>
      <c r="AN984" s="177"/>
    </row>
    <row r="985" spans="1:40">
      <c r="A985" s="177"/>
      <c r="B985" s="177"/>
      <c r="C985" s="177"/>
      <c r="D985" s="177"/>
      <c r="AF985" s="177"/>
      <c r="AG985" s="177"/>
      <c r="AH985" s="177"/>
      <c r="AI985" s="177"/>
      <c r="AJ985" s="177"/>
      <c r="AK985" s="177"/>
      <c r="AL985" s="177"/>
      <c r="AM985" s="177"/>
      <c r="AN985" s="177"/>
    </row>
    <row r="986" spans="1:40">
      <c r="A986" s="177"/>
      <c r="B986" s="177"/>
      <c r="C986" s="177"/>
      <c r="D986" s="177"/>
      <c r="AF986" s="177"/>
      <c r="AG986" s="177"/>
      <c r="AH986" s="177"/>
      <c r="AI986" s="177"/>
      <c r="AJ986" s="177"/>
      <c r="AK986" s="177"/>
      <c r="AL986" s="177"/>
      <c r="AM986" s="177"/>
      <c r="AN986" s="177"/>
    </row>
    <row r="987" spans="1:40">
      <c r="A987" s="177"/>
      <c r="B987" s="177"/>
      <c r="C987" s="177"/>
      <c r="D987" s="177"/>
      <c r="AF987" s="177"/>
      <c r="AG987" s="177"/>
      <c r="AH987" s="177"/>
      <c r="AI987" s="177"/>
      <c r="AJ987" s="177"/>
      <c r="AK987" s="177"/>
      <c r="AL987" s="177"/>
      <c r="AM987" s="177"/>
      <c r="AN987" s="177"/>
    </row>
    <row r="988" spans="1:40">
      <c r="A988" s="177"/>
      <c r="B988" s="177"/>
      <c r="C988" s="177"/>
      <c r="D988" s="177"/>
      <c r="AF988" s="177"/>
      <c r="AG988" s="177"/>
      <c r="AH988" s="177"/>
      <c r="AI988" s="177"/>
      <c r="AJ988" s="177"/>
      <c r="AK988" s="177"/>
      <c r="AL988" s="177"/>
      <c r="AM988" s="177"/>
      <c r="AN988" s="177"/>
    </row>
    <row r="989" spans="1:40">
      <c r="A989" s="177"/>
      <c r="B989" s="177"/>
      <c r="C989" s="177"/>
      <c r="D989" s="177"/>
      <c r="AF989" s="177"/>
      <c r="AG989" s="177"/>
      <c r="AH989" s="177"/>
      <c r="AI989" s="177"/>
      <c r="AJ989" s="177"/>
      <c r="AK989" s="177"/>
      <c r="AL989" s="177"/>
      <c r="AM989" s="177"/>
      <c r="AN989" s="177"/>
    </row>
    <row r="990" spans="1:40">
      <c r="A990" s="177"/>
      <c r="B990" s="177"/>
      <c r="C990" s="177"/>
      <c r="D990" s="177"/>
      <c r="AF990" s="177"/>
      <c r="AG990" s="177"/>
      <c r="AH990" s="177"/>
      <c r="AI990" s="177"/>
      <c r="AJ990" s="177"/>
      <c r="AK990" s="177"/>
      <c r="AL990" s="177"/>
      <c r="AM990" s="177"/>
      <c r="AN990" s="177"/>
    </row>
    <row r="991" spans="1:40">
      <c r="A991" s="177"/>
      <c r="B991" s="177"/>
      <c r="C991" s="177"/>
      <c r="D991" s="177"/>
      <c r="AF991" s="177"/>
      <c r="AG991" s="177"/>
      <c r="AH991" s="177"/>
      <c r="AI991" s="177"/>
      <c r="AJ991" s="177"/>
      <c r="AK991" s="177"/>
      <c r="AL991" s="177"/>
      <c r="AM991" s="177"/>
      <c r="AN991" s="177"/>
    </row>
    <row r="992" spans="1:40">
      <c r="A992" s="177"/>
      <c r="B992" s="177"/>
      <c r="C992" s="177"/>
      <c r="D992" s="177"/>
      <c r="AF992" s="177"/>
      <c r="AG992" s="177"/>
      <c r="AH992" s="177"/>
      <c r="AI992" s="177"/>
      <c r="AJ992" s="177"/>
      <c r="AK992" s="177"/>
      <c r="AL992" s="177"/>
      <c r="AM992" s="177"/>
      <c r="AN992" s="177"/>
    </row>
    <row r="993" spans="1:40">
      <c r="A993" s="177"/>
      <c r="B993" s="177"/>
      <c r="C993" s="177"/>
      <c r="D993" s="177"/>
      <c r="AF993" s="177"/>
      <c r="AG993" s="177"/>
      <c r="AH993" s="177"/>
      <c r="AI993" s="177"/>
      <c r="AJ993" s="177"/>
      <c r="AK993" s="177"/>
      <c r="AL993" s="177"/>
      <c r="AM993" s="177"/>
      <c r="AN993" s="177"/>
    </row>
    <row r="994" spans="1:40">
      <c r="A994" s="177"/>
      <c r="B994" s="177"/>
      <c r="C994" s="177"/>
      <c r="D994" s="177"/>
      <c r="AF994" s="177"/>
      <c r="AG994" s="177"/>
      <c r="AH994" s="177"/>
      <c r="AI994" s="177"/>
      <c r="AJ994" s="177"/>
      <c r="AK994" s="177"/>
      <c r="AL994" s="177"/>
      <c r="AM994" s="177"/>
      <c r="AN994" s="177"/>
    </row>
    <row r="995" spans="1:40">
      <c r="A995" s="177"/>
      <c r="B995" s="177"/>
      <c r="C995" s="177"/>
      <c r="D995" s="177"/>
      <c r="AF995" s="177"/>
      <c r="AG995" s="177"/>
      <c r="AH995" s="177"/>
      <c r="AI995" s="177"/>
      <c r="AJ995" s="177"/>
      <c r="AK995" s="177"/>
      <c r="AL995" s="177"/>
      <c r="AM995" s="177"/>
      <c r="AN995" s="177"/>
    </row>
    <row r="996" spans="1:40">
      <c r="A996" s="177"/>
      <c r="B996" s="177"/>
      <c r="C996" s="177"/>
      <c r="D996" s="177"/>
      <c r="AF996" s="177"/>
      <c r="AG996" s="177"/>
      <c r="AH996" s="177"/>
      <c r="AI996" s="177"/>
      <c r="AJ996" s="177"/>
      <c r="AK996" s="177"/>
      <c r="AL996" s="177"/>
      <c r="AM996" s="177"/>
      <c r="AN996" s="177"/>
    </row>
    <row r="997" spans="1:40">
      <c r="A997" s="177"/>
      <c r="B997" s="177"/>
      <c r="C997" s="177"/>
      <c r="D997" s="177"/>
      <c r="AF997" s="177"/>
      <c r="AG997" s="177"/>
      <c r="AH997" s="177"/>
      <c r="AI997" s="177"/>
      <c r="AJ997" s="177"/>
      <c r="AK997" s="177"/>
      <c r="AL997" s="177"/>
      <c r="AM997" s="177"/>
      <c r="AN997" s="177"/>
    </row>
    <row r="998" spans="1:40">
      <c r="A998" s="177"/>
      <c r="B998" s="177"/>
      <c r="C998" s="177"/>
      <c r="D998" s="177"/>
      <c r="AF998" s="177"/>
      <c r="AG998" s="177"/>
      <c r="AH998" s="177"/>
      <c r="AI998" s="177"/>
      <c r="AJ998" s="177"/>
      <c r="AK998" s="177"/>
      <c r="AL998" s="177"/>
      <c r="AM998" s="177"/>
      <c r="AN998" s="177"/>
    </row>
    <row r="999" spans="1:40">
      <c r="A999" s="177"/>
      <c r="B999" s="177"/>
      <c r="C999" s="177"/>
      <c r="D999" s="177"/>
      <c r="AF999" s="177"/>
      <c r="AG999" s="177"/>
      <c r="AH999" s="177"/>
      <c r="AI999" s="177"/>
      <c r="AJ999" s="177"/>
      <c r="AK999" s="177"/>
      <c r="AL999" s="177"/>
      <c r="AM999" s="177"/>
      <c r="AN999" s="177"/>
    </row>
    <row r="1000" spans="1:40">
      <c r="A1000" s="177"/>
      <c r="B1000" s="177"/>
      <c r="C1000" s="177"/>
      <c r="D1000" s="177"/>
      <c r="AF1000" s="177"/>
      <c r="AG1000" s="177"/>
      <c r="AH1000" s="177"/>
      <c r="AI1000" s="177"/>
      <c r="AJ1000" s="177"/>
      <c r="AK1000" s="177"/>
      <c r="AL1000" s="177"/>
      <c r="AM1000" s="177"/>
      <c r="AN1000" s="177"/>
    </row>
    <row r="1001" spans="1:40">
      <c r="A1001" s="177"/>
      <c r="B1001" s="177"/>
      <c r="C1001" s="177"/>
      <c r="D1001" s="177"/>
      <c r="AF1001" s="177"/>
      <c r="AG1001" s="177"/>
      <c r="AH1001" s="177"/>
      <c r="AI1001" s="177"/>
      <c r="AJ1001" s="177"/>
      <c r="AK1001" s="177"/>
      <c r="AL1001" s="177"/>
      <c r="AM1001" s="177"/>
      <c r="AN1001" s="177"/>
    </row>
    <row r="1002" spans="1:40">
      <c r="A1002" s="177"/>
      <c r="B1002" s="177"/>
      <c r="C1002" s="177"/>
      <c r="D1002" s="177"/>
      <c r="AF1002" s="177"/>
      <c r="AG1002" s="177"/>
      <c r="AH1002" s="177"/>
      <c r="AI1002" s="177"/>
      <c r="AJ1002" s="177"/>
      <c r="AK1002" s="177"/>
      <c r="AL1002" s="177"/>
      <c r="AM1002" s="177"/>
      <c r="AN1002" s="177"/>
    </row>
    <row r="1003" spans="1:40">
      <c r="A1003" s="177"/>
      <c r="B1003" s="177"/>
      <c r="C1003" s="177"/>
      <c r="D1003" s="177"/>
      <c r="AF1003" s="177"/>
      <c r="AG1003" s="177"/>
      <c r="AH1003" s="177"/>
      <c r="AI1003" s="177"/>
      <c r="AJ1003" s="177"/>
      <c r="AK1003" s="177"/>
      <c r="AL1003" s="177"/>
      <c r="AM1003" s="177"/>
      <c r="AN1003" s="177"/>
    </row>
    <row r="1004" spans="1:40">
      <c r="A1004" s="177"/>
      <c r="B1004" s="177"/>
      <c r="C1004" s="177"/>
      <c r="D1004" s="177"/>
      <c r="AF1004" s="177"/>
      <c r="AG1004" s="177"/>
      <c r="AH1004" s="177"/>
      <c r="AI1004" s="177"/>
      <c r="AJ1004" s="177"/>
      <c r="AK1004" s="177"/>
      <c r="AL1004" s="177"/>
      <c r="AM1004" s="177"/>
      <c r="AN1004" s="177"/>
    </row>
    <row r="1005" spans="1:40">
      <c r="A1005" s="177"/>
      <c r="B1005" s="177"/>
      <c r="C1005" s="177"/>
      <c r="D1005" s="177"/>
      <c r="AF1005" s="177"/>
      <c r="AG1005" s="177"/>
      <c r="AH1005" s="177"/>
      <c r="AI1005" s="177"/>
      <c r="AJ1005" s="177"/>
      <c r="AK1005" s="177"/>
      <c r="AL1005" s="177"/>
      <c r="AM1005" s="177"/>
      <c r="AN1005" s="177"/>
    </row>
    <row r="1006" spans="1:40">
      <c r="A1006" s="177"/>
      <c r="B1006" s="177"/>
      <c r="C1006" s="177"/>
      <c r="D1006" s="177"/>
      <c r="AF1006" s="177"/>
      <c r="AG1006" s="177"/>
      <c r="AH1006" s="177"/>
      <c r="AI1006" s="177"/>
      <c r="AJ1006" s="177"/>
      <c r="AK1006" s="177"/>
      <c r="AL1006" s="177"/>
      <c r="AM1006" s="177"/>
      <c r="AN1006" s="177"/>
    </row>
    <row r="1007" spans="1:40">
      <c r="A1007" s="177"/>
      <c r="B1007" s="177"/>
      <c r="C1007" s="177"/>
      <c r="D1007" s="177"/>
      <c r="AF1007" s="177"/>
      <c r="AG1007" s="177"/>
      <c r="AH1007" s="177"/>
      <c r="AI1007" s="177"/>
      <c r="AJ1007" s="177"/>
      <c r="AK1007" s="177"/>
      <c r="AL1007" s="177"/>
      <c r="AM1007" s="177"/>
      <c r="AN1007" s="177"/>
    </row>
    <row r="1008" spans="1:40">
      <c r="A1008" s="177"/>
      <c r="B1008" s="177"/>
      <c r="C1008" s="177"/>
      <c r="D1008" s="177"/>
      <c r="AF1008" s="177"/>
      <c r="AG1008" s="177"/>
      <c r="AH1008" s="177"/>
      <c r="AI1008" s="177"/>
      <c r="AJ1008" s="177"/>
      <c r="AK1008" s="177"/>
      <c r="AL1008" s="177"/>
      <c r="AM1008" s="177"/>
      <c r="AN1008" s="177"/>
    </row>
    <row r="1009" spans="1:40">
      <c r="A1009" s="177"/>
      <c r="B1009" s="177"/>
      <c r="C1009" s="177"/>
      <c r="D1009" s="177"/>
      <c r="AF1009" s="177"/>
      <c r="AG1009" s="177"/>
      <c r="AH1009" s="177"/>
      <c r="AI1009" s="177"/>
      <c r="AJ1009" s="177"/>
      <c r="AK1009" s="177"/>
      <c r="AL1009" s="177"/>
      <c r="AM1009" s="177"/>
      <c r="AN1009" s="177"/>
    </row>
    <row r="1010" spans="1:40">
      <c r="A1010" s="177"/>
      <c r="B1010" s="177"/>
      <c r="C1010" s="177"/>
      <c r="D1010" s="177"/>
      <c r="AF1010" s="177"/>
      <c r="AG1010" s="177"/>
      <c r="AH1010" s="177"/>
      <c r="AI1010" s="177"/>
      <c r="AJ1010" s="177"/>
      <c r="AK1010" s="177"/>
      <c r="AL1010" s="177"/>
      <c r="AM1010" s="177"/>
      <c r="AN1010" s="177"/>
    </row>
    <row r="1011" spans="1:40">
      <c r="A1011" s="177"/>
      <c r="B1011" s="177"/>
      <c r="C1011" s="177"/>
      <c r="D1011" s="177"/>
      <c r="AF1011" s="177"/>
      <c r="AG1011" s="177"/>
      <c r="AH1011" s="177"/>
      <c r="AI1011" s="177"/>
      <c r="AJ1011" s="177"/>
      <c r="AK1011" s="177"/>
      <c r="AL1011" s="177"/>
      <c r="AM1011" s="177"/>
      <c r="AN1011" s="177"/>
    </row>
    <row r="1012" spans="1:40">
      <c r="A1012" s="177"/>
      <c r="B1012" s="177"/>
      <c r="C1012" s="177"/>
      <c r="D1012" s="177"/>
      <c r="AF1012" s="177"/>
      <c r="AG1012" s="177"/>
      <c r="AH1012" s="177"/>
      <c r="AI1012" s="177"/>
      <c r="AJ1012" s="177"/>
      <c r="AK1012" s="177"/>
      <c r="AL1012" s="177"/>
      <c r="AM1012" s="177"/>
      <c r="AN1012" s="177"/>
    </row>
    <row r="1013" spans="1:40">
      <c r="A1013" s="177"/>
      <c r="B1013" s="177"/>
      <c r="C1013" s="177"/>
      <c r="D1013" s="177"/>
      <c r="AF1013" s="177"/>
      <c r="AG1013" s="177"/>
      <c r="AH1013" s="177"/>
      <c r="AI1013" s="177"/>
      <c r="AJ1013" s="177"/>
      <c r="AK1013" s="177"/>
      <c r="AL1013" s="177"/>
      <c r="AM1013" s="177"/>
      <c r="AN1013" s="177"/>
    </row>
    <row r="1014" spans="1:40">
      <c r="A1014" s="177"/>
      <c r="B1014" s="177"/>
      <c r="C1014" s="177"/>
      <c r="D1014" s="177"/>
      <c r="AF1014" s="177"/>
      <c r="AG1014" s="177"/>
      <c r="AH1014" s="177"/>
      <c r="AI1014" s="177"/>
      <c r="AJ1014" s="177"/>
      <c r="AK1014" s="177"/>
      <c r="AL1014" s="177"/>
      <c r="AM1014" s="177"/>
      <c r="AN1014" s="177"/>
    </row>
    <row r="1015" spans="1:40">
      <c r="A1015" s="177"/>
      <c r="B1015" s="177"/>
      <c r="C1015" s="177"/>
      <c r="D1015" s="177"/>
      <c r="AF1015" s="177"/>
      <c r="AG1015" s="177"/>
      <c r="AH1015" s="177"/>
      <c r="AI1015" s="177"/>
      <c r="AJ1015" s="177"/>
      <c r="AK1015" s="177"/>
      <c r="AL1015" s="177"/>
      <c r="AM1015" s="177"/>
      <c r="AN1015" s="177"/>
    </row>
    <row r="1016" spans="1:40">
      <c r="A1016" s="177"/>
      <c r="B1016" s="177"/>
      <c r="C1016" s="177"/>
      <c r="D1016" s="177"/>
      <c r="AF1016" s="177"/>
      <c r="AG1016" s="177"/>
      <c r="AH1016" s="177"/>
      <c r="AI1016" s="177"/>
      <c r="AJ1016" s="177"/>
      <c r="AK1016" s="177"/>
      <c r="AL1016" s="177"/>
      <c r="AM1016" s="177"/>
      <c r="AN1016" s="177"/>
    </row>
    <row r="1017" spans="1:40">
      <c r="A1017" s="177"/>
      <c r="B1017" s="177"/>
      <c r="C1017" s="177"/>
      <c r="D1017" s="177"/>
      <c r="AF1017" s="177"/>
      <c r="AG1017" s="177"/>
      <c r="AH1017" s="177"/>
      <c r="AI1017" s="177"/>
      <c r="AJ1017" s="177"/>
      <c r="AK1017" s="177"/>
      <c r="AL1017" s="177"/>
      <c r="AM1017" s="177"/>
      <c r="AN1017" s="177"/>
    </row>
    <row r="1018" spans="1:40">
      <c r="A1018" s="177"/>
      <c r="B1018" s="177"/>
      <c r="C1018" s="177"/>
      <c r="D1018" s="177"/>
      <c r="AF1018" s="177"/>
      <c r="AG1018" s="177"/>
      <c r="AH1018" s="177"/>
      <c r="AI1018" s="177"/>
      <c r="AJ1018" s="177"/>
      <c r="AK1018" s="177"/>
      <c r="AL1018" s="177"/>
      <c r="AM1018" s="177"/>
      <c r="AN1018" s="177"/>
    </row>
    <row r="1019" spans="1:40">
      <c r="A1019" s="177"/>
      <c r="B1019" s="177"/>
      <c r="C1019" s="177"/>
      <c r="D1019" s="177"/>
      <c r="AF1019" s="177"/>
      <c r="AG1019" s="177"/>
      <c r="AH1019" s="177"/>
      <c r="AI1019" s="177"/>
      <c r="AJ1019" s="177"/>
      <c r="AK1019" s="177"/>
      <c r="AL1019" s="177"/>
      <c r="AM1019" s="177"/>
      <c r="AN1019" s="177"/>
    </row>
    <row r="1020" spans="1:40">
      <c r="A1020" s="177"/>
      <c r="B1020" s="177"/>
      <c r="C1020" s="177"/>
      <c r="D1020" s="177"/>
      <c r="AF1020" s="177"/>
      <c r="AG1020" s="177"/>
      <c r="AH1020" s="177"/>
      <c r="AI1020" s="177"/>
      <c r="AJ1020" s="177"/>
      <c r="AK1020" s="177"/>
      <c r="AL1020" s="177"/>
      <c r="AM1020" s="177"/>
      <c r="AN1020" s="177"/>
    </row>
    <row r="1021" spans="1:40">
      <c r="A1021" s="177"/>
      <c r="B1021" s="177"/>
      <c r="C1021" s="177"/>
      <c r="D1021" s="177"/>
      <c r="AF1021" s="177"/>
      <c r="AG1021" s="177"/>
      <c r="AH1021" s="177"/>
      <c r="AI1021" s="177"/>
      <c r="AJ1021" s="177"/>
      <c r="AK1021" s="177"/>
      <c r="AL1021" s="177"/>
      <c r="AM1021" s="177"/>
      <c r="AN1021" s="177"/>
    </row>
    <row r="1022" spans="1:40">
      <c r="A1022" s="177"/>
      <c r="B1022" s="177"/>
      <c r="C1022" s="177"/>
      <c r="D1022" s="177"/>
      <c r="AF1022" s="177"/>
      <c r="AG1022" s="177"/>
      <c r="AH1022" s="177"/>
      <c r="AI1022" s="177"/>
      <c r="AJ1022" s="177"/>
      <c r="AK1022" s="177"/>
      <c r="AL1022" s="177"/>
      <c r="AM1022" s="177"/>
      <c r="AN1022" s="177"/>
    </row>
    <row r="1023" spans="1:40">
      <c r="A1023" s="177"/>
      <c r="B1023" s="177"/>
      <c r="C1023" s="177"/>
      <c r="D1023" s="177"/>
      <c r="AF1023" s="177"/>
      <c r="AG1023" s="177"/>
      <c r="AH1023" s="177"/>
      <c r="AI1023" s="177"/>
      <c r="AJ1023" s="177"/>
      <c r="AK1023" s="177"/>
      <c r="AL1023" s="177"/>
      <c r="AM1023" s="177"/>
      <c r="AN1023" s="177"/>
    </row>
    <row r="1024" spans="1:40">
      <c r="A1024" s="177"/>
      <c r="B1024" s="177"/>
      <c r="C1024" s="177"/>
      <c r="D1024" s="177"/>
      <c r="AF1024" s="177"/>
      <c r="AG1024" s="177"/>
      <c r="AH1024" s="177"/>
      <c r="AI1024" s="177"/>
      <c r="AJ1024" s="177"/>
      <c r="AK1024" s="177"/>
      <c r="AL1024" s="177"/>
      <c r="AM1024" s="177"/>
      <c r="AN1024" s="177"/>
    </row>
    <row r="1025" spans="1:40">
      <c r="A1025" s="177"/>
      <c r="B1025" s="177"/>
      <c r="C1025" s="177"/>
      <c r="D1025" s="177"/>
      <c r="AF1025" s="177"/>
      <c r="AG1025" s="177"/>
      <c r="AH1025" s="177"/>
      <c r="AI1025" s="177"/>
      <c r="AJ1025" s="177"/>
      <c r="AK1025" s="177"/>
      <c r="AL1025" s="177"/>
      <c r="AM1025" s="177"/>
      <c r="AN1025" s="177"/>
    </row>
    <row r="1026" spans="1:40">
      <c r="A1026" s="177"/>
      <c r="B1026" s="177"/>
      <c r="C1026" s="177"/>
      <c r="D1026" s="177"/>
      <c r="AF1026" s="177"/>
      <c r="AG1026" s="177"/>
      <c r="AH1026" s="177"/>
      <c r="AI1026" s="177"/>
      <c r="AJ1026" s="177"/>
      <c r="AK1026" s="177"/>
      <c r="AL1026" s="177"/>
      <c r="AM1026" s="177"/>
      <c r="AN1026" s="177"/>
    </row>
    <row r="1027" spans="1:40">
      <c r="A1027" s="177"/>
      <c r="B1027" s="177"/>
      <c r="C1027" s="177"/>
      <c r="D1027" s="177"/>
      <c r="AF1027" s="177"/>
      <c r="AG1027" s="177"/>
      <c r="AH1027" s="177"/>
      <c r="AI1027" s="177"/>
      <c r="AJ1027" s="177"/>
      <c r="AK1027" s="177"/>
      <c r="AL1027" s="177"/>
      <c r="AM1027" s="177"/>
      <c r="AN1027" s="177"/>
    </row>
    <row r="1028" spans="1:40">
      <c r="A1028" s="177"/>
      <c r="B1028" s="177"/>
      <c r="C1028" s="177"/>
      <c r="D1028" s="177"/>
      <c r="AF1028" s="177"/>
      <c r="AG1028" s="177"/>
      <c r="AH1028" s="177"/>
      <c r="AI1028" s="177"/>
      <c r="AJ1028" s="177"/>
      <c r="AK1028" s="177"/>
      <c r="AL1028" s="177"/>
      <c r="AM1028" s="177"/>
      <c r="AN1028" s="177"/>
    </row>
    <row r="1029" spans="1:40">
      <c r="A1029" s="177"/>
      <c r="B1029" s="177"/>
      <c r="C1029" s="177"/>
      <c r="D1029" s="177"/>
      <c r="AF1029" s="177"/>
      <c r="AG1029" s="177"/>
      <c r="AH1029" s="177"/>
      <c r="AI1029" s="177"/>
      <c r="AJ1029" s="177"/>
      <c r="AK1029" s="177"/>
      <c r="AL1029" s="177"/>
      <c r="AM1029" s="177"/>
      <c r="AN1029" s="177"/>
    </row>
    <row r="1030" spans="1:40">
      <c r="A1030" s="177"/>
      <c r="B1030" s="177"/>
      <c r="C1030" s="177"/>
      <c r="D1030" s="177"/>
      <c r="AF1030" s="177"/>
      <c r="AG1030" s="177"/>
      <c r="AH1030" s="177"/>
      <c r="AI1030" s="177"/>
      <c r="AJ1030" s="177"/>
      <c r="AK1030" s="177"/>
      <c r="AL1030" s="177"/>
      <c r="AM1030" s="177"/>
      <c r="AN1030" s="177"/>
    </row>
    <row r="1031" spans="1:40">
      <c r="A1031" s="177"/>
      <c r="B1031" s="177"/>
      <c r="C1031" s="177"/>
      <c r="D1031" s="177"/>
      <c r="AF1031" s="177"/>
      <c r="AG1031" s="177"/>
      <c r="AH1031" s="177"/>
      <c r="AI1031" s="177"/>
      <c r="AJ1031" s="177"/>
      <c r="AK1031" s="177"/>
      <c r="AL1031" s="177"/>
      <c r="AM1031" s="177"/>
      <c r="AN1031" s="177"/>
    </row>
    <row r="1032" spans="1:40">
      <c r="A1032" s="177"/>
      <c r="B1032" s="177"/>
      <c r="C1032" s="177"/>
      <c r="D1032" s="177"/>
      <c r="AF1032" s="177"/>
      <c r="AG1032" s="177"/>
      <c r="AH1032" s="177"/>
      <c r="AI1032" s="177"/>
      <c r="AJ1032" s="177"/>
      <c r="AK1032" s="177"/>
      <c r="AL1032" s="177"/>
      <c r="AM1032" s="177"/>
      <c r="AN1032" s="177"/>
    </row>
    <row r="1033" spans="1:40">
      <c r="A1033" s="177"/>
      <c r="B1033" s="177"/>
      <c r="C1033" s="177"/>
      <c r="D1033" s="177"/>
      <c r="AF1033" s="177"/>
      <c r="AG1033" s="177"/>
      <c r="AH1033" s="177"/>
      <c r="AI1033" s="177"/>
      <c r="AJ1033" s="177"/>
      <c r="AK1033" s="177"/>
      <c r="AL1033" s="177"/>
      <c r="AM1033" s="177"/>
      <c r="AN1033" s="177"/>
    </row>
    <row r="1034" spans="1:40">
      <c r="A1034" s="177"/>
      <c r="B1034" s="177"/>
      <c r="C1034" s="177"/>
      <c r="D1034" s="177"/>
      <c r="AF1034" s="177"/>
      <c r="AG1034" s="177"/>
      <c r="AH1034" s="177"/>
      <c r="AI1034" s="177"/>
      <c r="AJ1034" s="177"/>
      <c r="AK1034" s="177"/>
      <c r="AL1034" s="177"/>
      <c r="AM1034" s="177"/>
      <c r="AN1034" s="177"/>
    </row>
    <row r="1035" spans="1:40">
      <c r="A1035" s="177"/>
      <c r="B1035" s="177"/>
      <c r="C1035" s="177"/>
      <c r="D1035" s="177"/>
      <c r="AF1035" s="177"/>
      <c r="AG1035" s="177"/>
      <c r="AH1035" s="177"/>
      <c r="AI1035" s="177"/>
      <c r="AJ1035" s="177"/>
      <c r="AK1035" s="177"/>
      <c r="AL1035" s="177"/>
      <c r="AM1035" s="177"/>
      <c r="AN1035" s="177"/>
    </row>
    <row r="1036" spans="1:40">
      <c r="A1036" s="177"/>
      <c r="B1036" s="177"/>
      <c r="C1036" s="177"/>
      <c r="D1036" s="177"/>
      <c r="AF1036" s="177"/>
      <c r="AG1036" s="177"/>
      <c r="AH1036" s="177"/>
      <c r="AI1036" s="177"/>
      <c r="AJ1036" s="177"/>
      <c r="AK1036" s="177"/>
      <c r="AL1036" s="177"/>
      <c r="AM1036" s="177"/>
      <c r="AN1036" s="177"/>
    </row>
    <row r="1037" spans="1:40">
      <c r="A1037" s="177"/>
      <c r="B1037" s="177"/>
      <c r="C1037" s="177"/>
      <c r="D1037" s="177"/>
      <c r="AF1037" s="177"/>
      <c r="AG1037" s="177"/>
      <c r="AH1037" s="177"/>
      <c r="AI1037" s="177"/>
      <c r="AJ1037" s="177"/>
      <c r="AK1037" s="177"/>
      <c r="AL1037" s="177"/>
      <c r="AM1037" s="177"/>
      <c r="AN1037" s="177"/>
    </row>
    <row r="1038" spans="1:40">
      <c r="A1038" s="177"/>
      <c r="B1038" s="177"/>
      <c r="C1038" s="177"/>
      <c r="D1038" s="177"/>
      <c r="AF1038" s="177"/>
      <c r="AG1038" s="177"/>
      <c r="AH1038" s="177"/>
      <c r="AI1038" s="177"/>
      <c r="AJ1038" s="177"/>
      <c r="AK1038" s="177"/>
      <c r="AL1038" s="177"/>
      <c r="AM1038" s="177"/>
      <c r="AN1038" s="177"/>
    </row>
    <row r="1039" spans="1:40">
      <c r="A1039" s="177"/>
      <c r="B1039" s="177"/>
      <c r="C1039" s="177"/>
      <c r="D1039" s="177"/>
      <c r="AF1039" s="177"/>
      <c r="AG1039" s="177"/>
      <c r="AH1039" s="177"/>
      <c r="AI1039" s="177"/>
      <c r="AJ1039" s="177"/>
      <c r="AK1039" s="177"/>
      <c r="AL1039" s="177"/>
      <c r="AM1039" s="177"/>
      <c r="AN1039" s="177"/>
    </row>
    <row r="1040" spans="1:40">
      <c r="A1040" s="177"/>
      <c r="B1040" s="177"/>
      <c r="C1040" s="177"/>
      <c r="D1040" s="177"/>
      <c r="AF1040" s="177"/>
      <c r="AG1040" s="177"/>
      <c r="AH1040" s="177"/>
      <c r="AI1040" s="177"/>
      <c r="AJ1040" s="177"/>
      <c r="AK1040" s="177"/>
      <c r="AL1040" s="177"/>
      <c r="AM1040" s="177"/>
      <c r="AN1040" s="177"/>
    </row>
    <row r="1041" spans="1:40">
      <c r="A1041" s="177"/>
      <c r="B1041" s="177"/>
      <c r="C1041" s="177"/>
      <c r="D1041" s="177"/>
      <c r="AF1041" s="177"/>
      <c r="AG1041" s="177"/>
      <c r="AH1041" s="177"/>
      <c r="AI1041" s="177"/>
      <c r="AJ1041" s="177"/>
      <c r="AK1041" s="177"/>
      <c r="AL1041" s="177"/>
      <c r="AM1041" s="177"/>
      <c r="AN1041" s="177"/>
    </row>
    <row r="1042" spans="1:40">
      <c r="A1042" s="177"/>
      <c r="B1042" s="177"/>
      <c r="C1042" s="177"/>
      <c r="D1042" s="177"/>
      <c r="AF1042" s="177"/>
      <c r="AG1042" s="177"/>
      <c r="AH1042" s="177"/>
      <c r="AI1042" s="177"/>
      <c r="AJ1042" s="177"/>
      <c r="AK1042" s="177"/>
      <c r="AL1042" s="177"/>
      <c r="AM1042" s="177"/>
      <c r="AN1042" s="177"/>
    </row>
    <row r="1043" spans="1:40">
      <c r="A1043" s="177"/>
      <c r="B1043" s="177"/>
      <c r="C1043" s="177"/>
      <c r="D1043" s="177"/>
      <c r="AF1043" s="177"/>
      <c r="AG1043" s="177"/>
      <c r="AH1043" s="177"/>
      <c r="AI1043" s="177"/>
      <c r="AJ1043" s="177"/>
      <c r="AK1043" s="177"/>
      <c r="AL1043" s="177"/>
      <c r="AM1043" s="177"/>
      <c r="AN1043" s="177"/>
    </row>
    <row r="1044" spans="1:40">
      <c r="A1044" s="177"/>
      <c r="B1044" s="177"/>
      <c r="C1044" s="177"/>
      <c r="D1044" s="177"/>
      <c r="AF1044" s="177"/>
      <c r="AG1044" s="177"/>
      <c r="AH1044" s="177"/>
      <c r="AI1044" s="177"/>
      <c r="AJ1044" s="177"/>
      <c r="AK1044" s="177"/>
      <c r="AL1044" s="177"/>
      <c r="AM1044" s="177"/>
      <c r="AN1044" s="177"/>
    </row>
    <row r="1045" spans="1:40">
      <c r="A1045" s="177"/>
      <c r="B1045" s="177"/>
      <c r="C1045" s="177"/>
      <c r="D1045" s="177"/>
      <c r="AF1045" s="177"/>
      <c r="AG1045" s="177"/>
      <c r="AH1045" s="177"/>
      <c r="AI1045" s="177"/>
      <c r="AJ1045" s="177"/>
      <c r="AK1045" s="177"/>
      <c r="AL1045" s="177"/>
      <c r="AM1045" s="177"/>
      <c r="AN1045" s="177"/>
    </row>
    <row r="1046" spans="1:40">
      <c r="A1046" s="177"/>
      <c r="B1046" s="177"/>
      <c r="C1046" s="177"/>
      <c r="D1046" s="177"/>
      <c r="AF1046" s="177"/>
      <c r="AG1046" s="177"/>
      <c r="AH1046" s="177"/>
      <c r="AI1046" s="177"/>
      <c r="AJ1046" s="177"/>
      <c r="AK1046" s="177"/>
      <c r="AL1046" s="177"/>
      <c r="AM1046" s="177"/>
      <c r="AN1046" s="177"/>
    </row>
    <row r="1047" spans="1:40">
      <c r="A1047" s="177"/>
      <c r="B1047" s="177"/>
      <c r="C1047" s="177"/>
      <c r="D1047" s="177"/>
      <c r="AF1047" s="177"/>
      <c r="AG1047" s="177"/>
      <c r="AH1047" s="177"/>
      <c r="AI1047" s="177"/>
      <c r="AJ1047" s="177"/>
      <c r="AK1047" s="177"/>
      <c r="AL1047" s="177"/>
      <c r="AM1047" s="177"/>
      <c r="AN1047" s="177"/>
    </row>
    <row r="1048" spans="1:40">
      <c r="A1048" s="177"/>
      <c r="B1048" s="177"/>
      <c r="C1048" s="177"/>
      <c r="D1048" s="177"/>
      <c r="AF1048" s="177"/>
      <c r="AG1048" s="177"/>
      <c r="AH1048" s="177"/>
      <c r="AI1048" s="177"/>
      <c r="AJ1048" s="177"/>
      <c r="AK1048" s="177"/>
      <c r="AL1048" s="177"/>
      <c r="AM1048" s="177"/>
      <c r="AN1048" s="177"/>
    </row>
    <row r="1049" spans="1:40">
      <c r="A1049" s="177"/>
      <c r="B1049" s="177"/>
      <c r="C1049" s="177"/>
      <c r="D1049" s="177"/>
      <c r="AF1049" s="177"/>
      <c r="AG1049" s="177"/>
      <c r="AH1049" s="177"/>
      <c r="AI1049" s="177"/>
      <c r="AJ1049" s="177"/>
      <c r="AK1049" s="177"/>
      <c r="AL1049" s="177"/>
      <c r="AM1049" s="177"/>
      <c r="AN1049" s="177"/>
    </row>
    <row r="1050" spans="1:40">
      <c r="A1050" s="177"/>
      <c r="B1050" s="177"/>
      <c r="C1050" s="177"/>
      <c r="D1050" s="177"/>
      <c r="AF1050" s="177"/>
      <c r="AG1050" s="177"/>
      <c r="AH1050" s="177"/>
      <c r="AI1050" s="177"/>
      <c r="AJ1050" s="177"/>
      <c r="AK1050" s="177"/>
      <c r="AL1050" s="177"/>
      <c r="AM1050" s="177"/>
      <c r="AN1050" s="177"/>
    </row>
    <row r="1051" spans="1:40">
      <c r="A1051" s="177"/>
      <c r="B1051" s="177"/>
      <c r="C1051" s="177"/>
      <c r="D1051" s="177"/>
      <c r="AF1051" s="177"/>
      <c r="AG1051" s="177"/>
      <c r="AH1051" s="177"/>
      <c r="AI1051" s="177"/>
      <c r="AJ1051" s="177"/>
      <c r="AK1051" s="177"/>
      <c r="AL1051" s="177"/>
      <c r="AM1051" s="177"/>
      <c r="AN1051" s="177"/>
    </row>
    <row r="1052" spans="1:40">
      <c r="A1052" s="177"/>
      <c r="B1052" s="177"/>
      <c r="C1052" s="177"/>
      <c r="D1052" s="177"/>
      <c r="AF1052" s="177"/>
      <c r="AG1052" s="177"/>
      <c r="AH1052" s="177"/>
      <c r="AI1052" s="177"/>
      <c r="AJ1052" s="177"/>
      <c r="AK1052" s="177"/>
      <c r="AL1052" s="177"/>
      <c r="AM1052" s="177"/>
      <c r="AN1052" s="177"/>
    </row>
    <row r="1053" spans="1:40">
      <c r="A1053" s="177"/>
      <c r="B1053" s="177"/>
      <c r="C1053" s="177"/>
      <c r="D1053" s="177"/>
      <c r="AF1053" s="177"/>
      <c r="AG1053" s="177"/>
      <c r="AH1053" s="177"/>
      <c r="AI1053" s="177"/>
      <c r="AJ1053" s="177"/>
      <c r="AK1053" s="177"/>
      <c r="AL1053" s="177"/>
      <c r="AM1053" s="177"/>
      <c r="AN1053" s="177"/>
    </row>
    <row r="1054" spans="1:40">
      <c r="A1054" s="177"/>
      <c r="B1054" s="177"/>
      <c r="C1054" s="177"/>
      <c r="D1054" s="177"/>
      <c r="AF1054" s="177"/>
      <c r="AG1054" s="177"/>
      <c r="AH1054" s="177"/>
      <c r="AI1054" s="177"/>
      <c r="AJ1054" s="177"/>
      <c r="AK1054" s="177"/>
      <c r="AL1054" s="177"/>
      <c r="AM1054" s="177"/>
      <c r="AN1054" s="177"/>
    </row>
    <row r="1055" spans="1:40">
      <c r="A1055" s="177"/>
      <c r="B1055" s="177"/>
      <c r="C1055" s="177"/>
      <c r="D1055" s="177"/>
      <c r="AF1055" s="177"/>
      <c r="AG1055" s="177"/>
      <c r="AH1055" s="177"/>
      <c r="AI1055" s="177"/>
      <c r="AJ1055" s="177"/>
      <c r="AK1055" s="177"/>
      <c r="AL1055" s="177"/>
      <c r="AM1055" s="177"/>
      <c r="AN1055" s="177"/>
    </row>
    <row r="1056" spans="1:40">
      <c r="A1056" s="177"/>
      <c r="B1056" s="177"/>
      <c r="C1056" s="177"/>
      <c r="D1056" s="177"/>
      <c r="AF1056" s="177"/>
      <c r="AG1056" s="177"/>
      <c r="AH1056" s="177"/>
      <c r="AI1056" s="177"/>
      <c r="AJ1056" s="177"/>
      <c r="AK1056" s="177"/>
      <c r="AL1056" s="177"/>
      <c r="AM1056" s="177"/>
      <c r="AN1056" s="177"/>
    </row>
    <row r="1057" spans="1:40">
      <c r="A1057" s="177"/>
      <c r="B1057" s="177"/>
      <c r="C1057" s="177"/>
      <c r="D1057" s="177"/>
      <c r="AF1057" s="177"/>
      <c r="AG1057" s="177"/>
      <c r="AH1057" s="177"/>
      <c r="AI1057" s="177"/>
      <c r="AJ1057" s="177"/>
      <c r="AK1057" s="177"/>
      <c r="AL1057" s="177"/>
      <c r="AM1057" s="177"/>
      <c r="AN1057" s="177"/>
    </row>
    <row r="1058" spans="1:40">
      <c r="A1058" s="177"/>
      <c r="B1058" s="177"/>
      <c r="C1058" s="177"/>
      <c r="D1058" s="177"/>
      <c r="AF1058" s="177"/>
      <c r="AG1058" s="177"/>
      <c r="AH1058" s="177"/>
      <c r="AI1058" s="177"/>
      <c r="AJ1058" s="177"/>
      <c r="AK1058" s="177"/>
      <c r="AL1058" s="177"/>
      <c r="AM1058" s="177"/>
      <c r="AN1058" s="177"/>
    </row>
    <row r="1059" spans="1:40">
      <c r="A1059" s="177"/>
      <c r="B1059" s="177"/>
      <c r="C1059" s="177"/>
      <c r="D1059" s="177"/>
      <c r="AF1059" s="177"/>
      <c r="AG1059" s="177"/>
      <c r="AH1059" s="177"/>
      <c r="AI1059" s="177"/>
      <c r="AJ1059" s="177"/>
      <c r="AK1059" s="177"/>
      <c r="AL1059" s="177"/>
      <c r="AM1059" s="177"/>
      <c r="AN1059" s="177"/>
    </row>
    <row r="1060" spans="1:40">
      <c r="A1060" s="177"/>
      <c r="B1060" s="177"/>
      <c r="C1060" s="177"/>
      <c r="D1060" s="177"/>
      <c r="AF1060" s="177"/>
      <c r="AG1060" s="177"/>
      <c r="AH1060" s="177"/>
      <c r="AI1060" s="177"/>
      <c r="AJ1060" s="177"/>
      <c r="AK1060" s="177"/>
      <c r="AL1060" s="177"/>
      <c r="AM1060" s="177"/>
      <c r="AN1060" s="177"/>
    </row>
    <row r="1061" spans="1:40">
      <c r="A1061" s="177"/>
      <c r="B1061" s="177"/>
      <c r="C1061" s="177"/>
      <c r="D1061" s="177"/>
      <c r="AF1061" s="177"/>
      <c r="AG1061" s="177"/>
      <c r="AH1061" s="177"/>
      <c r="AI1061" s="177"/>
      <c r="AJ1061" s="177"/>
      <c r="AK1061" s="177"/>
      <c r="AL1061" s="177"/>
      <c r="AM1061" s="177"/>
      <c r="AN1061" s="177"/>
    </row>
    <row r="1062" spans="1:40">
      <c r="A1062" s="177"/>
      <c r="B1062" s="177"/>
      <c r="C1062" s="177"/>
      <c r="D1062" s="177"/>
      <c r="AF1062" s="177"/>
      <c r="AG1062" s="177"/>
      <c r="AH1062" s="177"/>
      <c r="AI1062" s="177"/>
      <c r="AJ1062" s="177"/>
      <c r="AK1062" s="177"/>
      <c r="AL1062" s="177"/>
      <c r="AM1062" s="177"/>
      <c r="AN1062" s="177"/>
    </row>
    <row r="1063" spans="1:40">
      <c r="A1063" s="177"/>
      <c r="B1063" s="177"/>
      <c r="C1063" s="177"/>
      <c r="D1063" s="177"/>
      <c r="AF1063" s="177"/>
      <c r="AG1063" s="177"/>
      <c r="AH1063" s="177"/>
      <c r="AI1063" s="177"/>
      <c r="AJ1063" s="177"/>
      <c r="AK1063" s="177"/>
      <c r="AL1063" s="177"/>
      <c r="AM1063" s="177"/>
      <c r="AN1063" s="177"/>
    </row>
    <row r="1064" spans="1:40">
      <c r="A1064" s="177"/>
      <c r="B1064" s="177"/>
      <c r="C1064" s="177"/>
      <c r="D1064" s="177"/>
      <c r="AF1064" s="177"/>
      <c r="AG1064" s="177"/>
      <c r="AH1064" s="177"/>
      <c r="AI1064" s="177"/>
      <c r="AJ1064" s="177"/>
      <c r="AK1064" s="177"/>
      <c r="AL1064" s="177"/>
      <c r="AM1064" s="177"/>
      <c r="AN1064" s="177"/>
    </row>
    <row r="1065" spans="1:40">
      <c r="A1065" s="177"/>
      <c r="B1065" s="177"/>
      <c r="C1065" s="177"/>
      <c r="D1065" s="177"/>
      <c r="AF1065" s="177"/>
      <c r="AG1065" s="177"/>
      <c r="AH1065" s="177"/>
      <c r="AI1065" s="177"/>
      <c r="AJ1065" s="177"/>
      <c r="AK1065" s="177"/>
      <c r="AL1065" s="177"/>
      <c r="AM1065" s="177"/>
      <c r="AN1065" s="177"/>
    </row>
    <row r="1066" spans="1:40">
      <c r="A1066" s="177"/>
      <c r="B1066" s="177"/>
      <c r="C1066" s="177"/>
      <c r="D1066" s="177"/>
      <c r="AF1066" s="177"/>
      <c r="AG1066" s="177"/>
      <c r="AH1066" s="177"/>
      <c r="AI1066" s="177"/>
      <c r="AJ1066" s="177"/>
      <c r="AK1066" s="177"/>
      <c r="AL1066" s="177"/>
      <c r="AM1066" s="177"/>
      <c r="AN1066" s="177"/>
    </row>
    <row r="1067" spans="1:40">
      <c r="A1067" s="177"/>
      <c r="B1067" s="177"/>
      <c r="C1067" s="177"/>
      <c r="D1067" s="177"/>
      <c r="AF1067" s="177"/>
      <c r="AG1067" s="177"/>
      <c r="AH1067" s="177"/>
      <c r="AI1067" s="177"/>
      <c r="AJ1067" s="177"/>
      <c r="AK1067" s="177"/>
      <c r="AL1067" s="177"/>
      <c r="AM1067" s="177"/>
      <c r="AN1067" s="177"/>
    </row>
    <row r="1068" spans="1:40">
      <c r="A1068" s="177"/>
      <c r="B1068" s="177"/>
      <c r="C1068" s="177"/>
      <c r="D1068" s="177"/>
      <c r="AF1068" s="177"/>
      <c r="AG1068" s="177"/>
      <c r="AH1068" s="177"/>
      <c r="AI1068" s="177"/>
      <c r="AJ1068" s="177"/>
      <c r="AK1068" s="177"/>
      <c r="AL1068" s="177"/>
      <c r="AM1068" s="177"/>
      <c r="AN1068" s="177"/>
    </row>
  </sheetData>
  <sheetProtection algorithmName="SHA-512" hashValue="7lk7F5MjjOGGs9CbNZWsmYgC+GayJIpA+qiPTWOFWpfm2z//kVK6RIYGjf2FNt24uP23GnnezI6oEGBcTrv6NA==" saltValue="MMIaTobNT9dHDqigMrmrGA==" spinCount="100000" sheet="1" objects="1" scenarios="1"/>
  <mergeCells count="3">
    <mergeCell ref="B10:C10"/>
    <mergeCell ref="B11:C11"/>
    <mergeCell ref="B2:C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pageSetUpPr fitToPage="1"/>
  </sheetPr>
  <dimension ref="A1:HA152"/>
  <sheetViews>
    <sheetView tabSelected="1" showRuler="0" topLeftCell="A32" zoomScale="78" zoomScaleNormal="85" zoomScalePageLayoutView="55" workbookViewId="0">
      <selection activeCell="BL14" sqref="BL14:BU18"/>
    </sheetView>
  </sheetViews>
  <sheetFormatPr defaultColWidth="1.86328125" defaultRowHeight="10.15" customHeight="1"/>
  <cols>
    <col min="1" max="6" width="1.86328125" style="199"/>
    <col min="7" max="7" width="2.1328125" style="199" customWidth="1"/>
    <col min="8" max="16384" width="1.86328125" style="199"/>
  </cols>
  <sheetData>
    <row r="1" spans="4:209" ht="10.15" customHeight="1">
      <c r="D1" s="198"/>
      <c r="E1" s="198"/>
      <c r="F1" s="198"/>
      <c r="G1" s="198"/>
      <c r="H1" s="198"/>
      <c r="I1" s="198"/>
      <c r="J1" s="198"/>
      <c r="K1" s="198"/>
      <c r="L1" s="198"/>
      <c r="M1" s="198"/>
      <c r="N1" s="198"/>
      <c r="O1" s="198"/>
      <c r="P1" s="198"/>
      <c r="Q1" s="198"/>
      <c r="R1" s="198"/>
      <c r="S1" s="198"/>
      <c r="T1" s="198"/>
      <c r="U1" s="198"/>
      <c r="V1" s="198"/>
      <c r="W1" s="198"/>
      <c r="X1" s="198"/>
      <c r="Y1" s="198"/>
      <c r="Z1" s="198"/>
      <c r="AA1" s="198"/>
      <c r="AB1" s="198"/>
      <c r="AC1" s="198"/>
      <c r="AD1" s="198"/>
      <c r="AE1" s="198"/>
      <c r="AF1" s="198"/>
      <c r="AG1" s="198"/>
      <c r="AH1" s="198"/>
      <c r="AI1" s="198"/>
      <c r="AJ1" s="198"/>
      <c r="AK1" s="198"/>
      <c r="AL1" s="198"/>
      <c r="AM1" s="198"/>
      <c r="AN1" s="198"/>
      <c r="AO1" s="198"/>
      <c r="AP1" s="198"/>
      <c r="AQ1" s="198"/>
      <c r="AR1" s="198"/>
      <c r="AS1" s="198"/>
      <c r="AT1" s="198"/>
      <c r="AU1" s="198"/>
      <c r="AV1" s="198"/>
      <c r="AW1" s="198"/>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row>
    <row r="2" spans="4:209" ht="10.15" customHeight="1">
      <c r="D2" s="198"/>
      <c r="E2" s="671" t="s">
        <v>49</v>
      </c>
      <c r="F2" s="671"/>
      <c r="G2" s="671"/>
      <c r="H2" s="671"/>
      <c r="I2" s="671"/>
      <c r="J2" s="671"/>
      <c r="K2" s="671"/>
      <c r="L2" s="671"/>
      <c r="M2" s="671"/>
      <c r="N2" s="671"/>
      <c r="O2" s="671"/>
      <c r="P2" s="671"/>
      <c r="Q2" s="671"/>
      <c r="R2" s="671"/>
      <c r="S2" s="671"/>
      <c r="T2" s="671"/>
      <c r="U2" s="671"/>
      <c r="V2" s="671"/>
      <c r="W2" s="671"/>
      <c r="X2" s="671"/>
      <c r="Y2" s="671"/>
      <c r="Z2" s="671"/>
      <c r="AA2" s="671"/>
      <c r="AB2" s="671"/>
      <c r="AC2" s="671"/>
      <c r="AD2" s="671"/>
      <c r="AE2" s="671"/>
      <c r="AF2" s="671"/>
      <c r="AG2" s="671"/>
      <c r="AH2" s="671"/>
      <c r="AI2" s="671"/>
      <c r="AJ2" s="671"/>
      <c r="AK2" s="671"/>
      <c r="AL2" s="671"/>
      <c r="AM2" s="671"/>
      <c r="AN2" s="671"/>
      <c r="AO2" s="671"/>
      <c r="AP2" s="671"/>
      <c r="AQ2" s="671"/>
      <c r="AR2" s="671"/>
      <c r="AS2" s="671"/>
      <c r="AT2" s="671"/>
      <c r="AU2" s="671"/>
      <c r="AV2" s="671"/>
      <c r="AW2" s="671"/>
      <c r="AX2" s="671"/>
      <c r="AY2" s="671"/>
      <c r="AZ2" s="671"/>
      <c r="BA2" s="671"/>
      <c r="BB2" s="671"/>
      <c r="BC2" s="671"/>
      <c r="BD2" s="671"/>
      <c r="BE2" s="671"/>
      <c r="BF2" s="671"/>
      <c r="BG2" s="671"/>
      <c r="BH2" s="671"/>
      <c r="BI2" s="671"/>
      <c r="BJ2" s="671"/>
      <c r="BK2" s="671"/>
      <c r="BL2" s="671"/>
      <c r="BM2" s="671"/>
      <c r="BN2" s="671"/>
      <c r="BO2" s="671"/>
      <c r="BP2" s="671"/>
      <c r="BQ2" s="671"/>
      <c r="BR2" s="671"/>
      <c r="BS2" s="671"/>
      <c r="BT2" s="671"/>
      <c r="BU2" s="671"/>
      <c r="BV2" s="671"/>
      <c r="BW2" s="671"/>
      <c r="BX2" s="671"/>
      <c r="BY2" s="671"/>
      <c r="BZ2" s="671"/>
      <c r="CA2" s="671"/>
      <c r="CB2" s="671"/>
      <c r="CC2" s="198"/>
    </row>
    <row r="3" spans="4:209" ht="10.15" customHeight="1">
      <c r="D3" s="198"/>
      <c r="E3" s="671"/>
      <c r="F3" s="671"/>
      <c r="G3" s="671"/>
      <c r="H3" s="671"/>
      <c r="I3" s="671"/>
      <c r="J3" s="671"/>
      <c r="K3" s="671"/>
      <c r="L3" s="671"/>
      <c r="M3" s="671"/>
      <c r="N3" s="671"/>
      <c r="O3" s="671"/>
      <c r="P3" s="671"/>
      <c r="Q3" s="671"/>
      <c r="R3" s="671"/>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671"/>
      <c r="BW3" s="671"/>
      <c r="BX3" s="671"/>
      <c r="BY3" s="671"/>
      <c r="BZ3" s="671"/>
      <c r="CA3" s="671"/>
      <c r="CB3" s="671"/>
      <c r="CC3" s="198"/>
    </row>
    <row r="4" spans="4:209" ht="10.15" customHeight="1">
      <c r="D4" s="198"/>
      <c r="E4" s="671"/>
      <c r="F4" s="671"/>
      <c r="G4" s="671"/>
      <c r="H4" s="671"/>
      <c r="I4" s="671"/>
      <c r="J4" s="671"/>
      <c r="K4" s="671"/>
      <c r="L4" s="671"/>
      <c r="M4" s="671"/>
      <c r="N4" s="671"/>
      <c r="O4" s="671"/>
      <c r="P4" s="671"/>
      <c r="Q4" s="671"/>
      <c r="R4" s="671"/>
      <c r="S4" s="671"/>
      <c r="T4" s="671"/>
      <c r="U4" s="671"/>
      <c r="V4" s="671"/>
      <c r="W4" s="671"/>
      <c r="X4" s="671"/>
      <c r="Y4" s="671"/>
      <c r="Z4" s="671"/>
      <c r="AA4" s="671"/>
      <c r="AB4" s="671"/>
      <c r="AC4" s="671"/>
      <c r="AD4" s="671"/>
      <c r="AE4" s="671"/>
      <c r="AF4" s="671"/>
      <c r="AG4" s="671"/>
      <c r="AH4" s="671"/>
      <c r="AI4" s="671"/>
      <c r="AJ4" s="671"/>
      <c r="AK4" s="671"/>
      <c r="AL4" s="671"/>
      <c r="AM4" s="671"/>
      <c r="AN4" s="671"/>
      <c r="AO4" s="671"/>
      <c r="AP4" s="671"/>
      <c r="AQ4" s="671"/>
      <c r="AR4" s="671"/>
      <c r="AS4" s="671"/>
      <c r="AT4" s="671"/>
      <c r="AU4" s="671"/>
      <c r="AV4" s="671"/>
      <c r="AW4" s="671"/>
      <c r="AX4" s="671"/>
      <c r="AY4" s="671"/>
      <c r="AZ4" s="671"/>
      <c r="BA4" s="671"/>
      <c r="BB4" s="671"/>
      <c r="BC4" s="671"/>
      <c r="BD4" s="671"/>
      <c r="BE4" s="671"/>
      <c r="BF4" s="671"/>
      <c r="BG4" s="671"/>
      <c r="BH4" s="671"/>
      <c r="BI4" s="671"/>
      <c r="BJ4" s="671"/>
      <c r="BK4" s="671"/>
      <c r="BL4" s="671"/>
      <c r="BM4" s="671"/>
      <c r="BN4" s="671"/>
      <c r="BO4" s="671"/>
      <c r="BP4" s="671"/>
      <c r="BQ4" s="671"/>
      <c r="BR4" s="671"/>
      <c r="BS4" s="671"/>
      <c r="BT4" s="671"/>
      <c r="BU4" s="671"/>
      <c r="BV4" s="671"/>
      <c r="BW4" s="671"/>
      <c r="BX4" s="671"/>
      <c r="BY4" s="671"/>
      <c r="BZ4" s="671"/>
      <c r="CA4" s="671"/>
      <c r="CB4" s="671"/>
      <c r="CC4" s="198"/>
    </row>
    <row r="5" spans="4:209" ht="10.15" customHeight="1">
      <c r="D5" s="198"/>
      <c r="E5" s="672" t="s">
        <v>419</v>
      </c>
      <c r="F5" s="672"/>
      <c r="G5" s="672"/>
      <c r="H5" s="672"/>
      <c r="I5" s="672"/>
      <c r="J5" s="672"/>
      <c r="K5" s="672"/>
      <c r="L5" s="672"/>
      <c r="M5" s="672"/>
      <c r="N5" s="672"/>
      <c r="O5" s="672"/>
      <c r="P5" s="672"/>
      <c r="Q5" s="672"/>
      <c r="R5" s="672"/>
      <c r="S5" s="672"/>
      <c r="T5" s="672"/>
      <c r="U5" s="672"/>
      <c r="V5" s="672"/>
      <c r="W5" s="672"/>
      <c r="X5" s="672"/>
      <c r="Y5" s="672"/>
      <c r="Z5" s="672"/>
      <c r="AA5" s="672"/>
      <c r="AB5" s="672"/>
      <c r="AC5" s="672"/>
      <c r="AD5" s="672"/>
      <c r="AE5" s="672"/>
      <c r="AF5" s="672"/>
      <c r="AG5" s="672"/>
      <c r="AH5" s="672"/>
      <c r="AI5" s="672"/>
      <c r="AJ5" s="672"/>
      <c r="AK5" s="672"/>
      <c r="AL5" s="672"/>
      <c r="AM5" s="672"/>
      <c r="AN5" s="672"/>
      <c r="AO5" s="672"/>
      <c r="AP5" s="672"/>
      <c r="AQ5" s="672"/>
      <c r="AR5" s="672"/>
      <c r="AS5" s="672"/>
      <c r="AT5" s="672"/>
      <c r="AU5" s="672"/>
      <c r="AV5" s="672"/>
      <c r="AW5" s="672"/>
      <c r="AX5" s="672"/>
      <c r="AY5" s="672"/>
      <c r="AZ5" s="672"/>
      <c r="BA5" s="672"/>
      <c r="BB5" s="672"/>
      <c r="BC5" s="672"/>
      <c r="BD5" s="672"/>
      <c r="BE5" s="672"/>
      <c r="BF5" s="672"/>
      <c r="BG5" s="672"/>
      <c r="BH5" s="672"/>
      <c r="BI5" s="672"/>
      <c r="BJ5" s="672"/>
      <c r="BK5" s="672"/>
      <c r="BL5" s="672"/>
      <c r="BM5" s="672"/>
      <c r="BN5" s="672"/>
      <c r="BO5" s="672"/>
      <c r="BP5" s="672"/>
      <c r="BQ5" s="672"/>
      <c r="BR5" s="672"/>
      <c r="BS5" s="672"/>
      <c r="BT5" s="672"/>
      <c r="BU5" s="672"/>
      <c r="BV5" s="672"/>
      <c r="BW5" s="672"/>
      <c r="BX5" s="672"/>
      <c r="BY5" s="672"/>
      <c r="BZ5" s="672"/>
      <c r="CA5" s="672"/>
      <c r="CB5" s="672"/>
      <c r="CC5" s="200"/>
      <c r="CD5" s="201"/>
      <c r="GD5" s="201"/>
      <c r="GE5" s="201"/>
      <c r="GF5" s="201"/>
      <c r="GG5" s="201"/>
      <c r="GH5" s="201"/>
      <c r="GI5" s="201"/>
      <c r="GJ5" s="201"/>
      <c r="GK5" s="201"/>
      <c r="GL5" s="201"/>
      <c r="GM5" s="201"/>
      <c r="GN5" s="201"/>
      <c r="GO5" s="201"/>
      <c r="GP5" s="201"/>
      <c r="GQ5" s="201"/>
      <c r="GR5" s="201"/>
      <c r="GS5" s="201"/>
      <c r="GT5" s="201"/>
      <c r="GU5" s="201"/>
      <c r="GV5" s="201"/>
      <c r="GW5" s="201"/>
      <c r="GX5" s="201"/>
      <c r="GY5" s="201"/>
      <c r="GZ5" s="201"/>
      <c r="HA5" s="201"/>
    </row>
    <row r="6" spans="4:209" ht="10.15" customHeight="1">
      <c r="D6" s="198"/>
      <c r="E6" s="672"/>
      <c r="F6" s="672"/>
      <c r="G6" s="672"/>
      <c r="H6" s="672"/>
      <c r="I6" s="672"/>
      <c r="J6" s="672"/>
      <c r="K6" s="672"/>
      <c r="L6" s="672"/>
      <c r="M6" s="672"/>
      <c r="N6" s="672"/>
      <c r="O6" s="672"/>
      <c r="P6" s="672"/>
      <c r="Q6" s="672"/>
      <c r="R6" s="672"/>
      <c r="S6" s="672"/>
      <c r="T6" s="672"/>
      <c r="U6" s="672"/>
      <c r="V6" s="672"/>
      <c r="W6" s="672"/>
      <c r="X6" s="672"/>
      <c r="Y6" s="672"/>
      <c r="Z6" s="672"/>
      <c r="AA6" s="672"/>
      <c r="AB6" s="672"/>
      <c r="AC6" s="672"/>
      <c r="AD6" s="672"/>
      <c r="AE6" s="672"/>
      <c r="AF6" s="672"/>
      <c r="AG6" s="672"/>
      <c r="AH6" s="672"/>
      <c r="AI6" s="672"/>
      <c r="AJ6" s="672"/>
      <c r="AK6" s="672"/>
      <c r="AL6" s="672"/>
      <c r="AM6" s="672"/>
      <c r="AN6" s="672"/>
      <c r="AO6" s="672"/>
      <c r="AP6" s="672"/>
      <c r="AQ6" s="672"/>
      <c r="AR6" s="672"/>
      <c r="AS6" s="672"/>
      <c r="AT6" s="672"/>
      <c r="AU6" s="672"/>
      <c r="AV6" s="672"/>
      <c r="AW6" s="672"/>
      <c r="AX6" s="672"/>
      <c r="AY6" s="672"/>
      <c r="AZ6" s="672"/>
      <c r="BA6" s="672"/>
      <c r="BB6" s="672"/>
      <c r="BC6" s="672"/>
      <c r="BD6" s="672"/>
      <c r="BE6" s="672"/>
      <c r="BF6" s="672"/>
      <c r="BG6" s="672"/>
      <c r="BH6" s="672"/>
      <c r="BI6" s="672"/>
      <c r="BJ6" s="672"/>
      <c r="BK6" s="672"/>
      <c r="BL6" s="672"/>
      <c r="BM6" s="672"/>
      <c r="BN6" s="672"/>
      <c r="BO6" s="672"/>
      <c r="BP6" s="672"/>
      <c r="BQ6" s="672"/>
      <c r="BR6" s="672"/>
      <c r="BS6" s="672"/>
      <c r="BT6" s="672"/>
      <c r="BU6" s="672"/>
      <c r="BV6" s="672"/>
      <c r="BW6" s="672"/>
      <c r="BX6" s="672"/>
      <c r="BY6" s="672"/>
      <c r="BZ6" s="672"/>
      <c r="CA6" s="672"/>
      <c r="CB6" s="672"/>
      <c r="CC6" s="200"/>
      <c r="CD6" s="201"/>
      <c r="GD6" s="201"/>
      <c r="GE6" s="201"/>
      <c r="GF6" s="201"/>
      <c r="GG6" s="201"/>
      <c r="GH6" s="201"/>
      <c r="GI6" s="201"/>
      <c r="GJ6" s="201"/>
      <c r="GK6" s="201"/>
      <c r="GL6" s="201"/>
      <c r="GM6" s="201"/>
      <c r="GN6" s="201"/>
      <c r="GO6" s="201"/>
      <c r="GP6" s="201"/>
      <c r="GQ6" s="201"/>
      <c r="GR6" s="201"/>
      <c r="GS6" s="201"/>
      <c r="GT6" s="201"/>
      <c r="GU6" s="201"/>
      <c r="GV6" s="201"/>
      <c r="GW6" s="201"/>
      <c r="GX6" s="201"/>
      <c r="GY6" s="201"/>
      <c r="GZ6" s="201"/>
      <c r="HA6" s="201"/>
    </row>
    <row r="7" spans="4:209" ht="10.15" customHeight="1">
      <c r="D7" s="198"/>
      <c r="E7" s="672"/>
      <c r="F7" s="672"/>
      <c r="G7" s="672"/>
      <c r="H7" s="672"/>
      <c r="I7" s="672"/>
      <c r="J7" s="672"/>
      <c r="K7" s="672"/>
      <c r="L7" s="672"/>
      <c r="M7" s="672"/>
      <c r="N7" s="672"/>
      <c r="O7" s="672"/>
      <c r="P7" s="672"/>
      <c r="Q7" s="672"/>
      <c r="R7" s="672"/>
      <c r="S7" s="672"/>
      <c r="T7" s="672"/>
      <c r="U7" s="672"/>
      <c r="V7" s="672"/>
      <c r="W7" s="672"/>
      <c r="X7" s="672"/>
      <c r="Y7" s="672"/>
      <c r="Z7" s="672"/>
      <c r="AA7" s="672"/>
      <c r="AB7" s="672"/>
      <c r="AC7" s="672"/>
      <c r="AD7" s="672"/>
      <c r="AE7" s="672"/>
      <c r="AF7" s="672"/>
      <c r="AG7" s="672"/>
      <c r="AH7" s="672"/>
      <c r="AI7" s="672"/>
      <c r="AJ7" s="672"/>
      <c r="AK7" s="672"/>
      <c r="AL7" s="672"/>
      <c r="AM7" s="672"/>
      <c r="AN7" s="672"/>
      <c r="AO7" s="672"/>
      <c r="AP7" s="672"/>
      <c r="AQ7" s="672"/>
      <c r="AR7" s="672"/>
      <c r="AS7" s="672"/>
      <c r="AT7" s="672"/>
      <c r="AU7" s="672"/>
      <c r="AV7" s="672"/>
      <c r="AW7" s="672"/>
      <c r="AX7" s="672"/>
      <c r="AY7" s="672"/>
      <c r="AZ7" s="672"/>
      <c r="BA7" s="672"/>
      <c r="BB7" s="672"/>
      <c r="BC7" s="672"/>
      <c r="BD7" s="672"/>
      <c r="BE7" s="672"/>
      <c r="BF7" s="672"/>
      <c r="BG7" s="672"/>
      <c r="BH7" s="672"/>
      <c r="BI7" s="672"/>
      <c r="BJ7" s="672"/>
      <c r="BK7" s="672"/>
      <c r="BL7" s="672"/>
      <c r="BM7" s="672"/>
      <c r="BN7" s="672"/>
      <c r="BO7" s="672"/>
      <c r="BP7" s="672"/>
      <c r="BQ7" s="672"/>
      <c r="BR7" s="672"/>
      <c r="BS7" s="672"/>
      <c r="BT7" s="672"/>
      <c r="BU7" s="672"/>
      <c r="BV7" s="672"/>
      <c r="BW7" s="672"/>
      <c r="BX7" s="672"/>
      <c r="BY7" s="672"/>
      <c r="BZ7" s="672"/>
      <c r="CA7" s="672"/>
      <c r="CB7" s="672"/>
      <c r="CC7" s="200"/>
      <c r="CD7" s="201"/>
      <c r="GD7" s="201"/>
      <c r="GE7" s="201"/>
      <c r="GF7" s="201"/>
      <c r="GG7" s="201"/>
      <c r="GH7" s="201"/>
      <c r="GI7" s="201"/>
      <c r="GJ7" s="201"/>
      <c r="GK7" s="201"/>
      <c r="GL7" s="201"/>
      <c r="GM7" s="201"/>
      <c r="GN7" s="201"/>
      <c r="GO7" s="201"/>
      <c r="GP7" s="201"/>
      <c r="GQ7" s="201"/>
      <c r="GR7" s="201"/>
      <c r="GS7" s="201"/>
      <c r="GT7" s="201"/>
      <c r="GU7" s="201"/>
      <c r="GV7" s="201"/>
      <c r="GW7" s="201"/>
      <c r="GX7" s="201"/>
      <c r="GY7" s="201"/>
      <c r="GZ7" s="201"/>
      <c r="HA7" s="201"/>
    </row>
    <row r="8" spans="4:209" ht="10.15" customHeight="1">
      <c r="D8" s="198"/>
      <c r="E8" s="674" t="str">
        <f>_xlfn.CONCAT("Profiled data period: ",Data!B4," days " )</f>
        <v xml:space="preserve">Profiled data period: 1.17 days </v>
      </c>
      <c r="F8" s="674"/>
      <c r="G8" s="674"/>
      <c r="H8" s="674"/>
      <c r="I8" s="674"/>
      <c r="J8" s="674"/>
      <c r="K8" s="674"/>
      <c r="L8" s="674"/>
      <c r="M8" s="674"/>
      <c r="N8" s="674"/>
      <c r="O8" s="674"/>
      <c r="P8" s="674"/>
      <c r="Q8" s="674"/>
      <c r="R8" s="674"/>
      <c r="S8" s="674"/>
      <c r="T8" s="674"/>
      <c r="U8" s="674"/>
      <c r="V8" s="675" t="s">
        <v>87</v>
      </c>
      <c r="W8" s="677">
        <f>Data!B2</f>
        <v>43054</v>
      </c>
      <c r="X8" s="677"/>
      <c r="Y8" s="677"/>
      <c r="Z8" s="677"/>
      <c r="AA8" s="677"/>
      <c r="AB8" s="677"/>
      <c r="AC8" s="675" t="s">
        <v>86</v>
      </c>
      <c r="AD8" s="678">
        <f>Data!B3</f>
        <v>43055</v>
      </c>
      <c r="AE8" s="678"/>
      <c r="AF8" s="678"/>
      <c r="AG8" s="678"/>
      <c r="AH8" s="678"/>
      <c r="AI8" s="678"/>
      <c r="AJ8" s="675" t="s">
        <v>88</v>
      </c>
      <c r="AK8" s="679" t="s">
        <v>447</v>
      </c>
      <c r="AL8" s="679"/>
      <c r="AM8" s="679"/>
      <c r="AN8" s="679"/>
      <c r="AO8" s="679"/>
      <c r="AP8" s="679"/>
      <c r="AQ8" s="679"/>
      <c r="AR8" s="679"/>
      <c r="AS8" s="679"/>
      <c r="AT8" s="679"/>
      <c r="AU8" s="679"/>
      <c r="AV8" s="679"/>
      <c r="AW8" s="679"/>
      <c r="AX8" s="679"/>
      <c r="AY8" s="679"/>
      <c r="AZ8" s="679"/>
      <c r="BA8" s="679"/>
      <c r="BB8" s="679"/>
      <c r="BC8" s="679"/>
      <c r="BD8" s="679"/>
      <c r="BE8" s="676">
        <f>Data!B70</f>
        <v>24</v>
      </c>
      <c r="BF8" s="676"/>
      <c r="BG8" s="676"/>
      <c r="BH8" s="676"/>
      <c r="BI8" s="676"/>
      <c r="BJ8" s="676"/>
      <c r="BK8" s="676"/>
      <c r="BL8" s="676"/>
      <c r="BM8" s="676"/>
      <c r="BN8" s="676"/>
      <c r="BO8" s="673" t="s">
        <v>89</v>
      </c>
      <c r="BP8" s="673"/>
      <c r="BQ8" s="673"/>
      <c r="BR8" s="673"/>
      <c r="BS8" s="673"/>
      <c r="BT8" s="673"/>
      <c r="BU8" s="673"/>
      <c r="BV8" s="202"/>
      <c r="BW8" s="202"/>
      <c r="BX8" s="202"/>
      <c r="BY8" s="202"/>
      <c r="BZ8" s="202"/>
      <c r="CA8" s="202"/>
      <c r="CB8" s="202"/>
      <c r="CC8" s="200"/>
      <c r="CD8" s="201"/>
      <c r="GD8" s="201"/>
      <c r="GE8" s="201"/>
      <c r="GF8" s="201"/>
      <c r="GG8" s="201"/>
      <c r="GH8" s="201"/>
      <c r="GI8" s="201"/>
      <c r="GJ8" s="201"/>
      <c r="GK8" s="201"/>
      <c r="GL8" s="201"/>
      <c r="GM8" s="201"/>
      <c r="GN8" s="201"/>
      <c r="GO8" s="201"/>
      <c r="GP8" s="201"/>
      <c r="GQ8" s="201"/>
      <c r="GR8" s="201"/>
      <c r="GS8" s="201"/>
      <c r="GT8" s="201"/>
      <c r="GU8" s="201"/>
      <c r="GV8" s="201"/>
      <c r="GW8" s="201"/>
      <c r="GX8" s="201"/>
      <c r="GY8" s="201"/>
      <c r="GZ8" s="201"/>
      <c r="HA8" s="201"/>
    </row>
    <row r="9" spans="4:209" ht="15.75" customHeight="1">
      <c r="D9" s="198"/>
      <c r="E9" s="674"/>
      <c r="F9" s="674"/>
      <c r="G9" s="674"/>
      <c r="H9" s="674"/>
      <c r="I9" s="674"/>
      <c r="J9" s="674"/>
      <c r="K9" s="674"/>
      <c r="L9" s="674"/>
      <c r="M9" s="674"/>
      <c r="N9" s="674"/>
      <c r="O9" s="674"/>
      <c r="P9" s="674"/>
      <c r="Q9" s="674"/>
      <c r="R9" s="674"/>
      <c r="S9" s="674"/>
      <c r="T9" s="674"/>
      <c r="U9" s="674"/>
      <c r="V9" s="675"/>
      <c r="W9" s="677"/>
      <c r="X9" s="677"/>
      <c r="Y9" s="677"/>
      <c r="Z9" s="677"/>
      <c r="AA9" s="677"/>
      <c r="AB9" s="677"/>
      <c r="AC9" s="675"/>
      <c r="AD9" s="678"/>
      <c r="AE9" s="678"/>
      <c r="AF9" s="678"/>
      <c r="AG9" s="678"/>
      <c r="AH9" s="678"/>
      <c r="AI9" s="678"/>
      <c r="AJ9" s="675"/>
      <c r="AK9" s="679"/>
      <c r="AL9" s="679"/>
      <c r="AM9" s="679"/>
      <c r="AN9" s="679"/>
      <c r="AO9" s="679"/>
      <c r="AP9" s="679"/>
      <c r="AQ9" s="679"/>
      <c r="AR9" s="679"/>
      <c r="AS9" s="679"/>
      <c r="AT9" s="679"/>
      <c r="AU9" s="679"/>
      <c r="AV9" s="679"/>
      <c r="AW9" s="679"/>
      <c r="AX9" s="679"/>
      <c r="AY9" s="679"/>
      <c r="AZ9" s="679"/>
      <c r="BA9" s="679"/>
      <c r="BB9" s="679"/>
      <c r="BC9" s="679"/>
      <c r="BD9" s="679"/>
      <c r="BE9" s="676"/>
      <c r="BF9" s="676"/>
      <c r="BG9" s="676"/>
      <c r="BH9" s="676"/>
      <c r="BI9" s="676"/>
      <c r="BJ9" s="676"/>
      <c r="BK9" s="676"/>
      <c r="BL9" s="676"/>
      <c r="BM9" s="676"/>
      <c r="BN9" s="676"/>
      <c r="BO9" s="673"/>
      <c r="BP9" s="673"/>
      <c r="BQ9" s="673"/>
      <c r="BR9" s="673"/>
      <c r="BS9" s="673"/>
      <c r="BT9" s="673"/>
      <c r="BU9" s="673"/>
      <c r="BV9" s="202"/>
      <c r="BW9" s="202"/>
      <c r="BX9" s="202"/>
      <c r="BY9" s="202"/>
      <c r="BZ9" s="202"/>
      <c r="CA9" s="202"/>
      <c r="CB9" s="202"/>
      <c r="CC9" s="200"/>
      <c r="CD9" s="201"/>
      <c r="GD9" s="201"/>
      <c r="GE9" s="201"/>
      <c r="GF9" s="201"/>
      <c r="GG9" s="201"/>
      <c r="GH9" s="201"/>
      <c r="GI9" s="201"/>
      <c r="GJ9" s="201"/>
      <c r="GK9" s="201"/>
      <c r="GL9" s="201"/>
      <c r="GM9" s="201"/>
      <c r="GN9" s="201"/>
      <c r="GO9" s="201"/>
      <c r="GP9" s="201"/>
      <c r="GQ9" s="201"/>
      <c r="GR9" s="201"/>
      <c r="GS9" s="201"/>
      <c r="GT9" s="201"/>
      <c r="GU9" s="201"/>
      <c r="GV9" s="201"/>
      <c r="GW9" s="201"/>
      <c r="GX9" s="201"/>
      <c r="GY9" s="201"/>
      <c r="GZ9" s="201"/>
      <c r="HA9" s="201"/>
    </row>
    <row r="10" spans="4:209" ht="10.15" customHeight="1">
      <c r="D10" s="198"/>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203"/>
      <c r="BJ10" s="203"/>
      <c r="BK10" s="203"/>
      <c r="BL10" s="203"/>
      <c r="BM10" s="203"/>
      <c r="BN10" s="203"/>
      <c r="BO10" s="203"/>
      <c r="BP10" s="203"/>
      <c r="BQ10" s="203"/>
      <c r="BR10" s="203"/>
      <c r="BS10" s="203"/>
      <c r="BT10" s="204"/>
      <c r="BU10" s="204"/>
      <c r="BV10" s="205"/>
      <c r="BW10" s="205"/>
      <c r="BX10" s="205"/>
      <c r="BY10" s="205"/>
      <c r="BZ10" s="205"/>
      <c r="CA10" s="205"/>
      <c r="CB10" s="205"/>
      <c r="CC10" s="200"/>
      <c r="CD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row>
    <row r="11" spans="4:209" ht="10.15" customHeight="1">
      <c r="D11" s="198"/>
      <c r="E11" s="206"/>
      <c r="F11" s="661" t="s">
        <v>5</v>
      </c>
      <c r="G11" s="662"/>
      <c r="H11" s="662"/>
      <c r="I11" s="662"/>
      <c r="J11" s="662"/>
      <c r="K11" s="662"/>
      <c r="L11" s="662"/>
      <c r="M11" s="662"/>
      <c r="N11" s="662"/>
      <c r="O11" s="662"/>
      <c r="P11" s="662"/>
      <c r="Q11" s="662"/>
      <c r="R11" s="662"/>
      <c r="S11" s="662"/>
      <c r="T11" s="662"/>
      <c r="U11" s="662"/>
      <c r="V11" s="662"/>
      <c r="W11" s="662"/>
      <c r="X11" s="662"/>
      <c r="Y11" s="662"/>
      <c r="Z11" s="662"/>
      <c r="AA11" s="662"/>
      <c r="AB11" s="662"/>
      <c r="AC11" s="662"/>
      <c r="AD11" s="662"/>
      <c r="AE11" s="662"/>
      <c r="AF11" s="662"/>
      <c r="AG11" s="662"/>
      <c r="AH11" s="662"/>
      <c r="AI11" s="662"/>
      <c r="AJ11" s="662"/>
      <c r="AK11" s="662"/>
      <c r="AL11" s="662"/>
      <c r="AM11" s="662"/>
      <c r="AN11" s="662"/>
      <c r="AO11" s="662"/>
      <c r="AP11" s="662"/>
      <c r="AQ11" s="662"/>
      <c r="AR11" s="662"/>
      <c r="AS11" s="662"/>
      <c r="AT11" s="662"/>
      <c r="AU11" s="662"/>
      <c r="AV11" s="662"/>
      <c r="AW11" s="662"/>
      <c r="AX11" s="662"/>
      <c r="AY11" s="662"/>
      <c r="AZ11" s="662"/>
      <c r="BA11" s="662"/>
      <c r="BB11" s="662"/>
      <c r="BC11" s="662"/>
      <c r="BD11" s="662"/>
      <c r="BE11" s="662"/>
      <c r="BF11" s="662"/>
      <c r="BG11" s="662"/>
      <c r="BH11" s="662"/>
      <c r="BI11" s="662"/>
      <c r="BJ11" s="662"/>
      <c r="BK11" s="662"/>
      <c r="BL11" s="662"/>
      <c r="BM11" s="662"/>
      <c r="BN11" s="662"/>
      <c r="BO11" s="662"/>
      <c r="BP11" s="662"/>
      <c r="BQ11" s="662"/>
      <c r="BR11" s="662"/>
      <c r="BS11" s="662"/>
      <c r="BT11" s="662"/>
      <c r="BU11" s="662"/>
      <c r="BV11" s="662"/>
      <c r="BW11" s="662"/>
      <c r="BX11" s="662"/>
      <c r="BY11" s="662"/>
      <c r="BZ11" s="662"/>
      <c r="CA11" s="663"/>
      <c r="CB11" s="205"/>
      <c r="CC11" s="200"/>
      <c r="CD11" s="201"/>
      <c r="GD11" s="201"/>
      <c r="GE11" s="201"/>
      <c r="GF11" s="201"/>
      <c r="GG11" s="201"/>
      <c r="GH11" s="201"/>
      <c r="GI11" s="201"/>
      <c r="GJ11" s="201"/>
      <c r="GK11" s="201"/>
      <c r="GL11" s="201"/>
      <c r="GM11" s="201"/>
      <c r="GN11" s="201"/>
      <c r="GO11" s="201"/>
      <c r="GP11" s="201"/>
      <c r="GQ11" s="201"/>
      <c r="GR11" s="201"/>
      <c r="GS11" s="201"/>
      <c r="GT11" s="201"/>
      <c r="GU11" s="201"/>
      <c r="GV11" s="201"/>
      <c r="GW11" s="201"/>
      <c r="GX11" s="201"/>
      <c r="GY11" s="201"/>
      <c r="GZ11" s="201"/>
      <c r="HA11" s="201"/>
    </row>
    <row r="12" spans="4:209" ht="10.15" customHeight="1">
      <c r="D12" s="198"/>
      <c r="E12" s="206"/>
      <c r="F12" s="664"/>
      <c r="G12" s="665"/>
      <c r="H12" s="665"/>
      <c r="I12" s="665"/>
      <c r="J12" s="665"/>
      <c r="K12" s="665"/>
      <c r="L12" s="665"/>
      <c r="M12" s="665"/>
      <c r="N12" s="665"/>
      <c r="O12" s="665"/>
      <c r="P12" s="665"/>
      <c r="Q12" s="665"/>
      <c r="R12" s="665"/>
      <c r="S12" s="665"/>
      <c r="T12" s="665"/>
      <c r="U12" s="665"/>
      <c r="V12" s="665"/>
      <c r="W12" s="665"/>
      <c r="X12" s="665"/>
      <c r="Y12" s="665"/>
      <c r="Z12" s="665"/>
      <c r="AA12" s="665"/>
      <c r="AB12" s="665"/>
      <c r="AC12" s="665"/>
      <c r="AD12" s="665"/>
      <c r="AE12" s="665"/>
      <c r="AF12" s="665"/>
      <c r="AG12" s="665"/>
      <c r="AH12" s="665"/>
      <c r="AI12" s="665"/>
      <c r="AJ12" s="665"/>
      <c r="AK12" s="665"/>
      <c r="AL12" s="665"/>
      <c r="AM12" s="665"/>
      <c r="AN12" s="665"/>
      <c r="AO12" s="665"/>
      <c r="AP12" s="665"/>
      <c r="AQ12" s="665"/>
      <c r="AR12" s="665"/>
      <c r="AS12" s="665"/>
      <c r="AT12" s="665"/>
      <c r="AU12" s="665"/>
      <c r="AV12" s="665"/>
      <c r="AW12" s="665"/>
      <c r="AX12" s="665"/>
      <c r="AY12" s="665"/>
      <c r="AZ12" s="665"/>
      <c r="BA12" s="665"/>
      <c r="BB12" s="665"/>
      <c r="BC12" s="665"/>
      <c r="BD12" s="665"/>
      <c r="BE12" s="665"/>
      <c r="BF12" s="665"/>
      <c r="BG12" s="665"/>
      <c r="BH12" s="665"/>
      <c r="BI12" s="665"/>
      <c r="BJ12" s="665"/>
      <c r="BK12" s="665"/>
      <c r="BL12" s="665"/>
      <c r="BM12" s="665"/>
      <c r="BN12" s="665"/>
      <c r="BO12" s="665"/>
      <c r="BP12" s="665"/>
      <c r="BQ12" s="665"/>
      <c r="BR12" s="665"/>
      <c r="BS12" s="665"/>
      <c r="BT12" s="665"/>
      <c r="BU12" s="665"/>
      <c r="BV12" s="665"/>
      <c r="BW12" s="665"/>
      <c r="BX12" s="665"/>
      <c r="BY12" s="665"/>
      <c r="BZ12" s="665"/>
      <c r="CA12" s="666"/>
      <c r="CB12" s="205"/>
      <c r="CC12" s="200"/>
      <c r="CD12" s="201"/>
      <c r="GD12" s="201"/>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row>
    <row r="13" spans="4:209" ht="10.15" customHeight="1">
      <c r="D13" s="198"/>
      <c r="E13" s="207"/>
      <c r="F13" s="664"/>
      <c r="G13" s="665"/>
      <c r="H13" s="665"/>
      <c r="I13" s="665"/>
      <c r="J13" s="665"/>
      <c r="K13" s="665"/>
      <c r="L13" s="665"/>
      <c r="M13" s="665"/>
      <c r="N13" s="665"/>
      <c r="O13" s="665"/>
      <c r="P13" s="665"/>
      <c r="Q13" s="665"/>
      <c r="R13" s="665"/>
      <c r="S13" s="665"/>
      <c r="T13" s="665"/>
      <c r="U13" s="665"/>
      <c r="V13" s="665"/>
      <c r="W13" s="665"/>
      <c r="X13" s="665"/>
      <c r="Y13" s="665"/>
      <c r="Z13" s="665"/>
      <c r="AA13" s="665"/>
      <c r="AB13" s="665"/>
      <c r="AC13" s="665"/>
      <c r="AD13" s="665"/>
      <c r="AE13" s="665"/>
      <c r="AF13" s="665"/>
      <c r="AG13" s="665"/>
      <c r="AH13" s="665"/>
      <c r="AI13" s="665"/>
      <c r="AJ13" s="665"/>
      <c r="AK13" s="665"/>
      <c r="AL13" s="665"/>
      <c r="AM13" s="665"/>
      <c r="AN13" s="665"/>
      <c r="AO13" s="665"/>
      <c r="AP13" s="665"/>
      <c r="AQ13" s="665"/>
      <c r="AR13" s="665"/>
      <c r="AS13" s="665"/>
      <c r="AT13" s="665"/>
      <c r="AU13" s="665"/>
      <c r="AV13" s="665"/>
      <c r="AW13" s="665"/>
      <c r="AX13" s="665"/>
      <c r="AY13" s="665"/>
      <c r="AZ13" s="665"/>
      <c r="BA13" s="665"/>
      <c r="BB13" s="665"/>
      <c r="BC13" s="665"/>
      <c r="BD13" s="665"/>
      <c r="BE13" s="665"/>
      <c r="BF13" s="665"/>
      <c r="BG13" s="665"/>
      <c r="BH13" s="665"/>
      <c r="BI13" s="665"/>
      <c r="BJ13" s="665"/>
      <c r="BK13" s="665"/>
      <c r="BL13" s="665"/>
      <c r="BM13" s="665"/>
      <c r="BN13" s="665"/>
      <c r="BO13" s="665"/>
      <c r="BP13" s="665"/>
      <c r="BQ13" s="665"/>
      <c r="BR13" s="665"/>
      <c r="BS13" s="665"/>
      <c r="BT13" s="665"/>
      <c r="BU13" s="665"/>
      <c r="BV13" s="665"/>
      <c r="BW13" s="665"/>
      <c r="BX13" s="665"/>
      <c r="BY13" s="665"/>
      <c r="BZ13" s="665"/>
      <c r="CA13" s="666"/>
      <c r="CB13" s="205"/>
      <c r="CC13" s="200"/>
      <c r="CD13" s="201"/>
      <c r="GD13" s="201"/>
      <c r="GE13" s="201"/>
      <c r="GF13" s="201"/>
      <c r="GG13" s="201"/>
      <c r="GH13" s="201"/>
      <c r="GI13" s="201"/>
      <c r="GJ13" s="201"/>
      <c r="GK13" s="201"/>
      <c r="GL13" s="201"/>
      <c r="GM13" s="201"/>
      <c r="GN13" s="201"/>
      <c r="GO13" s="201"/>
      <c r="GP13" s="201"/>
      <c r="GQ13" s="201"/>
      <c r="GR13" s="201"/>
      <c r="GS13" s="201"/>
      <c r="GT13" s="201"/>
      <c r="GU13" s="201"/>
      <c r="GV13" s="201"/>
      <c r="GW13" s="201"/>
      <c r="GX13" s="201"/>
      <c r="GY13" s="201"/>
      <c r="GZ13" s="201"/>
      <c r="HA13" s="201"/>
    </row>
    <row r="14" spans="4:209" ht="10.15" customHeight="1">
      <c r="D14" s="198"/>
      <c r="E14" s="207"/>
      <c r="F14" s="208"/>
      <c r="G14" s="209"/>
      <c r="H14" s="209"/>
      <c r="I14" s="209"/>
      <c r="J14" s="209"/>
      <c r="K14" s="667">
        <f>Data!B8</f>
        <v>86</v>
      </c>
      <c r="L14" s="667"/>
      <c r="M14" s="667"/>
      <c r="N14" s="667"/>
      <c r="O14" s="667"/>
      <c r="P14" s="667"/>
      <c r="Q14" s="667"/>
      <c r="R14" s="667"/>
      <c r="S14" s="667"/>
      <c r="T14" s="667"/>
      <c r="U14" s="203"/>
      <c r="V14" s="203"/>
      <c r="W14" s="203"/>
      <c r="X14" s="203"/>
      <c r="Y14" s="203"/>
      <c r="Z14" s="203"/>
      <c r="AA14" s="203"/>
      <c r="AB14" s="203"/>
      <c r="AC14" s="668">
        <f>Data!B9</f>
        <v>84</v>
      </c>
      <c r="AD14" s="668"/>
      <c r="AE14" s="668"/>
      <c r="AF14" s="668"/>
      <c r="AG14" s="668"/>
      <c r="AH14" s="668"/>
      <c r="AI14" s="668"/>
      <c r="AJ14" s="668"/>
      <c r="AK14" s="668"/>
      <c r="AL14" s="668"/>
      <c r="AM14" s="203"/>
      <c r="AN14" s="203"/>
      <c r="AO14" s="203"/>
      <c r="AP14" s="210"/>
      <c r="AQ14" s="210"/>
      <c r="AR14" s="203"/>
      <c r="AS14" s="203"/>
      <c r="AT14" s="669">
        <f>Data!B10</f>
        <v>2</v>
      </c>
      <c r="AU14" s="669"/>
      <c r="AV14" s="669"/>
      <c r="AW14" s="669"/>
      <c r="AX14" s="669"/>
      <c r="AY14" s="669"/>
      <c r="AZ14" s="669"/>
      <c r="BA14" s="669"/>
      <c r="BB14" s="669"/>
      <c r="BC14" s="669"/>
      <c r="BD14" s="211"/>
      <c r="BE14" s="203"/>
      <c r="BF14" s="203"/>
      <c r="BG14" s="203"/>
      <c r="BH14" s="203"/>
      <c r="BI14" s="203"/>
      <c r="BJ14" s="203"/>
      <c r="BK14" s="203"/>
      <c r="BL14" s="670">
        <f>Data!D3</f>
        <v>15</v>
      </c>
      <c r="BM14" s="670"/>
      <c r="BN14" s="670"/>
      <c r="BO14" s="670"/>
      <c r="BP14" s="670"/>
      <c r="BQ14" s="670"/>
      <c r="BR14" s="670"/>
      <c r="BS14" s="670"/>
      <c r="BT14" s="670"/>
      <c r="BU14" s="670"/>
      <c r="BV14" s="209"/>
      <c r="BW14" s="209"/>
      <c r="BX14" s="209"/>
      <c r="BY14" s="209"/>
      <c r="BZ14" s="209"/>
      <c r="CA14" s="212"/>
      <c r="CB14" s="205"/>
      <c r="CC14" s="200"/>
      <c r="CD14" s="201"/>
      <c r="GD14" s="201"/>
      <c r="GE14" s="201"/>
      <c r="GF14" s="201"/>
      <c r="GG14" s="201"/>
      <c r="GH14" s="201"/>
      <c r="GI14" s="201"/>
      <c r="GJ14" s="201"/>
      <c r="GK14" s="201"/>
      <c r="GL14" s="201"/>
      <c r="GM14" s="201"/>
      <c r="GN14" s="201"/>
      <c r="GO14" s="201"/>
      <c r="GP14" s="201"/>
      <c r="GQ14" s="201"/>
      <c r="GR14" s="201"/>
      <c r="GS14" s="201"/>
      <c r="GT14" s="201"/>
      <c r="GU14" s="201"/>
      <c r="GV14" s="201"/>
      <c r="GW14" s="201"/>
      <c r="GX14" s="201"/>
      <c r="GY14" s="201"/>
      <c r="GZ14" s="201"/>
      <c r="HA14" s="201"/>
    </row>
    <row r="15" spans="4:209" ht="10.15" customHeight="1">
      <c r="D15" s="198"/>
      <c r="E15" s="207"/>
      <c r="F15" s="208"/>
      <c r="G15" s="209"/>
      <c r="H15" s="209"/>
      <c r="I15" s="209"/>
      <c r="J15" s="209"/>
      <c r="K15" s="667"/>
      <c r="L15" s="667"/>
      <c r="M15" s="667"/>
      <c r="N15" s="667"/>
      <c r="O15" s="667"/>
      <c r="P15" s="667"/>
      <c r="Q15" s="667"/>
      <c r="R15" s="667"/>
      <c r="S15" s="667"/>
      <c r="T15" s="667"/>
      <c r="U15" s="203"/>
      <c r="V15" s="203"/>
      <c r="W15" s="203"/>
      <c r="X15" s="203"/>
      <c r="Y15" s="203"/>
      <c r="Z15" s="203"/>
      <c r="AA15" s="203"/>
      <c r="AB15" s="203"/>
      <c r="AC15" s="668"/>
      <c r="AD15" s="668"/>
      <c r="AE15" s="668"/>
      <c r="AF15" s="668"/>
      <c r="AG15" s="668"/>
      <c r="AH15" s="668"/>
      <c r="AI15" s="668"/>
      <c r="AJ15" s="668"/>
      <c r="AK15" s="668"/>
      <c r="AL15" s="668"/>
      <c r="AM15" s="203"/>
      <c r="AN15" s="203"/>
      <c r="AO15" s="203"/>
      <c r="AP15" s="210"/>
      <c r="AQ15" s="210"/>
      <c r="AR15" s="203"/>
      <c r="AS15" s="203"/>
      <c r="AT15" s="669"/>
      <c r="AU15" s="669"/>
      <c r="AV15" s="669"/>
      <c r="AW15" s="669"/>
      <c r="AX15" s="669"/>
      <c r="AY15" s="669"/>
      <c r="AZ15" s="669"/>
      <c r="BA15" s="669"/>
      <c r="BB15" s="669"/>
      <c r="BC15" s="669"/>
      <c r="BD15" s="211"/>
      <c r="BE15" s="203"/>
      <c r="BF15" s="203"/>
      <c r="BG15" s="203"/>
      <c r="BH15" s="203"/>
      <c r="BI15" s="203"/>
      <c r="BJ15" s="203"/>
      <c r="BK15" s="203"/>
      <c r="BL15" s="670"/>
      <c r="BM15" s="670"/>
      <c r="BN15" s="670"/>
      <c r="BO15" s="670"/>
      <c r="BP15" s="670"/>
      <c r="BQ15" s="670"/>
      <c r="BR15" s="670"/>
      <c r="BS15" s="670"/>
      <c r="BT15" s="670"/>
      <c r="BU15" s="670"/>
      <c r="BV15" s="209"/>
      <c r="BW15" s="209"/>
      <c r="BX15" s="209"/>
      <c r="BY15" s="209"/>
      <c r="BZ15" s="209"/>
      <c r="CA15" s="212"/>
      <c r="CB15" s="205"/>
      <c r="CC15" s="200"/>
      <c r="CD15" s="201"/>
      <c r="GD15" s="201"/>
      <c r="GE15" s="201"/>
      <c r="GF15" s="201"/>
      <c r="GG15" s="201"/>
      <c r="GH15" s="201"/>
      <c r="GI15" s="201"/>
      <c r="GJ15" s="201"/>
      <c r="GK15" s="201"/>
      <c r="GL15" s="201"/>
      <c r="GM15" s="201"/>
      <c r="GN15" s="201"/>
      <c r="GO15" s="201"/>
      <c r="GP15" s="201"/>
      <c r="GQ15" s="201"/>
      <c r="GR15" s="201"/>
      <c r="GS15" s="201"/>
      <c r="GT15" s="201"/>
      <c r="GU15" s="201"/>
      <c r="GV15" s="201"/>
      <c r="GW15" s="201"/>
      <c r="GX15" s="201"/>
      <c r="GY15" s="201"/>
      <c r="GZ15" s="201"/>
      <c r="HA15" s="201"/>
    </row>
    <row r="16" spans="4:209" ht="10.15" customHeight="1">
      <c r="D16" s="198"/>
      <c r="E16" s="207"/>
      <c r="F16" s="208"/>
      <c r="G16" s="209"/>
      <c r="H16" s="209"/>
      <c r="I16" s="209"/>
      <c r="J16" s="209"/>
      <c r="K16" s="667"/>
      <c r="L16" s="667"/>
      <c r="M16" s="667"/>
      <c r="N16" s="667"/>
      <c r="O16" s="667"/>
      <c r="P16" s="667"/>
      <c r="Q16" s="667"/>
      <c r="R16" s="667"/>
      <c r="S16" s="667"/>
      <c r="T16" s="667"/>
      <c r="U16" s="203"/>
      <c r="V16" s="203"/>
      <c r="W16" s="203"/>
      <c r="X16" s="203"/>
      <c r="Y16" s="203"/>
      <c r="Z16" s="203"/>
      <c r="AA16" s="203"/>
      <c r="AB16" s="203"/>
      <c r="AC16" s="668"/>
      <c r="AD16" s="668"/>
      <c r="AE16" s="668"/>
      <c r="AF16" s="668"/>
      <c r="AG16" s="668"/>
      <c r="AH16" s="668"/>
      <c r="AI16" s="668"/>
      <c r="AJ16" s="668"/>
      <c r="AK16" s="668"/>
      <c r="AL16" s="668"/>
      <c r="AM16" s="203"/>
      <c r="AN16" s="203"/>
      <c r="AO16" s="203"/>
      <c r="AP16" s="210"/>
      <c r="AQ16" s="210"/>
      <c r="AR16" s="203"/>
      <c r="AS16" s="203"/>
      <c r="AT16" s="669"/>
      <c r="AU16" s="669"/>
      <c r="AV16" s="669"/>
      <c r="AW16" s="669"/>
      <c r="AX16" s="669"/>
      <c r="AY16" s="669"/>
      <c r="AZ16" s="669"/>
      <c r="BA16" s="669"/>
      <c r="BB16" s="669"/>
      <c r="BC16" s="669"/>
      <c r="BD16" s="211"/>
      <c r="BE16" s="203"/>
      <c r="BF16" s="203"/>
      <c r="BG16" s="203"/>
      <c r="BH16" s="203"/>
      <c r="BI16" s="203"/>
      <c r="BJ16" s="203"/>
      <c r="BK16" s="203"/>
      <c r="BL16" s="670"/>
      <c r="BM16" s="670"/>
      <c r="BN16" s="670"/>
      <c r="BO16" s="670"/>
      <c r="BP16" s="670"/>
      <c r="BQ16" s="670"/>
      <c r="BR16" s="670"/>
      <c r="BS16" s="670"/>
      <c r="BT16" s="670"/>
      <c r="BU16" s="670"/>
      <c r="BV16" s="209"/>
      <c r="BW16" s="209"/>
      <c r="BX16" s="209"/>
      <c r="BY16" s="209"/>
      <c r="BZ16" s="209"/>
      <c r="CA16" s="212"/>
      <c r="CB16" s="205"/>
      <c r="CC16" s="200"/>
      <c r="CD16" s="201"/>
      <c r="GD16" s="201"/>
      <c r="GE16" s="201"/>
      <c r="GF16" s="201"/>
      <c r="GG16" s="201"/>
      <c r="GH16" s="201"/>
      <c r="GI16" s="201"/>
      <c r="GJ16" s="201"/>
      <c r="GK16" s="201"/>
      <c r="GL16" s="201"/>
      <c r="GM16" s="201"/>
      <c r="GN16" s="201"/>
      <c r="GO16" s="201"/>
      <c r="GP16" s="201"/>
      <c r="GQ16" s="201"/>
      <c r="GR16" s="201"/>
      <c r="GS16" s="201"/>
      <c r="GT16" s="201"/>
      <c r="GU16" s="201"/>
      <c r="GV16" s="201"/>
      <c r="GW16" s="201"/>
      <c r="GX16" s="201"/>
      <c r="GY16" s="201"/>
      <c r="GZ16" s="201"/>
      <c r="HA16" s="201"/>
    </row>
    <row r="17" spans="4:209" ht="10.15" customHeight="1">
      <c r="D17" s="198"/>
      <c r="E17" s="207"/>
      <c r="F17" s="208"/>
      <c r="G17" s="209"/>
      <c r="H17" s="209"/>
      <c r="I17" s="209"/>
      <c r="J17" s="209"/>
      <c r="K17" s="667"/>
      <c r="L17" s="667"/>
      <c r="M17" s="667"/>
      <c r="N17" s="667"/>
      <c r="O17" s="667"/>
      <c r="P17" s="667"/>
      <c r="Q17" s="667"/>
      <c r="R17" s="667"/>
      <c r="S17" s="667"/>
      <c r="T17" s="667"/>
      <c r="U17" s="203"/>
      <c r="V17" s="203"/>
      <c r="W17" s="203"/>
      <c r="X17" s="203"/>
      <c r="Y17" s="203"/>
      <c r="Z17" s="203"/>
      <c r="AA17" s="203"/>
      <c r="AB17" s="203"/>
      <c r="AC17" s="668"/>
      <c r="AD17" s="668"/>
      <c r="AE17" s="668"/>
      <c r="AF17" s="668"/>
      <c r="AG17" s="668"/>
      <c r="AH17" s="668"/>
      <c r="AI17" s="668"/>
      <c r="AJ17" s="668"/>
      <c r="AK17" s="668"/>
      <c r="AL17" s="668"/>
      <c r="AM17" s="203"/>
      <c r="AN17" s="203"/>
      <c r="AO17" s="203"/>
      <c r="AP17" s="210"/>
      <c r="AQ17" s="210"/>
      <c r="AR17" s="203"/>
      <c r="AS17" s="203"/>
      <c r="AT17" s="669"/>
      <c r="AU17" s="669"/>
      <c r="AV17" s="669"/>
      <c r="AW17" s="669"/>
      <c r="AX17" s="669"/>
      <c r="AY17" s="669"/>
      <c r="AZ17" s="669"/>
      <c r="BA17" s="669"/>
      <c r="BB17" s="669"/>
      <c r="BC17" s="669"/>
      <c r="BD17" s="211"/>
      <c r="BE17" s="203"/>
      <c r="BF17" s="203"/>
      <c r="BG17" s="203"/>
      <c r="BH17" s="203"/>
      <c r="BI17" s="203"/>
      <c r="BJ17" s="203"/>
      <c r="BK17" s="203"/>
      <c r="BL17" s="670"/>
      <c r="BM17" s="670"/>
      <c r="BN17" s="670"/>
      <c r="BO17" s="670"/>
      <c r="BP17" s="670"/>
      <c r="BQ17" s="670"/>
      <c r="BR17" s="670"/>
      <c r="BS17" s="670"/>
      <c r="BT17" s="670"/>
      <c r="BU17" s="670"/>
      <c r="BV17" s="209"/>
      <c r="BW17" s="209"/>
      <c r="BX17" s="209"/>
      <c r="BY17" s="209"/>
      <c r="BZ17" s="209"/>
      <c r="CA17" s="212"/>
      <c r="CB17" s="205"/>
      <c r="CC17" s="200"/>
      <c r="CD17" s="201"/>
      <c r="GD17" s="201"/>
      <c r="GE17" s="201"/>
      <c r="GF17" s="201"/>
      <c r="GG17" s="201"/>
      <c r="GH17" s="201"/>
      <c r="GI17" s="201"/>
      <c r="GJ17" s="201"/>
      <c r="GK17" s="201"/>
      <c r="GL17" s="201"/>
      <c r="GM17" s="201"/>
      <c r="GN17" s="201"/>
      <c r="GO17" s="201"/>
      <c r="GP17" s="201"/>
      <c r="GQ17" s="201"/>
      <c r="GR17" s="201"/>
      <c r="GS17" s="201"/>
      <c r="GT17" s="201"/>
      <c r="GU17" s="201"/>
      <c r="GV17" s="201"/>
      <c r="GW17" s="201"/>
      <c r="GX17" s="201"/>
      <c r="GY17" s="201"/>
      <c r="GZ17" s="201"/>
      <c r="HA17" s="201"/>
    </row>
    <row r="18" spans="4:209" ht="10.15" customHeight="1">
      <c r="D18" s="198"/>
      <c r="E18" s="207"/>
      <c r="F18" s="208"/>
      <c r="G18" s="209"/>
      <c r="H18" s="209"/>
      <c r="I18" s="209"/>
      <c r="J18" s="209"/>
      <c r="K18" s="667"/>
      <c r="L18" s="667"/>
      <c r="M18" s="667"/>
      <c r="N18" s="667"/>
      <c r="O18" s="667"/>
      <c r="P18" s="667"/>
      <c r="Q18" s="667"/>
      <c r="R18" s="667"/>
      <c r="S18" s="667"/>
      <c r="T18" s="667"/>
      <c r="U18" s="203"/>
      <c r="V18" s="203"/>
      <c r="W18" s="203"/>
      <c r="X18" s="203"/>
      <c r="Y18" s="203"/>
      <c r="Z18" s="203"/>
      <c r="AA18" s="203"/>
      <c r="AB18" s="203"/>
      <c r="AC18" s="668"/>
      <c r="AD18" s="668"/>
      <c r="AE18" s="668"/>
      <c r="AF18" s="668"/>
      <c r="AG18" s="668"/>
      <c r="AH18" s="668"/>
      <c r="AI18" s="668"/>
      <c r="AJ18" s="668"/>
      <c r="AK18" s="668"/>
      <c r="AL18" s="668"/>
      <c r="AM18" s="203"/>
      <c r="AN18" s="203"/>
      <c r="AO18" s="203"/>
      <c r="AP18" s="210"/>
      <c r="AQ18" s="213"/>
      <c r="AR18" s="203"/>
      <c r="AS18" s="203"/>
      <c r="AT18" s="669"/>
      <c r="AU18" s="669"/>
      <c r="AV18" s="669"/>
      <c r="AW18" s="669"/>
      <c r="AX18" s="669"/>
      <c r="AY18" s="669"/>
      <c r="AZ18" s="669"/>
      <c r="BA18" s="669"/>
      <c r="BB18" s="669"/>
      <c r="BC18" s="669"/>
      <c r="BD18" s="211"/>
      <c r="BE18" s="203"/>
      <c r="BF18" s="203"/>
      <c r="BG18" s="203"/>
      <c r="BH18" s="203"/>
      <c r="BI18" s="203"/>
      <c r="BJ18" s="203"/>
      <c r="BK18" s="203"/>
      <c r="BL18" s="670"/>
      <c r="BM18" s="670"/>
      <c r="BN18" s="670"/>
      <c r="BO18" s="670"/>
      <c r="BP18" s="670"/>
      <c r="BQ18" s="670"/>
      <c r="BR18" s="670"/>
      <c r="BS18" s="670"/>
      <c r="BT18" s="670"/>
      <c r="BU18" s="670"/>
      <c r="BV18" s="209"/>
      <c r="BW18" s="209"/>
      <c r="BX18" s="209"/>
      <c r="BY18" s="209"/>
      <c r="BZ18" s="209"/>
      <c r="CA18" s="212"/>
      <c r="CB18" s="205"/>
      <c r="CC18" s="200"/>
      <c r="CD18" s="201"/>
      <c r="GD18" s="201"/>
      <c r="GE18" s="201"/>
      <c r="GF18" s="201"/>
      <c r="GG18" s="201"/>
      <c r="GH18" s="201"/>
      <c r="GI18" s="201"/>
      <c r="GJ18" s="201"/>
      <c r="GK18" s="201"/>
      <c r="GL18" s="201"/>
      <c r="GM18" s="201"/>
      <c r="GN18" s="201"/>
      <c r="GO18" s="201"/>
      <c r="GP18" s="201"/>
      <c r="GQ18" s="201"/>
      <c r="GR18" s="201"/>
      <c r="GS18" s="201"/>
      <c r="GT18" s="201"/>
      <c r="GU18" s="201"/>
      <c r="GV18" s="201"/>
      <c r="GW18" s="201"/>
      <c r="GX18" s="201"/>
      <c r="GY18" s="201"/>
      <c r="GZ18" s="201"/>
      <c r="HA18" s="201"/>
    </row>
    <row r="19" spans="4:209" ht="10.15" customHeight="1">
      <c r="D19" s="198"/>
      <c r="E19" s="207"/>
      <c r="F19" s="208"/>
      <c r="G19" s="209"/>
      <c r="H19" s="209"/>
      <c r="I19" s="209"/>
      <c r="J19" s="654" t="s">
        <v>82</v>
      </c>
      <c r="K19" s="654"/>
      <c r="L19" s="654"/>
      <c r="M19" s="654"/>
      <c r="N19" s="654"/>
      <c r="O19" s="654"/>
      <c r="P19" s="654"/>
      <c r="Q19" s="654"/>
      <c r="R19" s="654"/>
      <c r="S19" s="654"/>
      <c r="T19" s="654"/>
      <c r="U19" s="654"/>
      <c r="V19" s="214"/>
      <c r="W19" s="214"/>
      <c r="X19" s="214"/>
      <c r="Y19" s="214"/>
      <c r="Z19" s="214"/>
      <c r="AA19" s="214"/>
      <c r="AB19" s="655" t="s">
        <v>264</v>
      </c>
      <c r="AC19" s="655"/>
      <c r="AD19" s="655"/>
      <c r="AE19" s="655"/>
      <c r="AF19" s="655"/>
      <c r="AG19" s="655"/>
      <c r="AH19" s="655"/>
      <c r="AI19" s="655"/>
      <c r="AJ19" s="655"/>
      <c r="AK19" s="655"/>
      <c r="AL19" s="655"/>
      <c r="AM19" s="655"/>
      <c r="AN19" s="214"/>
      <c r="AO19" s="214"/>
      <c r="AP19" s="215"/>
      <c r="AQ19" s="216"/>
      <c r="AR19" s="654" t="s">
        <v>96</v>
      </c>
      <c r="AS19" s="656"/>
      <c r="AT19" s="656"/>
      <c r="AU19" s="656"/>
      <c r="AV19" s="656"/>
      <c r="AW19" s="656"/>
      <c r="AX19" s="656"/>
      <c r="AY19" s="656"/>
      <c r="AZ19" s="656"/>
      <c r="BA19" s="656"/>
      <c r="BB19" s="656"/>
      <c r="BC19" s="656"/>
      <c r="BD19" s="656"/>
      <c r="BE19" s="656"/>
      <c r="BF19" s="214"/>
      <c r="BG19" s="214"/>
      <c r="BH19" s="214"/>
      <c r="BI19" s="214"/>
      <c r="BJ19" s="214"/>
      <c r="BK19" s="214"/>
      <c r="BL19" s="657" t="s">
        <v>65</v>
      </c>
      <c r="BM19" s="657"/>
      <c r="BN19" s="657"/>
      <c r="BO19" s="657"/>
      <c r="BP19" s="657"/>
      <c r="BQ19" s="657"/>
      <c r="BR19" s="657"/>
      <c r="BS19" s="657"/>
      <c r="BT19" s="657"/>
      <c r="BU19" s="657"/>
      <c r="BV19" s="209"/>
      <c r="BW19" s="209"/>
      <c r="BX19" s="209"/>
      <c r="BY19" s="209"/>
      <c r="BZ19" s="209"/>
      <c r="CA19" s="212"/>
      <c r="CB19" s="205"/>
      <c r="CC19" s="200"/>
      <c r="CD19" s="201"/>
      <c r="GD19" s="201"/>
      <c r="GE19" s="201"/>
      <c r="GF19" s="201"/>
      <c r="GG19" s="201"/>
      <c r="GH19" s="201"/>
      <c r="GI19" s="201"/>
      <c r="GJ19" s="201"/>
      <c r="GK19" s="201"/>
      <c r="GL19" s="201"/>
      <c r="GM19" s="201"/>
      <c r="GN19" s="201"/>
      <c r="GO19" s="201"/>
      <c r="GP19" s="201"/>
      <c r="GQ19" s="201"/>
      <c r="GR19" s="201"/>
      <c r="GS19" s="201"/>
      <c r="GT19" s="201"/>
      <c r="GU19" s="201"/>
      <c r="GV19" s="201"/>
      <c r="GW19" s="201"/>
      <c r="GX19" s="201"/>
      <c r="GY19" s="201"/>
      <c r="GZ19" s="201"/>
      <c r="HA19" s="201"/>
    </row>
    <row r="20" spans="4:209" ht="10.15" customHeight="1">
      <c r="D20" s="198"/>
      <c r="E20" s="207"/>
      <c r="F20" s="208"/>
      <c r="G20" s="209"/>
      <c r="H20" s="209"/>
      <c r="I20" s="209"/>
      <c r="J20" s="654"/>
      <c r="K20" s="654"/>
      <c r="L20" s="654"/>
      <c r="M20" s="654"/>
      <c r="N20" s="654"/>
      <c r="O20" s="654"/>
      <c r="P20" s="654"/>
      <c r="Q20" s="654"/>
      <c r="R20" s="654"/>
      <c r="S20" s="654"/>
      <c r="T20" s="654"/>
      <c r="U20" s="654"/>
      <c r="V20" s="214"/>
      <c r="W20" s="214"/>
      <c r="X20" s="214"/>
      <c r="Y20" s="214"/>
      <c r="Z20" s="214"/>
      <c r="AA20" s="214"/>
      <c r="AB20" s="655"/>
      <c r="AC20" s="655"/>
      <c r="AD20" s="655"/>
      <c r="AE20" s="655"/>
      <c r="AF20" s="655"/>
      <c r="AG20" s="655"/>
      <c r="AH20" s="655"/>
      <c r="AI20" s="655"/>
      <c r="AJ20" s="655"/>
      <c r="AK20" s="655"/>
      <c r="AL20" s="655"/>
      <c r="AM20" s="655"/>
      <c r="AN20" s="214"/>
      <c r="AO20" s="214"/>
      <c r="AP20" s="215"/>
      <c r="AQ20" s="216"/>
      <c r="AR20" s="656"/>
      <c r="AS20" s="656"/>
      <c r="AT20" s="656"/>
      <c r="AU20" s="656"/>
      <c r="AV20" s="656"/>
      <c r="AW20" s="656"/>
      <c r="AX20" s="656"/>
      <c r="AY20" s="656"/>
      <c r="AZ20" s="656"/>
      <c r="BA20" s="656"/>
      <c r="BB20" s="656"/>
      <c r="BC20" s="656"/>
      <c r="BD20" s="656"/>
      <c r="BE20" s="656"/>
      <c r="BF20" s="214"/>
      <c r="BG20" s="214"/>
      <c r="BH20" s="214"/>
      <c r="BI20" s="214"/>
      <c r="BJ20" s="214"/>
      <c r="BK20" s="214"/>
      <c r="BL20" s="657"/>
      <c r="BM20" s="657"/>
      <c r="BN20" s="657"/>
      <c r="BO20" s="657"/>
      <c r="BP20" s="657"/>
      <c r="BQ20" s="657"/>
      <c r="BR20" s="657"/>
      <c r="BS20" s="657"/>
      <c r="BT20" s="657"/>
      <c r="BU20" s="657"/>
      <c r="BV20" s="209"/>
      <c r="BW20" s="209"/>
      <c r="BX20" s="209"/>
      <c r="BY20" s="209"/>
      <c r="BZ20" s="209"/>
      <c r="CA20" s="212"/>
      <c r="CB20" s="205"/>
      <c r="CC20" s="200"/>
      <c r="CD20" s="201"/>
      <c r="GD20" s="201"/>
      <c r="GE20" s="201"/>
      <c r="GF20" s="201"/>
      <c r="GG20" s="201"/>
      <c r="GH20" s="201"/>
      <c r="GI20" s="201"/>
      <c r="GJ20" s="201"/>
      <c r="GK20" s="201"/>
      <c r="GL20" s="201"/>
      <c r="GM20" s="201"/>
      <c r="GN20" s="201"/>
      <c r="GO20" s="201"/>
      <c r="GP20" s="201"/>
      <c r="GQ20" s="201"/>
      <c r="GR20" s="201"/>
      <c r="GS20" s="201"/>
      <c r="GT20" s="201"/>
      <c r="GU20" s="201"/>
      <c r="GV20" s="201"/>
      <c r="GW20" s="201"/>
      <c r="GX20" s="201"/>
      <c r="GY20" s="201"/>
      <c r="GZ20" s="201"/>
      <c r="HA20" s="201"/>
    </row>
    <row r="21" spans="4:209" ht="10.15" customHeight="1">
      <c r="D21" s="198"/>
      <c r="E21" s="203"/>
      <c r="F21" s="208"/>
      <c r="G21" s="209"/>
      <c r="H21" s="209"/>
      <c r="I21" s="209"/>
      <c r="J21" s="654"/>
      <c r="K21" s="654"/>
      <c r="L21" s="654"/>
      <c r="M21" s="654"/>
      <c r="N21" s="654"/>
      <c r="O21" s="654"/>
      <c r="P21" s="654"/>
      <c r="Q21" s="654"/>
      <c r="R21" s="654"/>
      <c r="S21" s="654"/>
      <c r="T21" s="654"/>
      <c r="U21" s="654"/>
      <c r="V21" s="214"/>
      <c r="W21" s="214"/>
      <c r="X21" s="214"/>
      <c r="Y21" s="214"/>
      <c r="Z21" s="214"/>
      <c r="AA21" s="214"/>
      <c r="AB21" s="655"/>
      <c r="AC21" s="655"/>
      <c r="AD21" s="655"/>
      <c r="AE21" s="655"/>
      <c r="AF21" s="655"/>
      <c r="AG21" s="655"/>
      <c r="AH21" s="655"/>
      <c r="AI21" s="655"/>
      <c r="AJ21" s="655"/>
      <c r="AK21" s="655"/>
      <c r="AL21" s="655"/>
      <c r="AM21" s="655"/>
      <c r="AN21" s="214"/>
      <c r="AO21" s="214"/>
      <c r="AP21" s="215"/>
      <c r="AQ21" s="217"/>
      <c r="AR21" s="656"/>
      <c r="AS21" s="656"/>
      <c r="AT21" s="656"/>
      <c r="AU21" s="656"/>
      <c r="AV21" s="656"/>
      <c r="AW21" s="656"/>
      <c r="AX21" s="656"/>
      <c r="AY21" s="656"/>
      <c r="AZ21" s="656"/>
      <c r="BA21" s="656"/>
      <c r="BB21" s="656"/>
      <c r="BC21" s="656"/>
      <c r="BD21" s="656"/>
      <c r="BE21" s="656"/>
      <c r="BF21" s="214"/>
      <c r="BG21" s="214"/>
      <c r="BH21" s="214"/>
      <c r="BI21" s="214"/>
      <c r="BJ21" s="214"/>
      <c r="BK21" s="214"/>
      <c r="BL21" s="657"/>
      <c r="BM21" s="657"/>
      <c r="BN21" s="657"/>
      <c r="BO21" s="657"/>
      <c r="BP21" s="657"/>
      <c r="BQ21" s="657"/>
      <c r="BR21" s="657"/>
      <c r="BS21" s="657"/>
      <c r="BT21" s="657"/>
      <c r="BU21" s="657"/>
      <c r="BV21" s="209"/>
      <c r="BW21" s="209"/>
      <c r="BX21" s="209"/>
      <c r="BY21" s="209"/>
      <c r="BZ21" s="209"/>
      <c r="CA21" s="212"/>
      <c r="CB21" s="205"/>
      <c r="CC21" s="200"/>
      <c r="CD21" s="201"/>
      <c r="GD21" s="201"/>
      <c r="GE21" s="201"/>
      <c r="GF21" s="201"/>
      <c r="GG21" s="201"/>
      <c r="GH21" s="201"/>
      <c r="GI21" s="201"/>
      <c r="GJ21" s="201"/>
      <c r="GK21" s="201"/>
      <c r="GL21" s="201"/>
      <c r="GM21" s="201"/>
      <c r="GN21" s="201"/>
      <c r="GO21" s="201"/>
      <c r="GP21" s="201"/>
      <c r="GQ21" s="201"/>
      <c r="GR21" s="201"/>
      <c r="GS21" s="201"/>
      <c r="GT21" s="201"/>
      <c r="GU21" s="201"/>
      <c r="GV21" s="201"/>
      <c r="GW21" s="201"/>
      <c r="GX21" s="201"/>
      <c r="GY21" s="201"/>
      <c r="GZ21" s="201"/>
      <c r="HA21" s="201"/>
    </row>
    <row r="22" spans="4:209" ht="10.15" customHeight="1">
      <c r="D22" s="198"/>
      <c r="E22" s="203"/>
      <c r="F22" s="208"/>
      <c r="G22" s="209"/>
      <c r="H22" s="209"/>
      <c r="I22" s="209"/>
      <c r="J22" s="654"/>
      <c r="K22" s="654"/>
      <c r="L22" s="654"/>
      <c r="M22" s="654"/>
      <c r="N22" s="654"/>
      <c r="O22" s="654"/>
      <c r="P22" s="654"/>
      <c r="Q22" s="654"/>
      <c r="R22" s="654"/>
      <c r="S22" s="654"/>
      <c r="T22" s="654"/>
      <c r="U22" s="654"/>
      <c r="V22" s="214"/>
      <c r="W22" s="214"/>
      <c r="X22" s="214"/>
      <c r="Y22" s="214"/>
      <c r="Z22" s="214"/>
      <c r="AA22" s="214"/>
      <c r="AB22" s="655"/>
      <c r="AC22" s="655"/>
      <c r="AD22" s="655"/>
      <c r="AE22" s="655"/>
      <c r="AF22" s="655"/>
      <c r="AG22" s="655"/>
      <c r="AH22" s="655"/>
      <c r="AI22" s="655"/>
      <c r="AJ22" s="655"/>
      <c r="AK22" s="655"/>
      <c r="AL22" s="655"/>
      <c r="AM22" s="655"/>
      <c r="AN22" s="214"/>
      <c r="AO22" s="214"/>
      <c r="AP22" s="215"/>
      <c r="AQ22" s="217"/>
      <c r="AR22" s="656"/>
      <c r="AS22" s="656"/>
      <c r="AT22" s="656"/>
      <c r="AU22" s="656"/>
      <c r="AV22" s="656"/>
      <c r="AW22" s="656"/>
      <c r="AX22" s="656"/>
      <c r="AY22" s="656"/>
      <c r="AZ22" s="656"/>
      <c r="BA22" s="656"/>
      <c r="BB22" s="656"/>
      <c r="BC22" s="656"/>
      <c r="BD22" s="656"/>
      <c r="BE22" s="656"/>
      <c r="BF22" s="214"/>
      <c r="BG22" s="214"/>
      <c r="BH22" s="214"/>
      <c r="BI22" s="214"/>
      <c r="BJ22" s="214"/>
      <c r="BK22" s="214"/>
      <c r="BL22" s="657"/>
      <c r="BM22" s="657"/>
      <c r="BN22" s="657"/>
      <c r="BO22" s="657"/>
      <c r="BP22" s="657"/>
      <c r="BQ22" s="657"/>
      <c r="BR22" s="657"/>
      <c r="BS22" s="657"/>
      <c r="BT22" s="657"/>
      <c r="BU22" s="657"/>
      <c r="BV22" s="209"/>
      <c r="BW22" s="209"/>
      <c r="BX22" s="209"/>
      <c r="BY22" s="209"/>
      <c r="BZ22" s="209"/>
      <c r="CA22" s="212"/>
      <c r="CB22" s="205"/>
      <c r="CC22" s="200"/>
      <c r="CD22" s="201"/>
      <c r="GD22" s="201"/>
      <c r="GE22" s="201"/>
      <c r="GF22" s="201"/>
      <c r="GG22" s="201"/>
      <c r="GH22" s="201"/>
      <c r="GI22" s="201"/>
      <c r="GJ22" s="201"/>
      <c r="GK22" s="201"/>
      <c r="GL22" s="201"/>
      <c r="GM22" s="201"/>
      <c r="GN22" s="201"/>
      <c r="GO22" s="201"/>
      <c r="GP22" s="201"/>
      <c r="GQ22" s="201"/>
      <c r="GR22" s="201"/>
      <c r="GS22" s="201"/>
      <c r="GT22" s="201"/>
      <c r="GU22" s="201"/>
      <c r="GV22" s="201"/>
      <c r="GW22" s="201"/>
      <c r="GX22" s="201"/>
      <c r="GY22" s="201"/>
      <c r="GZ22" s="201"/>
      <c r="HA22" s="201"/>
    </row>
    <row r="23" spans="4:209" ht="10.15" customHeight="1">
      <c r="D23" s="198"/>
      <c r="E23" s="203"/>
      <c r="F23" s="218"/>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219"/>
      <c r="AM23" s="219"/>
      <c r="AN23" s="219"/>
      <c r="AO23" s="219"/>
      <c r="AP23" s="219"/>
      <c r="AQ23" s="219"/>
      <c r="AR23" s="219"/>
      <c r="AS23" s="219"/>
      <c r="AT23" s="219"/>
      <c r="AU23" s="219"/>
      <c r="AV23" s="219"/>
      <c r="AW23" s="219"/>
      <c r="AX23" s="219"/>
      <c r="AY23" s="219"/>
      <c r="AZ23" s="219"/>
      <c r="BA23" s="219"/>
      <c r="BB23" s="219"/>
      <c r="BC23" s="219"/>
      <c r="BD23" s="219"/>
      <c r="BE23" s="219"/>
      <c r="BF23" s="219"/>
      <c r="BG23" s="219"/>
      <c r="BH23" s="219"/>
      <c r="BI23" s="219"/>
      <c r="BJ23" s="219"/>
      <c r="BK23" s="219"/>
      <c r="BL23" s="219"/>
      <c r="BM23" s="219"/>
      <c r="BN23" s="219"/>
      <c r="BO23" s="219"/>
      <c r="BP23" s="219"/>
      <c r="BQ23" s="219"/>
      <c r="BR23" s="219"/>
      <c r="BS23" s="219"/>
      <c r="BT23" s="219"/>
      <c r="BU23" s="219"/>
      <c r="BV23" s="219"/>
      <c r="BW23" s="219"/>
      <c r="BX23" s="219"/>
      <c r="BY23" s="219"/>
      <c r="BZ23" s="219"/>
      <c r="CA23" s="220"/>
      <c r="CB23" s="205"/>
      <c r="CC23" s="200"/>
      <c r="CD23" s="201"/>
      <c r="GL23" s="201"/>
      <c r="GM23" s="201"/>
      <c r="GN23" s="201"/>
      <c r="GO23" s="201"/>
      <c r="GP23" s="201"/>
      <c r="GQ23" s="201"/>
      <c r="GR23" s="201"/>
      <c r="GS23" s="201"/>
      <c r="GT23" s="201"/>
      <c r="GU23" s="201"/>
      <c r="GV23" s="201"/>
      <c r="GW23" s="201"/>
      <c r="GX23" s="201"/>
      <c r="GY23" s="201"/>
      <c r="GZ23" s="201"/>
      <c r="HA23" s="201"/>
    </row>
    <row r="24" spans="4:209" ht="10.15" customHeight="1">
      <c r="D24" s="198"/>
      <c r="E24" s="203"/>
      <c r="F24" s="204"/>
      <c r="G24" s="204"/>
      <c r="H24" s="204"/>
      <c r="I24" s="204"/>
      <c r="J24" s="204"/>
      <c r="K24" s="204"/>
      <c r="L24" s="204"/>
      <c r="M24" s="204"/>
      <c r="N24" s="204"/>
      <c r="O24" s="204"/>
      <c r="P24" s="204"/>
      <c r="Q24" s="204"/>
      <c r="R24" s="204"/>
      <c r="S24" s="204"/>
      <c r="T24" s="204"/>
      <c r="U24" s="204"/>
      <c r="V24" s="204"/>
      <c r="W24" s="204"/>
      <c r="X24" s="204"/>
      <c r="Y24" s="204"/>
      <c r="Z24" s="204"/>
      <c r="AA24" s="204"/>
      <c r="AB24" s="204"/>
      <c r="AC24" s="204"/>
      <c r="AD24" s="204"/>
      <c r="AE24" s="204"/>
      <c r="AF24" s="204"/>
      <c r="AG24" s="204"/>
      <c r="AH24" s="204"/>
      <c r="AI24" s="204"/>
      <c r="AJ24" s="204"/>
      <c r="AK24" s="204"/>
      <c r="AL24" s="204"/>
      <c r="AM24" s="204"/>
      <c r="AN24" s="204"/>
      <c r="AO24" s="204"/>
      <c r="AP24" s="204"/>
      <c r="AQ24" s="204"/>
      <c r="AR24" s="204"/>
      <c r="AS24" s="204"/>
      <c r="AT24" s="204"/>
      <c r="AU24" s="204"/>
      <c r="AV24" s="204"/>
      <c r="AW24" s="204"/>
      <c r="AX24" s="204"/>
      <c r="AY24" s="204"/>
      <c r="AZ24" s="204"/>
      <c r="BA24" s="204"/>
      <c r="BB24" s="204"/>
      <c r="BC24" s="204"/>
      <c r="BD24" s="204"/>
      <c r="BE24" s="204"/>
      <c r="BF24" s="204"/>
      <c r="BG24" s="204"/>
      <c r="BH24" s="204"/>
      <c r="BI24" s="204"/>
      <c r="BJ24" s="204"/>
      <c r="BK24" s="204"/>
      <c r="BL24" s="204"/>
      <c r="BM24" s="204"/>
      <c r="BN24" s="204"/>
      <c r="BO24" s="204"/>
      <c r="BP24" s="204"/>
      <c r="BQ24" s="204"/>
      <c r="BR24" s="204"/>
      <c r="BS24" s="204"/>
      <c r="BT24" s="204"/>
      <c r="BU24" s="204"/>
      <c r="BV24" s="204"/>
      <c r="BW24" s="204"/>
      <c r="BX24" s="204"/>
      <c r="BY24" s="204"/>
      <c r="BZ24" s="204"/>
      <c r="CA24" s="204"/>
      <c r="CB24" s="205"/>
      <c r="CC24" s="200"/>
      <c r="CD24" s="201"/>
      <c r="GL24" s="201"/>
      <c r="GM24" s="201"/>
      <c r="GN24" s="201"/>
      <c r="GO24" s="201"/>
      <c r="GP24" s="201"/>
      <c r="GQ24" s="201"/>
      <c r="GR24" s="201"/>
      <c r="GS24" s="201"/>
      <c r="GT24" s="201"/>
      <c r="GU24" s="201"/>
      <c r="GV24" s="201"/>
      <c r="GW24" s="201"/>
      <c r="GX24" s="201"/>
      <c r="GY24" s="201"/>
      <c r="GZ24" s="201"/>
      <c r="HA24" s="201"/>
    </row>
    <row r="25" spans="4:209" ht="10.15" customHeight="1">
      <c r="D25" s="198"/>
      <c r="E25" s="203"/>
      <c r="F25" s="221"/>
      <c r="G25" s="222"/>
      <c r="H25" s="222"/>
      <c r="I25" s="222"/>
      <c r="J25" s="223"/>
      <c r="K25" s="223"/>
      <c r="L25" s="223"/>
      <c r="M25" s="223"/>
      <c r="N25" s="223"/>
      <c r="O25" s="223"/>
      <c r="P25" s="223"/>
      <c r="Q25" s="223"/>
      <c r="R25" s="223"/>
      <c r="S25" s="223"/>
      <c r="T25" s="223"/>
      <c r="U25" s="223"/>
      <c r="V25" s="223"/>
      <c r="W25" s="223"/>
      <c r="X25" s="223"/>
      <c r="Y25" s="223"/>
      <c r="Z25" s="223"/>
      <c r="AA25" s="222"/>
      <c r="AB25" s="222"/>
      <c r="AC25" s="224"/>
      <c r="AD25" s="204"/>
      <c r="AE25" s="225"/>
      <c r="AF25" s="226"/>
      <c r="AG25" s="226"/>
      <c r="AH25" s="226"/>
      <c r="AI25" s="226"/>
      <c r="AJ25" s="226"/>
      <c r="AK25" s="226"/>
      <c r="AL25" s="226"/>
      <c r="AM25" s="226"/>
      <c r="AN25" s="226"/>
      <c r="AO25" s="226"/>
      <c r="AP25" s="226"/>
      <c r="AQ25" s="226"/>
      <c r="AR25" s="226"/>
      <c r="AS25" s="226"/>
      <c r="AT25" s="226"/>
      <c r="AU25" s="226"/>
      <c r="AV25" s="226"/>
      <c r="AW25" s="226"/>
      <c r="AX25" s="226"/>
      <c r="AY25" s="226"/>
      <c r="AZ25" s="226"/>
      <c r="BA25" s="226"/>
      <c r="BB25" s="227"/>
      <c r="BC25" s="204"/>
      <c r="BD25" s="225"/>
      <c r="BE25" s="226"/>
      <c r="BF25" s="226"/>
      <c r="BG25" s="226"/>
      <c r="BH25" s="226"/>
      <c r="BI25" s="226"/>
      <c r="BJ25" s="226"/>
      <c r="BK25" s="226"/>
      <c r="BL25" s="226"/>
      <c r="BM25" s="226"/>
      <c r="BN25" s="226"/>
      <c r="BO25" s="226"/>
      <c r="BP25" s="226"/>
      <c r="BQ25" s="226"/>
      <c r="BR25" s="226"/>
      <c r="BS25" s="226"/>
      <c r="BT25" s="226"/>
      <c r="BU25" s="226"/>
      <c r="BV25" s="226"/>
      <c r="BW25" s="226"/>
      <c r="BX25" s="226"/>
      <c r="BY25" s="226"/>
      <c r="BZ25" s="226"/>
      <c r="CA25" s="227"/>
      <c r="CB25" s="205"/>
      <c r="CC25" s="200"/>
      <c r="CD25" s="201"/>
      <c r="GL25" s="201"/>
      <c r="GM25" s="201"/>
      <c r="GN25" s="201"/>
      <c r="GO25" s="201"/>
      <c r="GP25" s="201"/>
      <c r="GQ25" s="201"/>
      <c r="GR25" s="201"/>
      <c r="GS25" s="201"/>
      <c r="GT25" s="201"/>
      <c r="GU25" s="201"/>
      <c r="GV25" s="201"/>
      <c r="GW25" s="201"/>
      <c r="GX25" s="201"/>
      <c r="GY25" s="201"/>
      <c r="GZ25" s="201"/>
      <c r="HA25" s="201"/>
    </row>
    <row r="26" spans="4:209" ht="10.15" customHeight="1">
      <c r="D26" s="198"/>
      <c r="E26" s="203"/>
      <c r="F26" s="228"/>
      <c r="G26" s="658" t="s">
        <v>532</v>
      </c>
      <c r="H26" s="659"/>
      <c r="I26" s="659"/>
      <c r="J26" s="659"/>
      <c r="K26" s="659"/>
      <c r="L26" s="659"/>
      <c r="M26" s="659"/>
      <c r="N26" s="659"/>
      <c r="O26" s="659"/>
      <c r="P26" s="659"/>
      <c r="Q26" s="659"/>
      <c r="R26" s="659"/>
      <c r="S26" s="659"/>
      <c r="T26" s="659"/>
      <c r="U26" s="659"/>
      <c r="V26" s="659"/>
      <c r="W26" s="659"/>
      <c r="X26" s="659"/>
      <c r="Y26" s="659"/>
      <c r="Z26" s="659"/>
      <c r="AA26" s="659"/>
      <c r="AB26" s="659"/>
      <c r="AC26" s="229"/>
      <c r="AD26" s="204"/>
      <c r="AE26" s="208"/>
      <c r="AF26" s="209"/>
      <c r="AG26" s="209"/>
      <c r="AH26" s="209"/>
      <c r="AI26" s="209"/>
      <c r="AJ26" s="209"/>
      <c r="AK26" s="209"/>
      <c r="AL26" s="209"/>
      <c r="AM26" s="209"/>
      <c r="AN26" s="209"/>
      <c r="AO26" s="209"/>
      <c r="AP26" s="209"/>
      <c r="AQ26" s="209"/>
      <c r="AR26" s="209"/>
      <c r="AS26" s="209"/>
      <c r="AT26" s="209"/>
      <c r="AU26" s="209"/>
      <c r="AV26" s="209"/>
      <c r="AW26" s="209"/>
      <c r="AX26" s="209"/>
      <c r="AY26" s="209"/>
      <c r="AZ26" s="209"/>
      <c r="BA26" s="209"/>
      <c r="BB26" s="212"/>
      <c r="BC26" s="204"/>
      <c r="BD26" s="208"/>
      <c r="BE26" s="660" t="s">
        <v>97</v>
      </c>
      <c r="BF26" s="659"/>
      <c r="BG26" s="659"/>
      <c r="BH26" s="659"/>
      <c r="BI26" s="659"/>
      <c r="BJ26" s="659"/>
      <c r="BK26" s="659"/>
      <c r="BL26" s="659"/>
      <c r="BM26" s="659"/>
      <c r="BN26" s="659"/>
      <c r="BO26" s="659"/>
      <c r="BP26" s="659"/>
      <c r="BQ26" s="659"/>
      <c r="BR26" s="659"/>
      <c r="BS26" s="659"/>
      <c r="BT26" s="659"/>
      <c r="BU26" s="659"/>
      <c r="BV26" s="659"/>
      <c r="BW26" s="659"/>
      <c r="BX26" s="659"/>
      <c r="BY26" s="659"/>
      <c r="BZ26" s="659"/>
      <c r="CA26" s="212"/>
      <c r="CB26" s="205"/>
      <c r="CC26" s="200"/>
      <c r="CD26" s="201"/>
      <c r="GL26" s="201"/>
      <c r="GM26" s="201"/>
      <c r="GN26" s="201"/>
      <c r="GO26" s="201"/>
      <c r="GP26" s="201"/>
      <c r="GQ26" s="201"/>
      <c r="GR26" s="201"/>
      <c r="GS26" s="201"/>
      <c r="GT26" s="201"/>
      <c r="GU26" s="201"/>
      <c r="GV26" s="201"/>
      <c r="GW26" s="201"/>
      <c r="GX26" s="201"/>
      <c r="GY26" s="201"/>
      <c r="GZ26" s="201"/>
      <c r="HA26" s="201"/>
    </row>
    <row r="27" spans="4:209" ht="10.15" customHeight="1">
      <c r="D27" s="198"/>
      <c r="E27" s="203"/>
      <c r="F27" s="228"/>
      <c r="G27" s="659"/>
      <c r="H27" s="659"/>
      <c r="I27" s="659"/>
      <c r="J27" s="659"/>
      <c r="K27" s="659"/>
      <c r="L27" s="659"/>
      <c r="M27" s="659"/>
      <c r="N27" s="659"/>
      <c r="O27" s="659"/>
      <c r="P27" s="659"/>
      <c r="Q27" s="659"/>
      <c r="R27" s="659"/>
      <c r="S27" s="659"/>
      <c r="T27" s="659"/>
      <c r="U27" s="659"/>
      <c r="V27" s="659"/>
      <c r="W27" s="659"/>
      <c r="X27" s="659"/>
      <c r="Y27" s="659"/>
      <c r="Z27" s="659"/>
      <c r="AA27" s="659"/>
      <c r="AB27" s="659"/>
      <c r="AC27" s="229"/>
      <c r="AD27" s="204"/>
      <c r="AE27" s="208"/>
      <c r="AF27" s="209"/>
      <c r="AG27" s="209"/>
      <c r="AH27" s="209"/>
      <c r="AI27" s="209"/>
      <c r="AJ27" s="209"/>
      <c r="AK27" s="209"/>
      <c r="AL27" s="209"/>
      <c r="AM27" s="209"/>
      <c r="AN27" s="209"/>
      <c r="AO27" s="209"/>
      <c r="AP27" s="209"/>
      <c r="AQ27" s="209"/>
      <c r="AR27" s="209"/>
      <c r="AS27" s="209"/>
      <c r="AT27" s="209"/>
      <c r="AU27" s="209"/>
      <c r="AV27" s="209"/>
      <c r="AW27" s="209"/>
      <c r="AX27" s="209"/>
      <c r="AY27" s="209"/>
      <c r="AZ27" s="209"/>
      <c r="BA27" s="209"/>
      <c r="BB27" s="212"/>
      <c r="BC27" s="204"/>
      <c r="BD27" s="208"/>
      <c r="BE27" s="659"/>
      <c r="BF27" s="659"/>
      <c r="BG27" s="659"/>
      <c r="BH27" s="659"/>
      <c r="BI27" s="659"/>
      <c r="BJ27" s="659"/>
      <c r="BK27" s="659"/>
      <c r="BL27" s="659"/>
      <c r="BM27" s="659"/>
      <c r="BN27" s="659"/>
      <c r="BO27" s="659"/>
      <c r="BP27" s="659"/>
      <c r="BQ27" s="659"/>
      <c r="BR27" s="659"/>
      <c r="BS27" s="659"/>
      <c r="BT27" s="659"/>
      <c r="BU27" s="659"/>
      <c r="BV27" s="659"/>
      <c r="BW27" s="659"/>
      <c r="BX27" s="659"/>
      <c r="BY27" s="659"/>
      <c r="BZ27" s="659"/>
      <c r="CA27" s="212"/>
      <c r="CB27" s="205"/>
      <c r="CC27" s="200"/>
      <c r="CD27" s="201"/>
      <c r="GL27" s="201"/>
      <c r="GM27" s="201"/>
      <c r="GN27" s="201"/>
      <c r="GO27" s="201"/>
      <c r="GP27" s="201"/>
      <c r="GQ27" s="201"/>
      <c r="GR27" s="201"/>
      <c r="GS27" s="201"/>
      <c r="GT27" s="201"/>
      <c r="GU27" s="201"/>
      <c r="GV27" s="201"/>
      <c r="GW27" s="201"/>
      <c r="GX27" s="201"/>
      <c r="GY27" s="201"/>
      <c r="GZ27" s="201"/>
      <c r="HA27" s="201"/>
    </row>
    <row r="28" spans="4:209" ht="10.15" customHeight="1">
      <c r="D28" s="198"/>
      <c r="E28" s="203"/>
      <c r="F28" s="228"/>
      <c r="G28" s="659"/>
      <c r="H28" s="659"/>
      <c r="I28" s="659"/>
      <c r="J28" s="659"/>
      <c r="K28" s="659"/>
      <c r="L28" s="659"/>
      <c r="M28" s="659"/>
      <c r="N28" s="659"/>
      <c r="O28" s="659"/>
      <c r="P28" s="659"/>
      <c r="Q28" s="659"/>
      <c r="R28" s="659"/>
      <c r="S28" s="659"/>
      <c r="T28" s="659"/>
      <c r="U28" s="659"/>
      <c r="V28" s="659"/>
      <c r="W28" s="659"/>
      <c r="X28" s="659"/>
      <c r="Y28" s="659"/>
      <c r="Z28" s="659"/>
      <c r="AA28" s="659"/>
      <c r="AB28" s="659"/>
      <c r="AC28" s="229"/>
      <c r="AD28" s="204"/>
      <c r="AE28" s="208"/>
      <c r="AF28" s="209"/>
      <c r="AG28" s="209"/>
      <c r="AH28" s="209"/>
      <c r="AI28" s="209"/>
      <c r="AJ28" s="209"/>
      <c r="AK28" s="209"/>
      <c r="AL28" s="209"/>
      <c r="AM28" s="209"/>
      <c r="AN28" s="209"/>
      <c r="AO28" s="209"/>
      <c r="AP28" s="209"/>
      <c r="AQ28" s="209"/>
      <c r="AR28" s="209"/>
      <c r="AS28" s="209"/>
      <c r="AT28" s="209"/>
      <c r="AU28" s="209"/>
      <c r="AV28" s="209"/>
      <c r="AW28" s="209"/>
      <c r="AX28" s="209"/>
      <c r="AY28" s="209"/>
      <c r="AZ28" s="209"/>
      <c r="BA28" s="209"/>
      <c r="BB28" s="212"/>
      <c r="BC28" s="204"/>
      <c r="BD28" s="208"/>
      <c r="BE28" s="209"/>
      <c r="BF28" s="209"/>
      <c r="BG28" s="209"/>
      <c r="BH28" s="209"/>
      <c r="BI28" s="209"/>
      <c r="BJ28" s="209"/>
      <c r="BK28" s="209"/>
      <c r="BL28" s="209"/>
      <c r="BM28" s="209"/>
      <c r="BN28" s="209"/>
      <c r="BO28" s="209"/>
      <c r="BP28" s="209"/>
      <c r="BQ28" s="209"/>
      <c r="BR28" s="209"/>
      <c r="BS28" s="209"/>
      <c r="BT28" s="209"/>
      <c r="BU28" s="209"/>
      <c r="BV28" s="209"/>
      <c r="BW28" s="209"/>
      <c r="BX28" s="209"/>
      <c r="BY28" s="209"/>
      <c r="BZ28" s="209"/>
      <c r="CA28" s="212"/>
      <c r="CB28" s="205"/>
      <c r="CC28" s="200"/>
      <c r="CD28" s="201"/>
      <c r="GL28" s="201"/>
      <c r="GM28" s="201"/>
      <c r="GN28" s="201"/>
      <c r="GO28" s="201"/>
      <c r="GP28" s="201"/>
      <c r="GQ28" s="201"/>
      <c r="GR28" s="201"/>
      <c r="GS28" s="201"/>
      <c r="GT28" s="201"/>
      <c r="GU28" s="201"/>
      <c r="GV28" s="201"/>
      <c r="GW28" s="201"/>
      <c r="GX28" s="201"/>
      <c r="GY28" s="201"/>
      <c r="GZ28" s="201"/>
      <c r="HA28" s="201"/>
    </row>
    <row r="29" spans="4:209" ht="10.15" customHeight="1">
      <c r="D29" s="198"/>
      <c r="E29" s="203"/>
      <c r="F29" s="228"/>
      <c r="G29" s="659"/>
      <c r="H29" s="659"/>
      <c r="I29" s="659"/>
      <c r="J29" s="659"/>
      <c r="K29" s="659"/>
      <c r="L29" s="659"/>
      <c r="M29" s="659"/>
      <c r="N29" s="659"/>
      <c r="O29" s="659"/>
      <c r="P29" s="659"/>
      <c r="Q29" s="659"/>
      <c r="R29" s="659"/>
      <c r="S29" s="659"/>
      <c r="T29" s="659"/>
      <c r="U29" s="659"/>
      <c r="V29" s="659"/>
      <c r="W29" s="659"/>
      <c r="X29" s="659"/>
      <c r="Y29" s="659"/>
      <c r="Z29" s="659"/>
      <c r="AA29" s="659"/>
      <c r="AB29" s="659"/>
      <c r="AC29" s="229"/>
      <c r="AD29" s="204"/>
      <c r="AE29" s="208"/>
      <c r="AF29" s="209"/>
      <c r="AG29" s="209"/>
      <c r="AH29" s="209"/>
      <c r="AI29" s="209"/>
      <c r="AJ29" s="209"/>
      <c r="AK29" s="209"/>
      <c r="AL29" s="209"/>
      <c r="AM29" s="209"/>
      <c r="AN29" s="209"/>
      <c r="AO29" s="209"/>
      <c r="AP29" s="209"/>
      <c r="AQ29" s="209"/>
      <c r="AR29" s="209"/>
      <c r="AS29" s="209"/>
      <c r="AT29" s="209"/>
      <c r="AU29" s="209"/>
      <c r="AV29" s="209"/>
      <c r="AW29" s="209"/>
      <c r="AX29" s="209"/>
      <c r="AY29" s="209"/>
      <c r="AZ29" s="209"/>
      <c r="BA29" s="209"/>
      <c r="BB29" s="212"/>
      <c r="BC29" s="204"/>
      <c r="BD29" s="208"/>
      <c r="BE29" s="209"/>
      <c r="BF29" s="209"/>
      <c r="BG29" s="209"/>
      <c r="BH29" s="209"/>
      <c r="BI29" s="209"/>
      <c r="BJ29" s="209"/>
      <c r="BK29" s="209"/>
      <c r="BL29" s="209"/>
      <c r="BM29" s="209"/>
      <c r="BN29" s="209"/>
      <c r="BO29" s="209"/>
      <c r="BP29" s="209"/>
      <c r="BQ29" s="209"/>
      <c r="BR29" s="209"/>
      <c r="BS29" s="209"/>
      <c r="BT29" s="209"/>
      <c r="BU29" s="209"/>
      <c r="BV29" s="209"/>
      <c r="BW29" s="209"/>
      <c r="BX29" s="209"/>
      <c r="BY29" s="209"/>
      <c r="BZ29" s="209"/>
      <c r="CA29" s="212"/>
      <c r="CB29" s="205"/>
      <c r="CC29" s="200"/>
      <c r="CD29" s="201"/>
      <c r="GL29" s="201"/>
      <c r="GM29" s="201"/>
      <c r="GN29" s="201"/>
      <c r="GO29" s="201"/>
      <c r="GP29" s="201"/>
      <c r="GQ29" s="201"/>
      <c r="GR29" s="201"/>
      <c r="GS29" s="201"/>
      <c r="GT29" s="201"/>
      <c r="GU29" s="201"/>
      <c r="GV29" s="201"/>
      <c r="GW29" s="201"/>
      <c r="GX29" s="201"/>
      <c r="GY29" s="201"/>
      <c r="GZ29" s="201"/>
      <c r="HA29" s="201"/>
    </row>
    <row r="30" spans="4:209" ht="10.15" customHeight="1">
      <c r="D30" s="198"/>
      <c r="E30" s="203"/>
      <c r="F30" s="228"/>
      <c r="G30" s="659"/>
      <c r="H30" s="659"/>
      <c r="I30" s="659"/>
      <c r="J30" s="659"/>
      <c r="K30" s="659"/>
      <c r="L30" s="659"/>
      <c r="M30" s="659"/>
      <c r="N30" s="659"/>
      <c r="O30" s="659"/>
      <c r="P30" s="659"/>
      <c r="Q30" s="659"/>
      <c r="R30" s="659"/>
      <c r="S30" s="659"/>
      <c r="T30" s="659"/>
      <c r="U30" s="659"/>
      <c r="V30" s="659"/>
      <c r="W30" s="659"/>
      <c r="X30" s="659"/>
      <c r="Y30" s="659"/>
      <c r="Z30" s="659"/>
      <c r="AA30" s="659"/>
      <c r="AB30" s="659"/>
      <c r="AC30" s="229"/>
      <c r="AD30" s="204"/>
      <c r="AE30" s="208"/>
      <c r="AF30" s="209"/>
      <c r="AG30" s="209"/>
      <c r="AH30" s="209"/>
      <c r="AI30" s="209"/>
      <c r="AJ30" s="209"/>
      <c r="AK30" s="209"/>
      <c r="AL30" s="209"/>
      <c r="AM30" s="209"/>
      <c r="AN30" s="209"/>
      <c r="AO30" s="209"/>
      <c r="AP30" s="209"/>
      <c r="AQ30" s="209"/>
      <c r="AR30" s="209"/>
      <c r="AS30" s="209"/>
      <c r="AT30" s="209"/>
      <c r="AU30" s="209"/>
      <c r="AV30" s="209"/>
      <c r="AW30" s="209"/>
      <c r="AX30" s="209"/>
      <c r="AY30" s="209"/>
      <c r="AZ30" s="209"/>
      <c r="BA30" s="209"/>
      <c r="BB30" s="212"/>
      <c r="BC30" s="204"/>
      <c r="BD30" s="208"/>
      <c r="BE30" s="209"/>
      <c r="BF30" s="209"/>
      <c r="BG30" s="209"/>
      <c r="BH30" s="209"/>
      <c r="BI30" s="209"/>
      <c r="BJ30" s="209"/>
      <c r="BK30" s="209"/>
      <c r="BL30" s="209"/>
      <c r="BM30" s="209"/>
      <c r="BN30" s="209"/>
      <c r="BO30" s="209"/>
      <c r="BP30" s="209"/>
      <c r="BQ30" s="209"/>
      <c r="BR30" s="209"/>
      <c r="BS30" s="209"/>
      <c r="BT30" s="209"/>
      <c r="BU30" s="209"/>
      <c r="BV30" s="209"/>
      <c r="BW30" s="209"/>
      <c r="BX30" s="209"/>
      <c r="BY30" s="209"/>
      <c r="BZ30" s="209"/>
      <c r="CA30" s="212"/>
      <c r="CB30" s="205"/>
      <c r="CC30" s="200"/>
      <c r="CD30" s="201"/>
      <c r="GL30" s="201"/>
      <c r="GM30" s="201"/>
      <c r="GN30" s="201"/>
      <c r="GO30" s="201"/>
      <c r="GP30" s="201"/>
      <c r="GQ30" s="201"/>
      <c r="GR30" s="201"/>
      <c r="GS30" s="201"/>
      <c r="GT30" s="201"/>
      <c r="GU30" s="201"/>
      <c r="GV30" s="201"/>
      <c r="GW30" s="201"/>
      <c r="GX30" s="201"/>
      <c r="GY30" s="201"/>
      <c r="GZ30" s="201"/>
      <c r="HA30" s="201"/>
    </row>
    <row r="31" spans="4:209" ht="10.15" customHeight="1">
      <c r="D31" s="198"/>
      <c r="E31" s="203"/>
      <c r="F31" s="230"/>
      <c r="G31" s="231"/>
      <c r="H31" s="231"/>
      <c r="I31" s="231"/>
      <c r="J31" s="231"/>
      <c r="K31" s="231"/>
      <c r="L31" s="203"/>
      <c r="M31" s="203"/>
      <c r="N31" s="203"/>
      <c r="O31" s="203"/>
      <c r="P31" s="203"/>
      <c r="Q31" s="203"/>
      <c r="R31" s="203"/>
      <c r="S31" s="203"/>
      <c r="T31" s="203"/>
      <c r="U31" s="203"/>
      <c r="V31" s="203"/>
      <c r="W31" s="203"/>
      <c r="X31" s="203"/>
      <c r="Y31" s="203"/>
      <c r="Z31" s="203"/>
      <c r="AA31" s="203"/>
      <c r="AB31" s="203"/>
      <c r="AC31" s="229"/>
      <c r="AD31" s="204"/>
      <c r="AE31" s="208"/>
      <c r="AF31" s="209"/>
      <c r="AG31" s="209"/>
      <c r="AH31" s="209"/>
      <c r="AI31" s="209"/>
      <c r="AJ31" s="209"/>
      <c r="AK31" s="209"/>
      <c r="AL31" s="209"/>
      <c r="AM31" s="209"/>
      <c r="AN31" s="209"/>
      <c r="AO31" s="209"/>
      <c r="AP31" s="209"/>
      <c r="AQ31" s="209"/>
      <c r="AR31" s="209"/>
      <c r="AS31" s="209"/>
      <c r="AT31" s="209"/>
      <c r="AU31" s="209"/>
      <c r="AV31" s="209"/>
      <c r="AW31" s="209"/>
      <c r="AX31" s="209"/>
      <c r="AY31" s="209"/>
      <c r="AZ31" s="209"/>
      <c r="BA31" s="209"/>
      <c r="BB31" s="212"/>
      <c r="BC31" s="204"/>
      <c r="BD31" s="208"/>
      <c r="BE31" s="209"/>
      <c r="BF31" s="209"/>
      <c r="BG31" s="209"/>
      <c r="BH31" s="209"/>
      <c r="BI31" s="209"/>
      <c r="BJ31" s="209"/>
      <c r="BK31" s="209"/>
      <c r="BL31" s="209"/>
      <c r="BM31" s="209"/>
      <c r="BN31" s="209"/>
      <c r="BO31" s="209"/>
      <c r="BP31" s="209"/>
      <c r="BQ31" s="209"/>
      <c r="BR31" s="209"/>
      <c r="BS31" s="209"/>
      <c r="BT31" s="209"/>
      <c r="BU31" s="209"/>
      <c r="BV31" s="209"/>
      <c r="BW31" s="209"/>
      <c r="BX31" s="209"/>
      <c r="BY31" s="209"/>
      <c r="BZ31" s="209"/>
      <c r="CA31" s="212"/>
      <c r="CB31" s="205"/>
      <c r="CC31" s="200"/>
      <c r="CD31" s="201"/>
      <c r="GL31" s="201"/>
      <c r="GM31" s="201"/>
      <c r="GN31" s="201"/>
      <c r="GO31" s="201"/>
      <c r="GP31" s="201"/>
      <c r="GQ31" s="201"/>
      <c r="GR31" s="201"/>
      <c r="GS31" s="201"/>
      <c r="GT31" s="201"/>
      <c r="GU31" s="201"/>
      <c r="GV31" s="201"/>
      <c r="GW31" s="201"/>
      <c r="GX31" s="201"/>
      <c r="GY31" s="201"/>
      <c r="GZ31" s="201"/>
      <c r="HA31" s="201"/>
    </row>
    <row r="32" spans="4:209" ht="10.15" customHeight="1">
      <c r="D32" s="198"/>
      <c r="E32" s="203"/>
      <c r="F32" s="230"/>
      <c r="G32" s="626"/>
      <c r="H32" s="626"/>
      <c r="I32" s="626"/>
      <c r="J32" s="626"/>
      <c r="K32" s="626"/>
      <c r="L32" s="626"/>
      <c r="M32" s="626"/>
      <c r="N32" s="203"/>
      <c r="O32" s="203"/>
      <c r="P32" s="203"/>
      <c r="Q32" s="203"/>
      <c r="R32" s="203"/>
      <c r="S32" s="203"/>
      <c r="T32" s="203"/>
      <c r="U32" s="203"/>
      <c r="V32" s="203"/>
      <c r="W32" s="203"/>
      <c r="X32" s="203"/>
      <c r="Y32" s="203"/>
      <c r="Z32" s="203"/>
      <c r="AA32" s="203"/>
      <c r="AB32" s="203"/>
      <c r="AC32" s="229"/>
      <c r="AD32" s="204"/>
      <c r="AE32" s="208"/>
      <c r="AF32" s="209"/>
      <c r="AG32" s="209"/>
      <c r="AH32" s="209"/>
      <c r="AI32" s="209"/>
      <c r="AJ32" s="209"/>
      <c r="AK32" s="209"/>
      <c r="AL32" s="209"/>
      <c r="AM32" s="209"/>
      <c r="AN32" s="209"/>
      <c r="AO32" s="209"/>
      <c r="AP32" s="209"/>
      <c r="AQ32" s="209"/>
      <c r="AR32" s="209"/>
      <c r="AS32" s="209"/>
      <c r="AT32" s="209"/>
      <c r="AU32" s="209"/>
      <c r="AV32" s="209"/>
      <c r="AW32" s="209"/>
      <c r="AX32" s="209"/>
      <c r="AY32" s="209"/>
      <c r="AZ32" s="209"/>
      <c r="BA32" s="209"/>
      <c r="BB32" s="212"/>
      <c r="BC32" s="204"/>
      <c r="BD32" s="208"/>
      <c r="BE32" s="209"/>
      <c r="BF32" s="209"/>
      <c r="BG32" s="209"/>
      <c r="BH32" s="209"/>
      <c r="BI32" s="209"/>
      <c r="BJ32" s="209"/>
      <c r="BK32" s="209"/>
      <c r="BL32" s="209"/>
      <c r="BM32" s="209"/>
      <c r="BN32" s="209"/>
      <c r="BO32" s="209"/>
      <c r="BP32" s="209"/>
      <c r="BQ32" s="209"/>
      <c r="BR32" s="209"/>
      <c r="BS32" s="209"/>
      <c r="BT32" s="209"/>
      <c r="BU32" s="209"/>
      <c r="BV32" s="209"/>
      <c r="BW32" s="209"/>
      <c r="BX32" s="209"/>
      <c r="BY32" s="209"/>
      <c r="BZ32" s="209"/>
      <c r="CA32" s="212"/>
      <c r="CB32" s="205"/>
      <c r="CC32" s="200"/>
      <c r="CD32" s="201"/>
      <c r="GL32" s="201"/>
      <c r="GM32" s="201"/>
      <c r="GN32" s="201"/>
      <c r="GO32" s="201"/>
      <c r="GP32" s="201"/>
      <c r="GQ32" s="201"/>
      <c r="GR32" s="201"/>
      <c r="GS32" s="201"/>
      <c r="GT32" s="201"/>
      <c r="GU32" s="201"/>
      <c r="GV32" s="201"/>
      <c r="GW32" s="201"/>
      <c r="GX32" s="201"/>
      <c r="GY32" s="201"/>
      <c r="GZ32" s="201"/>
      <c r="HA32" s="201"/>
    </row>
    <row r="33" spans="4:209" ht="10.15" customHeight="1">
      <c r="D33" s="198"/>
      <c r="E33" s="203"/>
      <c r="F33" s="228"/>
      <c r="G33" s="626"/>
      <c r="H33" s="626"/>
      <c r="I33" s="626"/>
      <c r="J33" s="626"/>
      <c r="K33" s="626"/>
      <c r="L33" s="626"/>
      <c r="M33" s="626"/>
      <c r="N33" s="203"/>
      <c r="O33" s="203"/>
      <c r="P33" s="203"/>
      <c r="Q33" s="203"/>
      <c r="R33" s="203"/>
      <c r="S33" s="203"/>
      <c r="T33" s="203"/>
      <c r="U33" s="203"/>
      <c r="V33" s="203"/>
      <c r="W33" s="203"/>
      <c r="X33" s="203"/>
      <c r="Y33" s="203"/>
      <c r="Z33" s="203"/>
      <c r="AA33" s="203"/>
      <c r="AB33" s="203"/>
      <c r="AC33" s="229"/>
      <c r="AD33" s="204"/>
      <c r="AE33" s="208"/>
      <c r="AF33" s="209"/>
      <c r="AG33" s="209"/>
      <c r="AH33" s="209"/>
      <c r="AI33" s="209"/>
      <c r="AJ33" s="209"/>
      <c r="AK33" s="209"/>
      <c r="AL33" s="209"/>
      <c r="AM33" s="209"/>
      <c r="AN33" s="209"/>
      <c r="AO33" s="209"/>
      <c r="AP33" s="209"/>
      <c r="AQ33" s="209"/>
      <c r="AR33" s="209"/>
      <c r="AS33" s="209"/>
      <c r="AT33" s="209"/>
      <c r="AU33" s="209"/>
      <c r="AV33" s="209"/>
      <c r="AW33" s="209"/>
      <c r="AX33" s="209"/>
      <c r="AY33" s="209"/>
      <c r="AZ33" s="209"/>
      <c r="BA33" s="209"/>
      <c r="BB33" s="212"/>
      <c r="BC33" s="204"/>
      <c r="BD33" s="208"/>
      <c r="BE33" s="209"/>
      <c r="BF33" s="209"/>
      <c r="BG33" s="209"/>
      <c r="BH33" s="209"/>
      <c r="BI33" s="209"/>
      <c r="BJ33" s="209"/>
      <c r="BK33" s="209"/>
      <c r="BL33" s="209"/>
      <c r="BM33" s="209"/>
      <c r="BN33" s="209"/>
      <c r="BO33" s="209"/>
      <c r="BP33" s="209"/>
      <c r="BQ33" s="209"/>
      <c r="BR33" s="209"/>
      <c r="BS33" s="209"/>
      <c r="BT33" s="209"/>
      <c r="BU33" s="209"/>
      <c r="BV33" s="209"/>
      <c r="BW33" s="209"/>
      <c r="BX33" s="209"/>
      <c r="BY33" s="209"/>
      <c r="BZ33" s="209"/>
      <c r="CA33" s="212"/>
      <c r="CB33" s="205"/>
      <c r="CC33" s="200"/>
      <c r="CD33" s="201"/>
      <c r="GL33" s="201"/>
      <c r="GM33" s="201"/>
      <c r="GN33" s="201"/>
      <c r="GO33" s="201"/>
      <c r="GP33" s="201"/>
      <c r="GQ33" s="201"/>
      <c r="GR33" s="201"/>
      <c r="GS33" s="201"/>
      <c r="GT33" s="201"/>
      <c r="GU33" s="201"/>
      <c r="GV33" s="201"/>
      <c r="GW33" s="201"/>
      <c r="GX33" s="201"/>
      <c r="GY33" s="201"/>
      <c r="GZ33" s="201"/>
      <c r="HA33" s="201"/>
    </row>
    <row r="34" spans="4:209" ht="10.15" customHeight="1">
      <c r="D34" s="198"/>
      <c r="E34" s="203"/>
      <c r="F34" s="232"/>
      <c r="G34" s="627"/>
      <c r="H34" s="627"/>
      <c r="I34" s="627"/>
      <c r="J34" s="627"/>
      <c r="K34" s="627"/>
      <c r="L34" s="627"/>
      <c r="M34" s="627"/>
      <c r="N34" s="203"/>
      <c r="O34" s="203"/>
      <c r="P34" s="203"/>
      <c r="Q34" s="203"/>
      <c r="R34" s="203"/>
      <c r="S34" s="203"/>
      <c r="T34" s="203"/>
      <c r="U34" s="203"/>
      <c r="V34" s="203"/>
      <c r="W34" s="203"/>
      <c r="X34" s="203"/>
      <c r="Y34" s="203"/>
      <c r="Z34" s="203"/>
      <c r="AA34" s="203"/>
      <c r="AB34" s="203"/>
      <c r="AC34" s="229"/>
      <c r="AD34" s="204"/>
      <c r="AE34" s="208"/>
      <c r="AF34" s="209"/>
      <c r="AG34" s="209"/>
      <c r="AH34" s="209"/>
      <c r="AI34" s="209"/>
      <c r="AJ34" s="209"/>
      <c r="AK34" s="209"/>
      <c r="AL34" s="209"/>
      <c r="AM34" s="209"/>
      <c r="AN34" s="209"/>
      <c r="AO34" s="209"/>
      <c r="AP34" s="209"/>
      <c r="AQ34" s="209"/>
      <c r="AR34" s="209"/>
      <c r="AS34" s="209"/>
      <c r="AT34" s="209"/>
      <c r="AU34" s="209"/>
      <c r="AV34" s="209"/>
      <c r="AW34" s="209"/>
      <c r="AX34" s="209"/>
      <c r="AY34" s="209"/>
      <c r="AZ34" s="209"/>
      <c r="BA34" s="209"/>
      <c r="BB34" s="212"/>
      <c r="BC34" s="204"/>
      <c r="BD34" s="563" t="s">
        <v>24</v>
      </c>
      <c r="BE34" s="564"/>
      <c r="BF34" s="564"/>
      <c r="BG34" s="564"/>
      <c r="BH34" s="564"/>
      <c r="BI34" s="564"/>
      <c r="BJ34" s="564"/>
      <c r="BK34" s="564"/>
      <c r="BL34" s="564"/>
      <c r="BM34" s="564"/>
      <c r="BN34" s="564"/>
      <c r="BO34" s="564"/>
      <c r="BP34" s="564"/>
      <c r="BQ34" s="564"/>
      <c r="BR34" s="564"/>
      <c r="BS34" s="564"/>
      <c r="BT34" s="564"/>
      <c r="BU34" s="564"/>
      <c r="BV34" s="564"/>
      <c r="BW34" s="564"/>
      <c r="BX34" s="564"/>
      <c r="BY34" s="564"/>
      <c r="BZ34" s="564"/>
      <c r="CA34" s="628"/>
      <c r="CB34" s="205"/>
      <c r="CC34" s="200"/>
      <c r="CD34" s="201"/>
      <c r="CO34" s="233"/>
      <c r="CP34" s="233"/>
      <c r="CQ34" s="233"/>
      <c r="CR34" s="233"/>
      <c r="CS34" s="233"/>
      <c r="CT34" s="233"/>
      <c r="CU34" s="233"/>
      <c r="CV34" s="233"/>
      <c r="CW34" s="233"/>
      <c r="CX34" s="233"/>
      <c r="CY34" s="233"/>
      <c r="CZ34" s="233"/>
      <c r="DA34" s="233"/>
      <c r="DB34" s="233"/>
      <c r="DC34" s="233"/>
      <c r="DD34" s="233"/>
      <c r="DE34" s="233"/>
      <c r="DF34" s="233"/>
      <c r="DG34" s="233"/>
      <c r="DH34" s="233"/>
      <c r="DI34" s="233"/>
      <c r="DJ34" s="233"/>
      <c r="DK34" s="233"/>
      <c r="DL34" s="233"/>
      <c r="DM34" s="233"/>
      <c r="DN34" s="233"/>
      <c r="DO34" s="233"/>
      <c r="DP34" s="233"/>
      <c r="DQ34" s="233"/>
      <c r="DR34" s="233"/>
      <c r="DS34" s="233"/>
      <c r="DT34" s="233"/>
      <c r="DU34" s="233"/>
      <c r="DV34" s="233"/>
      <c r="DW34" s="233"/>
      <c r="DX34" s="233"/>
      <c r="DY34" s="233"/>
      <c r="DZ34" s="233"/>
      <c r="EA34" s="233"/>
      <c r="GL34" s="201"/>
      <c r="GM34" s="201"/>
      <c r="GN34" s="201"/>
      <c r="GO34" s="201"/>
      <c r="GP34" s="201"/>
      <c r="GQ34" s="201"/>
      <c r="GR34" s="201"/>
      <c r="GS34" s="201"/>
      <c r="GT34" s="201"/>
      <c r="GU34" s="201"/>
      <c r="GV34" s="201"/>
      <c r="GW34" s="201"/>
      <c r="GX34" s="201"/>
      <c r="GY34" s="201"/>
      <c r="GZ34" s="201"/>
      <c r="HA34" s="201"/>
    </row>
    <row r="35" spans="4:209" ht="10.15" customHeight="1">
      <c r="D35" s="198"/>
      <c r="E35" s="203"/>
      <c r="F35" s="232"/>
      <c r="G35" s="627"/>
      <c r="H35" s="627"/>
      <c r="I35" s="627"/>
      <c r="J35" s="627"/>
      <c r="K35" s="627"/>
      <c r="L35" s="627"/>
      <c r="M35" s="627"/>
      <c r="N35" s="203"/>
      <c r="O35" s="203"/>
      <c r="P35" s="203"/>
      <c r="Q35" s="203"/>
      <c r="R35" s="203"/>
      <c r="S35" s="203"/>
      <c r="T35" s="203"/>
      <c r="U35" s="203"/>
      <c r="V35" s="203"/>
      <c r="W35" s="203"/>
      <c r="X35" s="203"/>
      <c r="Y35" s="203"/>
      <c r="Z35" s="203"/>
      <c r="AA35" s="203"/>
      <c r="AB35" s="203"/>
      <c r="AC35" s="229"/>
      <c r="AD35" s="204"/>
      <c r="AE35" s="208"/>
      <c r="AF35" s="209"/>
      <c r="AG35" s="209"/>
      <c r="AH35" s="209"/>
      <c r="AI35" s="209"/>
      <c r="AJ35" s="209"/>
      <c r="AK35" s="209"/>
      <c r="AL35" s="209"/>
      <c r="AM35" s="209"/>
      <c r="AN35" s="209"/>
      <c r="AO35" s="209"/>
      <c r="AP35" s="209"/>
      <c r="AQ35" s="209"/>
      <c r="AR35" s="209"/>
      <c r="AS35" s="209"/>
      <c r="AT35" s="209"/>
      <c r="AU35" s="209"/>
      <c r="AV35" s="209"/>
      <c r="AW35" s="209"/>
      <c r="AX35" s="209"/>
      <c r="AY35" s="209"/>
      <c r="AZ35" s="209"/>
      <c r="BA35" s="209"/>
      <c r="BB35" s="212"/>
      <c r="BC35" s="204"/>
      <c r="BD35" s="565"/>
      <c r="BE35" s="566"/>
      <c r="BF35" s="566"/>
      <c r="BG35" s="566"/>
      <c r="BH35" s="566"/>
      <c r="BI35" s="566"/>
      <c r="BJ35" s="566"/>
      <c r="BK35" s="566"/>
      <c r="BL35" s="566"/>
      <c r="BM35" s="566"/>
      <c r="BN35" s="566"/>
      <c r="BO35" s="566"/>
      <c r="BP35" s="566"/>
      <c r="BQ35" s="566"/>
      <c r="BR35" s="566"/>
      <c r="BS35" s="566"/>
      <c r="BT35" s="566"/>
      <c r="BU35" s="566"/>
      <c r="BV35" s="566"/>
      <c r="BW35" s="566"/>
      <c r="BX35" s="566"/>
      <c r="BY35" s="566"/>
      <c r="BZ35" s="566"/>
      <c r="CA35" s="629"/>
      <c r="CB35" s="205"/>
      <c r="CC35" s="200"/>
      <c r="CD35" s="201"/>
      <c r="CO35" s="233"/>
      <c r="CP35" s="233"/>
      <c r="CQ35" s="233"/>
      <c r="CR35" s="233"/>
      <c r="CS35" s="233"/>
      <c r="CT35" s="233"/>
      <c r="CU35" s="233"/>
      <c r="CV35" s="233"/>
      <c r="CW35" s="233"/>
      <c r="CX35" s="233"/>
      <c r="CY35" s="233"/>
      <c r="CZ35" s="233"/>
      <c r="DA35" s="233"/>
      <c r="DB35" s="233"/>
      <c r="DC35" s="233"/>
      <c r="DD35" s="233"/>
      <c r="DE35" s="233"/>
      <c r="DF35" s="233"/>
      <c r="DG35" s="233"/>
      <c r="DH35" s="233"/>
      <c r="DI35" s="233"/>
      <c r="DJ35" s="233"/>
      <c r="DK35" s="233"/>
      <c r="DL35" s="233"/>
      <c r="DM35" s="233"/>
      <c r="DN35" s="233"/>
      <c r="DO35" s="233"/>
      <c r="DP35" s="233"/>
      <c r="DQ35" s="233"/>
      <c r="DR35" s="233"/>
      <c r="DS35" s="233"/>
      <c r="DT35" s="233"/>
      <c r="DU35" s="233"/>
      <c r="DV35" s="233"/>
      <c r="DW35" s="233"/>
      <c r="DX35" s="233"/>
      <c r="DY35" s="233"/>
      <c r="DZ35" s="233"/>
      <c r="EA35" s="233"/>
      <c r="GL35" s="201"/>
      <c r="GM35" s="201"/>
      <c r="GN35" s="201"/>
      <c r="GO35" s="201"/>
      <c r="GP35" s="201"/>
      <c r="GQ35" s="201"/>
      <c r="GR35" s="201"/>
      <c r="GS35" s="201"/>
      <c r="GT35" s="201"/>
      <c r="GU35" s="201"/>
      <c r="GV35" s="201"/>
      <c r="GW35" s="201"/>
      <c r="GX35" s="201"/>
      <c r="GY35" s="201"/>
      <c r="GZ35" s="201"/>
      <c r="HA35" s="201"/>
    </row>
    <row r="36" spans="4:209" ht="10.15" customHeight="1">
      <c r="D36" s="198"/>
      <c r="E36" s="203"/>
      <c r="F36" s="232"/>
      <c r="G36" s="627"/>
      <c r="H36" s="627"/>
      <c r="I36" s="627"/>
      <c r="J36" s="627"/>
      <c r="K36" s="627"/>
      <c r="L36" s="627"/>
      <c r="M36" s="627"/>
      <c r="N36" s="203"/>
      <c r="O36" s="203"/>
      <c r="P36" s="203"/>
      <c r="Q36" s="203"/>
      <c r="R36" s="203"/>
      <c r="S36" s="203"/>
      <c r="T36" s="203"/>
      <c r="U36" s="203"/>
      <c r="V36" s="203"/>
      <c r="W36" s="203"/>
      <c r="X36" s="203"/>
      <c r="Y36" s="203"/>
      <c r="Z36" s="203"/>
      <c r="AA36" s="203"/>
      <c r="AB36" s="203"/>
      <c r="AC36" s="229"/>
      <c r="AD36" s="204"/>
      <c r="AE36" s="208"/>
      <c r="AF36" s="209"/>
      <c r="AG36" s="209"/>
      <c r="AH36" s="209"/>
      <c r="AI36" s="209"/>
      <c r="AJ36" s="209"/>
      <c r="AK36" s="209"/>
      <c r="AL36" s="209"/>
      <c r="AM36" s="209"/>
      <c r="AN36" s="209"/>
      <c r="AO36" s="209"/>
      <c r="AP36" s="209"/>
      <c r="AQ36" s="209"/>
      <c r="AR36" s="209"/>
      <c r="AS36" s="209"/>
      <c r="AT36" s="209"/>
      <c r="AU36" s="209"/>
      <c r="AV36" s="209"/>
      <c r="AW36" s="209"/>
      <c r="AX36" s="209"/>
      <c r="AY36" s="209"/>
      <c r="AZ36" s="209"/>
      <c r="BA36" s="209"/>
      <c r="BB36" s="212"/>
      <c r="BC36" s="204"/>
      <c r="BD36" s="205"/>
      <c r="BE36" s="205"/>
      <c r="BF36" s="205"/>
      <c r="BG36" s="205"/>
      <c r="BH36" s="205"/>
      <c r="BI36" s="205"/>
      <c r="BJ36" s="205"/>
      <c r="BK36" s="205"/>
      <c r="BL36" s="205"/>
      <c r="BM36" s="205"/>
      <c r="BN36" s="205"/>
      <c r="BO36" s="205"/>
      <c r="BP36" s="205"/>
      <c r="BQ36" s="205"/>
      <c r="BR36" s="205"/>
      <c r="BS36" s="205"/>
      <c r="BT36" s="205"/>
      <c r="BU36" s="205"/>
      <c r="BV36" s="205"/>
      <c r="BW36" s="205"/>
      <c r="BX36" s="205"/>
      <c r="BY36" s="205"/>
      <c r="BZ36" s="205"/>
      <c r="CA36" s="205"/>
      <c r="CB36" s="205"/>
      <c r="CC36" s="200"/>
      <c r="CD36" s="201"/>
      <c r="CO36" s="233"/>
      <c r="CP36" s="233"/>
      <c r="CQ36" s="233"/>
      <c r="CR36" s="233"/>
      <c r="CS36" s="233"/>
      <c r="CT36" s="233"/>
      <c r="CU36" s="233"/>
      <c r="CV36" s="233"/>
      <c r="CW36" s="233"/>
      <c r="CX36" s="233"/>
      <c r="CY36" s="233"/>
      <c r="CZ36" s="233"/>
      <c r="DA36" s="233"/>
      <c r="DB36" s="233"/>
      <c r="DC36" s="233"/>
      <c r="DD36" s="233"/>
      <c r="DE36" s="233"/>
      <c r="DF36" s="233"/>
      <c r="DG36" s="233"/>
      <c r="DH36" s="233"/>
      <c r="DI36" s="233"/>
      <c r="DJ36" s="233"/>
      <c r="DK36" s="233"/>
      <c r="DL36" s="233"/>
      <c r="DM36" s="233"/>
      <c r="DN36" s="233"/>
      <c r="DO36" s="233"/>
      <c r="DP36" s="233"/>
      <c r="DQ36" s="233"/>
      <c r="DR36" s="233"/>
      <c r="DS36" s="233"/>
      <c r="DT36" s="233"/>
      <c r="DU36" s="233"/>
      <c r="DV36" s="233"/>
      <c r="DW36" s="233"/>
      <c r="DX36" s="233"/>
      <c r="DY36" s="233"/>
      <c r="DZ36" s="233"/>
      <c r="EA36" s="233"/>
      <c r="GL36" s="201"/>
      <c r="GM36" s="201"/>
      <c r="GN36" s="201"/>
      <c r="GO36" s="201"/>
      <c r="GP36" s="201"/>
      <c r="GQ36" s="201"/>
      <c r="GR36" s="201"/>
      <c r="GS36" s="201"/>
      <c r="GT36" s="201"/>
      <c r="GU36" s="201"/>
      <c r="GV36" s="201"/>
      <c r="GW36" s="201"/>
      <c r="GX36" s="201"/>
      <c r="GY36" s="201"/>
      <c r="GZ36" s="201"/>
      <c r="HA36" s="201"/>
    </row>
    <row r="37" spans="4:209" ht="10.15" customHeight="1">
      <c r="D37" s="198"/>
      <c r="E37" s="203"/>
      <c r="F37" s="232"/>
      <c r="G37" s="627"/>
      <c r="H37" s="627"/>
      <c r="I37" s="627"/>
      <c r="J37" s="627"/>
      <c r="K37" s="627"/>
      <c r="L37" s="627"/>
      <c r="M37" s="627"/>
      <c r="N37" s="203"/>
      <c r="O37" s="203"/>
      <c r="P37" s="203"/>
      <c r="Q37" s="203"/>
      <c r="R37" s="203"/>
      <c r="S37" s="203"/>
      <c r="T37" s="203"/>
      <c r="U37" s="203"/>
      <c r="V37" s="203"/>
      <c r="W37" s="203"/>
      <c r="X37" s="203"/>
      <c r="Y37" s="203"/>
      <c r="Z37" s="203"/>
      <c r="AA37" s="203"/>
      <c r="AB37" s="203"/>
      <c r="AC37" s="229"/>
      <c r="AD37" s="204"/>
      <c r="AE37" s="208"/>
      <c r="AF37" s="209"/>
      <c r="AG37" s="209"/>
      <c r="AH37" s="209"/>
      <c r="AI37" s="209"/>
      <c r="AJ37" s="209"/>
      <c r="AK37" s="209"/>
      <c r="AL37" s="209"/>
      <c r="AM37" s="209"/>
      <c r="AN37" s="209"/>
      <c r="AO37" s="209"/>
      <c r="AP37" s="209"/>
      <c r="AQ37" s="209"/>
      <c r="AR37" s="209"/>
      <c r="AS37" s="209"/>
      <c r="AT37" s="209"/>
      <c r="AU37" s="209"/>
      <c r="AV37" s="209"/>
      <c r="AW37" s="209"/>
      <c r="AX37" s="209"/>
      <c r="AY37" s="209"/>
      <c r="AZ37" s="209"/>
      <c r="BA37" s="209"/>
      <c r="BB37" s="212"/>
      <c r="BC37" s="204"/>
      <c r="BD37" s="636" t="str">
        <f>Data!N51</f>
        <v>Additional On-premises Storage Requirement (TB)</v>
      </c>
      <c r="BE37" s="637"/>
      <c r="BF37" s="637"/>
      <c r="BG37" s="637"/>
      <c r="BH37" s="637"/>
      <c r="BI37" s="637"/>
      <c r="BJ37" s="637"/>
      <c r="BK37" s="637"/>
      <c r="BL37" s="637"/>
      <c r="BM37" s="637"/>
      <c r="BN37" s="637"/>
      <c r="BO37" s="638"/>
      <c r="BP37" s="636" t="s">
        <v>531</v>
      </c>
      <c r="BQ37" s="637"/>
      <c r="BR37" s="637"/>
      <c r="BS37" s="637"/>
      <c r="BT37" s="637"/>
      <c r="BU37" s="637"/>
      <c r="BV37" s="637"/>
      <c r="BW37" s="637"/>
      <c r="BX37" s="637"/>
      <c r="BY37" s="637"/>
      <c r="BZ37" s="637"/>
      <c r="CA37" s="638"/>
      <c r="CB37" s="205"/>
      <c r="CC37" s="200"/>
      <c r="CD37" s="201"/>
      <c r="CO37" s="233"/>
      <c r="CP37" s="233"/>
      <c r="CQ37" s="233"/>
      <c r="CR37" s="233"/>
      <c r="CS37" s="233"/>
      <c r="CT37" s="233"/>
      <c r="CU37" s="233"/>
      <c r="CV37" s="233"/>
      <c r="CW37" s="233"/>
      <c r="CX37" s="233"/>
      <c r="CY37" s="233"/>
      <c r="CZ37" s="233"/>
      <c r="DA37" s="233"/>
      <c r="DB37" s="233"/>
      <c r="DC37" s="233"/>
      <c r="DD37" s="233"/>
      <c r="DE37" s="233"/>
      <c r="DF37" s="233"/>
      <c r="DG37" s="233"/>
      <c r="DH37" s="233"/>
      <c r="DI37" s="233"/>
      <c r="DJ37" s="233"/>
      <c r="DK37" s="233"/>
      <c r="DL37" s="233"/>
      <c r="DM37" s="233"/>
      <c r="DN37" s="233"/>
      <c r="DO37" s="233"/>
      <c r="DP37" s="233"/>
      <c r="DQ37" s="233"/>
      <c r="DR37" s="233"/>
      <c r="DS37" s="233"/>
      <c r="DT37" s="233"/>
      <c r="DU37" s="233"/>
      <c r="DV37" s="233"/>
      <c r="DW37" s="233"/>
      <c r="DX37" s="233"/>
      <c r="DY37" s="233"/>
      <c r="DZ37" s="233"/>
      <c r="EA37" s="233"/>
      <c r="GL37" s="201"/>
      <c r="GM37" s="201"/>
      <c r="GN37" s="201"/>
      <c r="GO37" s="201"/>
      <c r="GP37" s="201"/>
      <c r="GQ37" s="201"/>
      <c r="GR37" s="201"/>
      <c r="GS37" s="201"/>
      <c r="GT37" s="201"/>
      <c r="GU37" s="201"/>
      <c r="GV37" s="201"/>
      <c r="GW37" s="201"/>
      <c r="GX37" s="201"/>
      <c r="GY37" s="201"/>
      <c r="GZ37" s="201"/>
      <c r="HA37" s="201"/>
    </row>
    <row r="38" spans="4:209" ht="10.15" customHeight="1">
      <c r="D38" s="198"/>
      <c r="E38" s="203"/>
      <c r="F38" s="232"/>
      <c r="G38" s="627"/>
      <c r="H38" s="627"/>
      <c r="I38" s="627"/>
      <c r="J38" s="627"/>
      <c r="K38" s="627"/>
      <c r="L38" s="627"/>
      <c r="M38" s="627"/>
      <c r="N38" s="203"/>
      <c r="O38" s="203"/>
      <c r="P38" s="203"/>
      <c r="Q38" s="203"/>
      <c r="R38" s="203"/>
      <c r="S38" s="203"/>
      <c r="T38" s="203"/>
      <c r="U38" s="203"/>
      <c r="V38" s="203"/>
      <c r="W38" s="203"/>
      <c r="X38" s="203"/>
      <c r="Y38" s="203"/>
      <c r="Z38" s="203"/>
      <c r="AA38" s="203"/>
      <c r="AB38" s="203"/>
      <c r="AC38" s="229"/>
      <c r="AD38" s="204"/>
      <c r="AE38" s="208"/>
      <c r="AF38" s="209"/>
      <c r="AG38" s="209"/>
      <c r="AH38" s="209"/>
      <c r="AI38" s="209"/>
      <c r="AJ38" s="209"/>
      <c r="AK38" s="209"/>
      <c r="AL38" s="209"/>
      <c r="AM38" s="209"/>
      <c r="AN38" s="209"/>
      <c r="AO38" s="209"/>
      <c r="AP38" s="209"/>
      <c r="AQ38" s="209"/>
      <c r="AR38" s="209"/>
      <c r="AS38" s="209"/>
      <c r="AT38" s="209"/>
      <c r="AU38" s="209"/>
      <c r="AV38" s="209"/>
      <c r="AW38" s="209"/>
      <c r="AX38" s="209"/>
      <c r="AY38" s="209"/>
      <c r="AZ38" s="209"/>
      <c r="BA38" s="209"/>
      <c r="BB38" s="212"/>
      <c r="BC38" s="204"/>
      <c r="BD38" s="639"/>
      <c r="BE38" s="640"/>
      <c r="BF38" s="640"/>
      <c r="BG38" s="640"/>
      <c r="BH38" s="640"/>
      <c r="BI38" s="640"/>
      <c r="BJ38" s="640"/>
      <c r="BK38" s="640"/>
      <c r="BL38" s="640"/>
      <c r="BM38" s="640"/>
      <c r="BN38" s="640"/>
      <c r="BO38" s="641"/>
      <c r="BP38" s="639"/>
      <c r="BQ38" s="640"/>
      <c r="BR38" s="640"/>
      <c r="BS38" s="640"/>
      <c r="BT38" s="640"/>
      <c r="BU38" s="640"/>
      <c r="BV38" s="640"/>
      <c r="BW38" s="640"/>
      <c r="BX38" s="640"/>
      <c r="BY38" s="640"/>
      <c r="BZ38" s="640"/>
      <c r="CA38" s="641"/>
      <c r="CB38" s="205"/>
      <c r="CC38" s="200"/>
      <c r="CD38" s="201"/>
      <c r="CO38" s="233"/>
      <c r="CP38" s="233"/>
      <c r="CQ38" s="233"/>
      <c r="CR38" s="233"/>
      <c r="CS38" s="233"/>
      <c r="CT38" s="233"/>
      <c r="CU38" s="233"/>
      <c r="CV38" s="233"/>
      <c r="CW38" s="233"/>
      <c r="CX38" s="233"/>
      <c r="CY38" s="233"/>
      <c r="CZ38" s="233"/>
      <c r="DA38" s="233"/>
      <c r="DB38" s="233"/>
      <c r="DC38" s="233"/>
      <c r="DD38" s="233"/>
      <c r="DE38" s="233"/>
      <c r="DF38" s="233"/>
      <c r="DG38" s="233"/>
      <c r="DH38" s="233"/>
      <c r="DI38" s="233"/>
      <c r="DJ38" s="233"/>
      <c r="DK38" s="233"/>
      <c r="DL38" s="233"/>
      <c r="DM38" s="233"/>
      <c r="DN38" s="233"/>
      <c r="DO38" s="233"/>
      <c r="DP38" s="233"/>
      <c r="DQ38" s="233"/>
      <c r="DR38" s="233"/>
      <c r="DS38" s="233"/>
      <c r="DT38" s="233"/>
      <c r="DU38" s="233"/>
      <c r="DV38" s="233"/>
      <c r="DW38" s="233"/>
      <c r="DX38" s="233"/>
      <c r="DY38" s="233"/>
      <c r="DZ38" s="233"/>
      <c r="EA38" s="233"/>
      <c r="GL38" s="201"/>
      <c r="GM38" s="201"/>
      <c r="GN38" s="201"/>
      <c r="GO38" s="201"/>
      <c r="GP38" s="201"/>
      <c r="GQ38" s="201"/>
      <c r="GR38" s="201"/>
      <c r="GS38" s="201"/>
      <c r="GT38" s="201"/>
      <c r="GU38" s="201"/>
      <c r="GV38" s="201"/>
      <c r="GW38" s="201"/>
      <c r="GX38" s="201"/>
      <c r="GY38" s="201"/>
      <c r="GZ38" s="201"/>
      <c r="HA38" s="201"/>
    </row>
    <row r="39" spans="4:209" ht="10.15" customHeight="1">
      <c r="D39" s="198"/>
      <c r="E39" s="203"/>
      <c r="F39" s="232"/>
      <c r="G39" s="626"/>
      <c r="H39" s="626"/>
      <c r="I39" s="626"/>
      <c r="J39" s="626"/>
      <c r="K39" s="626"/>
      <c r="L39" s="626"/>
      <c r="M39" s="626"/>
      <c r="N39" s="203"/>
      <c r="O39" s="203"/>
      <c r="P39" s="203"/>
      <c r="Q39" s="203"/>
      <c r="R39" s="203"/>
      <c r="S39" s="203"/>
      <c r="T39" s="203"/>
      <c r="U39" s="203"/>
      <c r="V39" s="203"/>
      <c r="W39" s="203"/>
      <c r="X39" s="203"/>
      <c r="Y39" s="203"/>
      <c r="Z39" s="203"/>
      <c r="AA39" s="203"/>
      <c r="AB39" s="203"/>
      <c r="AC39" s="229"/>
      <c r="AD39" s="204"/>
      <c r="AE39" s="208"/>
      <c r="AF39" s="209"/>
      <c r="AG39" s="209"/>
      <c r="AH39" s="209"/>
      <c r="AI39" s="209"/>
      <c r="AJ39" s="209"/>
      <c r="AK39" s="209"/>
      <c r="AL39" s="209"/>
      <c r="AM39" s="209"/>
      <c r="AN39" s="209"/>
      <c r="AO39" s="209"/>
      <c r="AP39" s="209"/>
      <c r="AQ39" s="209"/>
      <c r="AR39" s="209"/>
      <c r="AS39" s="209"/>
      <c r="AT39" s="209"/>
      <c r="AU39" s="209"/>
      <c r="AV39" s="209"/>
      <c r="AW39" s="209"/>
      <c r="AX39" s="209"/>
      <c r="AY39" s="209"/>
      <c r="AZ39" s="209"/>
      <c r="BA39" s="209"/>
      <c r="BB39" s="212"/>
      <c r="BC39" s="204"/>
      <c r="BD39" s="639"/>
      <c r="BE39" s="640"/>
      <c r="BF39" s="640"/>
      <c r="BG39" s="640"/>
      <c r="BH39" s="640"/>
      <c r="BI39" s="640"/>
      <c r="BJ39" s="640"/>
      <c r="BK39" s="640"/>
      <c r="BL39" s="640"/>
      <c r="BM39" s="640"/>
      <c r="BN39" s="640"/>
      <c r="BO39" s="641"/>
      <c r="BP39" s="639"/>
      <c r="BQ39" s="640"/>
      <c r="BR39" s="640"/>
      <c r="BS39" s="640"/>
      <c r="BT39" s="640"/>
      <c r="BU39" s="640"/>
      <c r="BV39" s="640"/>
      <c r="BW39" s="640"/>
      <c r="BX39" s="640"/>
      <c r="BY39" s="640"/>
      <c r="BZ39" s="640"/>
      <c r="CA39" s="641"/>
      <c r="CB39" s="205"/>
      <c r="CC39" s="200"/>
      <c r="CD39" s="201"/>
      <c r="CO39" s="233"/>
      <c r="CP39" s="233"/>
      <c r="CQ39" s="233"/>
      <c r="CR39" s="233"/>
      <c r="CS39" s="233"/>
      <c r="CT39" s="233"/>
      <c r="CU39" s="233"/>
      <c r="CV39" s="233"/>
      <c r="CW39" s="233"/>
      <c r="CX39" s="233"/>
      <c r="CY39" s="233"/>
      <c r="CZ39" s="233"/>
      <c r="DA39" s="233"/>
      <c r="DB39" s="233"/>
      <c r="DC39" s="233"/>
      <c r="DD39" s="233"/>
      <c r="DE39" s="233"/>
      <c r="DF39" s="233"/>
      <c r="DG39" s="233"/>
      <c r="DH39" s="233"/>
      <c r="DI39" s="233"/>
      <c r="DJ39" s="233"/>
      <c r="DK39" s="233"/>
      <c r="DL39" s="233"/>
      <c r="DM39" s="233"/>
      <c r="DN39" s="233"/>
      <c r="DO39" s="233"/>
      <c r="DP39" s="233"/>
      <c r="DQ39" s="233"/>
      <c r="DR39" s="233"/>
      <c r="DS39" s="233"/>
      <c r="DT39" s="233"/>
      <c r="DU39" s="233"/>
      <c r="DV39" s="233"/>
      <c r="DW39" s="233"/>
      <c r="DX39" s="233"/>
      <c r="DY39" s="233"/>
      <c r="DZ39" s="233"/>
      <c r="EA39" s="233"/>
      <c r="GL39" s="201"/>
      <c r="GM39" s="201"/>
      <c r="GN39" s="201"/>
      <c r="GO39" s="201"/>
      <c r="GP39" s="201"/>
      <c r="GQ39" s="201"/>
      <c r="GR39" s="201"/>
      <c r="GS39" s="201"/>
      <c r="GT39" s="201"/>
      <c r="GU39" s="201"/>
      <c r="GV39" s="201"/>
      <c r="GW39" s="201"/>
      <c r="GX39" s="201"/>
      <c r="GY39" s="201"/>
      <c r="GZ39" s="201"/>
      <c r="HA39" s="201"/>
    </row>
    <row r="40" spans="4:209" ht="11.25" customHeight="1">
      <c r="D40" s="198"/>
      <c r="E40" s="203"/>
      <c r="F40" s="228"/>
      <c r="G40" s="626"/>
      <c r="H40" s="626"/>
      <c r="I40" s="626"/>
      <c r="J40" s="626"/>
      <c r="K40" s="626"/>
      <c r="L40" s="626"/>
      <c r="M40" s="626"/>
      <c r="N40" s="203"/>
      <c r="O40" s="203"/>
      <c r="P40" s="203"/>
      <c r="Q40" s="203"/>
      <c r="R40" s="203"/>
      <c r="S40" s="203"/>
      <c r="T40" s="203"/>
      <c r="U40" s="203"/>
      <c r="V40" s="203"/>
      <c r="W40" s="203"/>
      <c r="X40" s="203"/>
      <c r="Y40" s="203"/>
      <c r="Z40" s="203"/>
      <c r="AA40" s="203"/>
      <c r="AB40" s="203"/>
      <c r="AC40" s="229"/>
      <c r="AD40" s="204"/>
      <c r="AE40" s="208"/>
      <c r="AF40" s="209"/>
      <c r="AG40" s="209"/>
      <c r="AH40" s="209"/>
      <c r="AI40" s="209"/>
      <c r="AJ40" s="209"/>
      <c r="AK40" s="209"/>
      <c r="AL40" s="209"/>
      <c r="AM40" s="209"/>
      <c r="AN40" s="209"/>
      <c r="AO40" s="209"/>
      <c r="AP40" s="209"/>
      <c r="AQ40" s="209"/>
      <c r="AR40" s="209"/>
      <c r="AS40" s="209"/>
      <c r="AT40" s="209"/>
      <c r="AU40" s="209"/>
      <c r="AV40" s="209"/>
      <c r="AW40" s="209"/>
      <c r="AX40" s="209"/>
      <c r="AY40" s="209"/>
      <c r="AZ40" s="209"/>
      <c r="BA40" s="209"/>
      <c r="BB40" s="212"/>
      <c r="BC40" s="204"/>
      <c r="BD40" s="639"/>
      <c r="BE40" s="640"/>
      <c r="BF40" s="640"/>
      <c r="BG40" s="640"/>
      <c r="BH40" s="640"/>
      <c r="BI40" s="640"/>
      <c r="BJ40" s="640"/>
      <c r="BK40" s="640"/>
      <c r="BL40" s="640"/>
      <c r="BM40" s="640"/>
      <c r="BN40" s="640"/>
      <c r="BO40" s="641"/>
      <c r="BP40" s="639"/>
      <c r="BQ40" s="640"/>
      <c r="BR40" s="640"/>
      <c r="BS40" s="640"/>
      <c r="BT40" s="640"/>
      <c r="BU40" s="640"/>
      <c r="BV40" s="640"/>
      <c r="BW40" s="640"/>
      <c r="BX40" s="640"/>
      <c r="BY40" s="640"/>
      <c r="BZ40" s="640"/>
      <c r="CA40" s="641"/>
      <c r="CB40" s="205"/>
      <c r="CC40" s="200"/>
      <c r="CD40" s="201"/>
      <c r="CO40" s="233"/>
      <c r="CP40" s="233"/>
      <c r="CQ40" s="233"/>
      <c r="CR40" s="233"/>
      <c r="CS40" s="233"/>
      <c r="CT40" s="233"/>
      <c r="CU40" s="233"/>
      <c r="CV40" s="233"/>
      <c r="CW40" s="233"/>
      <c r="CX40" s="233"/>
      <c r="CY40" s="233"/>
      <c r="CZ40" s="233"/>
      <c r="DA40" s="233"/>
      <c r="DB40" s="233"/>
      <c r="DC40" s="233"/>
      <c r="DD40" s="233"/>
      <c r="DE40" s="233"/>
      <c r="DF40" s="233"/>
      <c r="DG40" s="233"/>
      <c r="DH40" s="233"/>
      <c r="DI40" s="233"/>
      <c r="DJ40" s="233"/>
      <c r="DK40" s="233"/>
      <c r="DL40" s="233"/>
      <c r="DM40" s="233"/>
      <c r="DN40" s="233"/>
      <c r="DO40" s="233"/>
      <c r="DP40" s="233"/>
      <c r="DQ40" s="233"/>
      <c r="DR40" s="233"/>
      <c r="DS40" s="233"/>
      <c r="DT40" s="233"/>
      <c r="DU40" s="233"/>
      <c r="DV40" s="233"/>
      <c r="DW40" s="233"/>
      <c r="DX40" s="233"/>
      <c r="DY40" s="233"/>
      <c r="DZ40" s="233"/>
      <c r="EA40" s="233"/>
      <c r="GL40" s="201"/>
      <c r="GM40" s="201"/>
      <c r="GN40" s="201"/>
      <c r="GO40" s="201"/>
      <c r="GP40" s="201"/>
      <c r="GQ40" s="201"/>
      <c r="GR40" s="201"/>
      <c r="GS40" s="201"/>
      <c r="GT40" s="201"/>
      <c r="GU40" s="201"/>
      <c r="GV40" s="201"/>
      <c r="GW40" s="201"/>
      <c r="GX40" s="201"/>
      <c r="GY40" s="201"/>
      <c r="GZ40" s="201"/>
      <c r="HA40" s="201"/>
    </row>
    <row r="41" spans="4:209" ht="9.75" customHeight="1">
      <c r="D41" s="198"/>
      <c r="E41" s="203"/>
      <c r="F41" s="230"/>
      <c r="G41" s="231"/>
      <c r="H41" s="231"/>
      <c r="I41" s="231"/>
      <c r="J41" s="231"/>
      <c r="K41" s="231"/>
      <c r="L41" s="203"/>
      <c r="M41" s="203"/>
      <c r="N41" s="203"/>
      <c r="O41" s="203"/>
      <c r="P41" s="203"/>
      <c r="Q41" s="203"/>
      <c r="R41" s="203"/>
      <c r="S41" s="203"/>
      <c r="T41" s="203"/>
      <c r="U41" s="203"/>
      <c r="V41" s="203"/>
      <c r="W41" s="203"/>
      <c r="X41" s="203"/>
      <c r="Y41" s="203"/>
      <c r="Z41" s="203"/>
      <c r="AA41" s="203"/>
      <c r="AB41" s="203"/>
      <c r="AC41" s="229"/>
      <c r="AD41" s="204"/>
      <c r="AE41" s="208"/>
      <c r="AF41" s="209"/>
      <c r="AG41" s="209"/>
      <c r="AH41" s="209"/>
      <c r="AI41" s="209"/>
      <c r="AJ41" s="209"/>
      <c r="AK41" s="209"/>
      <c r="AL41" s="209"/>
      <c r="AM41" s="209"/>
      <c r="AN41" s="209"/>
      <c r="AO41" s="209"/>
      <c r="AP41" s="209"/>
      <c r="AQ41" s="209"/>
      <c r="AR41" s="209"/>
      <c r="AS41" s="209"/>
      <c r="AT41" s="209"/>
      <c r="AU41" s="209"/>
      <c r="AV41" s="209"/>
      <c r="AW41" s="209"/>
      <c r="AX41" s="209"/>
      <c r="AY41" s="209"/>
      <c r="AZ41" s="209"/>
      <c r="BA41" s="209"/>
      <c r="BB41" s="212"/>
      <c r="BC41" s="204"/>
      <c r="BD41" s="234"/>
      <c r="BE41" s="235"/>
      <c r="BF41" s="235"/>
      <c r="BG41" s="235"/>
      <c r="BH41" s="235"/>
      <c r="BI41" s="235"/>
      <c r="BJ41" s="235"/>
      <c r="BK41" s="235"/>
      <c r="BL41" s="235"/>
      <c r="BM41" s="235"/>
      <c r="BN41" s="235"/>
      <c r="BO41" s="236"/>
      <c r="BP41" s="234"/>
      <c r="BQ41" s="235"/>
      <c r="BR41" s="235"/>
      <c r="BS41" s="235"/>
      <c r="BT41" s="235"/>
      <c r="BU41" s="235"/>
      <c r="BV41" s="235"/>
      <c r="BW41" s="235"/>
      <c r="BX41" s="235"/>
      <c r="BY41" s="235"/>
      <c r="BZ41" s="235"/>
      <c r="CA41" s="236"/>
      <c r="CB41" s="205"/>
      <c r="CC41" s="200"/>
      <c r="CD41" s="201"/>
      <c r="CO41" s="233"/>
      <c r="CP41" s="233"/>
      <c r="CQ41" s="233"/>
      <c r="CR41" s="233"/>
      <c r="CS41" s="233"/>
      <c r="CT41" s="233"/>
      <c r="CU41" s="233"/>
      <c r="CV41" s="233"/>
      <c r="CW41" s="233"/>
      <c r="CX41" s="233"/>
      <c r="CY41" s="233"/>
      <c r="CZ41" s="233"/>
      <c r="DA41" s="233"/>
      <c r="DB41" s="233"/>
      <c r="DC41" s="233"/>
      <c r="DD41" s="233"/>
      <c r="DE41" s="233"/>
      <c r="DF41" s="233"/>
      <c r="DG41" s="233"/>
      <c r="DH41" s="233"/>
      <c r="DI41" s="233"/>
      <c r="DJ41" s="233"/>
      <c r="DK41" s="233"/>
      <c r="DL41" s="233"/>
      <c r="DM41" s="233"/>
      <c r="DN41" s="233"/>
      <c r="DO41" s="233"/>
      <c r="DP41" s="233"/>
      <c r="DQ41" s="233"/>
      <c r="DR41" s="233"/>
      <c r="DS41" s="233"/>
      <c r="DT41" s="233"/>
      <c r="DU41" s="233"/>
      <c r="DV41" s="233"/>
      <c r="DW41" s="233"/>
      <c r="DX41" s="233"/>
      <c r="DY41" s="233"/>
      <c r="DZ41" s="233"/>
      <c r="EA41" s="233"/>
      <c r="GL41" s="201"/>
      <c r="GM41" s="201"/>
      <c r="GN41" s="201"/>
      <c r="GO41" s="201"/>
      <c r="GP41" s="201"/>
      <c r="GQ41" s="201"/>
      <c r="GR41" s="201"/>
      <c r="GS41" s="201"/>
      <c r="GT41" s="201"/>
      <c r="GU41" s="201"/>
      <c r="GV41" s="201"/>
      <c r="GW41" s="201"/>
      <c r="GX41" s="201"/>
      <c r="GY41" s="201"/>
      <c r="GZ41" s="201"/>
      <c r="HA41" s="201"/>
    </row>
    <row r="42" spans="4:209" ht="10.15" customHeight="1">
      <c r="D42" s="198"/>
      <c r="E42" s="203"/>
      <c r="F42" s="230"/>
      <c r="G42" s="231"/>
      <c r="H42" s="231"/>
      <c r="I42" s="231"/>
      <c r="J42" s="231"/>
      <c r="K42" s="231"/>
      <c r="L42" s="203"/>
      <c r="M42" s="203"/>
      <c r="N42" s="203"/>
      <c r="O42" s="203"/>
      <c r="P42" s="203"/>
      <c r="Q42" s="203"/>
      <c r="R42" s="203"/>
      <c r="S42" s="203"/>
      <c r="T42" s="203"/>
      <c r="U42" s="203"/>
      <c r="V42" s="203"/>
      <c r="W42" s="203"/>
      <c r="X42" s="203"/>
      <c r="Y42" s="203"/>
      <c r="Z42" s="203"/>
      <c r="AA42" s="203"/>
      <c r="AB42" s="203"/>
      <c r="AC42" s="229"/>
      <c r="AD42" s="204"/>
      <c r="AE42" s="208"/>
      <c r="AF42" s="209"/>
      <c r="AG42" s="209"/>
      <c r="AH42" s="209"/>
      <c r="AI42" s="209"/>
      <c r="AJ42" s="209"/>
      <c r="AK42" s="209"/>
      <c r="AL42" s="209"/>
      <c r="AM42" s="209"/>
      <c r="AN42" s="209"/>
      <c r="AO42" s="209"/>
      <c r="AP42" s="209"/>
      <c r="AQ42" s="209"/>
      <c r="AR42" s="209"/>
      <c r="AS42" s="209"/>
      <c r="AT42" s="209"/>
      <c r="AU42" s="209"/>
      <c r="AV42" s="209"/>
      <c r="AW42" s="209"/>
      <c r="AX42" s="209"/>
      <c r="AY42" s="209"/>
      <c r="AZ42" s="209"/>
      <c r="BA42" s="209"/>
      <c r="BB42" s="212"/>
      <c r="BC42" s="204"/>
      <c r="BD42" s="234"/>
      <c r="BE42" s="235"/>
      <c r="BF42" s="235"/>
      <c r="BG42" s="235"/>
      <c r="BH42" s="235"/>
      <c r="BI42" s="235"/>
      <c r="BJ42" s="235"/>
      <c r="BK42" s="235"/>
      <c r="BL42" s="235"/>
      <c r="BM42" s="235"/>
      <c r="BN42" s="235"/>
      <c r="BO42" s="236"/>
      <c r="BP42" s="234"/>
      <c r="BQ42" s="235"/>
      <c r="BR42" s="235"/>
      <c r="BS42" s="235"/>
      <c r="BT42" s="235"/>
      <c r="BU42" s="235"/>
      <c r="BV42" s="235"/>
      <c r="BW42" s="235"/>
      <c r="BX42" s="235"/>
      <c r="BY42" s="235"/>
      <c r="BZ42" s="235"/>
      <c r="CA42" s="236"/>
      <c r="CB42" s="205"/>
      <c r="CC42" s="200"/>
      <c r="CD42" s="201"/>
      <c r="CO42" s="233"/>
      <c r="CP42" s="233"/>
      <c r="CQ42" s="233"/>
      <c r="CR42" s="233"/>
      <c r="CS42" s="233"/>
      <c r="CT42" s="233"/>
      <c r="CU42" s="233"/>
      <c r="CV42" s="233"/>
      <c r="CW42" s="233"/>
      <c r="CX42" s="233"/>
      <c r="CY42" s="233"/>
      <c r="CZ42" s="233"/>
      <c r="DA42" s="233"/>
      <c r="DB42" s="233"/>
      <c r="DC42" s="233"/>
      <c r="DD42" s="233"/>
      <c r="DE42" s="233"/>
      <c r="DF42" s="233"/>
      <c r="DG42" s="233"/>
      <c r="DH42" s="233"/>
      <c r="DI42" s="233"/>
      <c r="DJ42" s="233"/>
      <c r="DK42" s="233"/>
      <c r="DL42" s="233"/>
      <c r="DM42" s="233"/>
      <c r="DN42" s="233"/>
      <c r="DO42" s="233"/>
      <c r="DP42" s="233"/>
      <c r="DQ42" s="233"/>
      <c r="DR42" s="233"/>
      <c r="DS42" s="233"/>
      <c r="DT42" s="233"/>
      <c r="DU42" s="233"/>
      <c r="DV42" s="233"/>
      <c r="DW42" s="233"/>
      <c r="DX42" s="233"/>
      <c r="DY42" s="233"/>
      <c r="DZ42" s="233"/>
      <c r="EA42" s="233"/>
      <c r="GL42" s="201"/>
      <c r="GM42" s="201"/>
      <c r="GN42" s="201"/>
      <c r="GO42" s="201"/>
      <c r="GP42" s="201"/>
      <c r="GQ42" s="201"/>
      <c r="GR42" s="201"/>
      <c r="GS42" s="201"/>
      <c r="GT42" s="201"/>
      <c r="GU42" s="201"/>
      <c r="GV42" s="201"/>
      <c r="GW42" s="201"/>
      <c r="GX42" s="201"/>
      <c r="GY42" s="201"/>
      <c r="GZ42" s="201"/>
      <c r="HA42" s="201"/>
    </row>
    <row r="43" spans="4:209" ht="10.15" customHeight="1">
      <c r="D43" s="198"/>
      <c r="E43" s="203"/>
      <c r="F43" s="230"/>
      <c r="G43" s="231"/>
      <c r="H43" s="231"/>
      <c r="I43" s="231"/>
      <c r="J43" s="231"/>
      <c r="K43" s="231"/>
      <c r="L43" s="203"/>
      <c r="M43" s="203"/>
      <c r="N43" s="203"/>
      <c r="O43" s="203"/>
      <c r="P43" s="203"/>
      <c r="Q43" s="203"/>
      <c r="R43" s="203"/>
      <c r="S43" s="203"/>
      <c r="T43" s="203"/>
      <c r="U43" s="203"/>
      <c r="V43" s="203"/>
      <c r="W43" s="203"/>
      <c r="X43" s="203"/>
      <c r="Y43" s="203"/>
      <c r="Z43" s="203"/>
      <c r="AA43" s="203"/>
      <c r="AB43" s="203"/>
      <c r="AC43" s="229"/>
      <c r="AD43" s="204"/>
      <c r="AE43" s="208"/>
      <c r="AF43" s="209"/>
      <c r="AG43" s="209"/>
      <c r="AH43" s="209"/>
      <c r="AI43" s="209"/>
      <c r="AJ43" s="209"/>
      <c r="AK43" s="209"/>
      <c r="AL43" s="209"/>
      <c r="AM43" s="209"/>
      <c r="AN43" s="209"/>
      <c r="AO43" s="209"/>
      <c r="AP43" s="209"/>
      <c r="AQ43" s="209"/>
      <c r="AR43" s="209"/>
      <c r="AS43" s="209"/>
      <c r="AT43" s="209"/>
      <c r="AU43" s="209"/>
      <c r="AV43" s="209"/>
      <c r="AW43" s="209"/>
      <c r="AX43" s="209"/>
      <c r="AY43" s="209"/>
      <c r="AZ43" s="209"/>
      <c r="BA43" s="209"/>
      <c r="BB43" s="212"/>
      <c r="BC43" s="204"/>
      <c r="BD43" s="237"/>
      <c r="BE43" s="238"/>
      <c r="BF43" s="238"/>
      <c r="BG43" s="238"/>
      <c r="BH43" s="238"/>
      <c r="BI43" s="238"/>
      <c r="BJ43" s="238"/>
      <c r="BK43" s="238"/>
      <c r="BL43" s="238"/>
      <c r="BM43" s="238"/>
      <c r="BN43" s="238"/>
      <c r="BO43" s="239"/>
      <c r="BP43" s="238"/>
      <c r="BQ43" s="238"/>
      <c r="BR43" s="238"/>
      <c r="BS43" s="238"/>
      <c r="BT43" s="238"/>
      <c r="BU43" s="238"/>
      <c r="BV43" s="238"/>
      <c r="BW43" s="238"/>
      <c r="BX43" s="238"/>
      <c r="BY43" s="238"/>
      <c r="BZ43" s="238"/>
      <c r="CA43" s="239"/>
      <c r="CB43" s="205"/>
      <c r="CC43" s="200"/>
      <c r="CD43" s="201"/>
      <c r="CO43" s="233"/>
      <c r="CP43" s="233"/>
      <c r="CQ43" s="233"/>
      <c r="CR43" s="233"/>
      <c r="CS43" s="233"/>
      <c r="CT43" s="233"/>
      <c r="CU43" s="233"/>
      <c r="CV43" s="233"/>
      <c r="CW43" s="233"/>
      <c r="CX43" s="233"/>
      <c r="CY43" s="233"/>
      <c r="CZ43" s="233"/>
      <c r="DA43" s="233"/>
      <c r="DB43" s="233"/>
      <c r="DC43" s="233"/>
      <c r="DD43" s="233"/>
      <c r="DE43" s="233"/>
      <c r="DF43" s="233"/>
      <c r="DG43" s="233"/>
      <c r="DH43" s="233"/>
      <c r="DI43" s="233"/>
      <c r="DJ43" s="233"/>
      <c r="DK43" s="233"/>
      <c r="DL43" s="233"/>
      <c r="DM43" s="233"/>
      <c r="DN43" s="233"/>
      <c r="DO43" s="233"/>
      <c r="DP43" s="233"/>
      <c r="DQ43" s="233"/>
      <c r="DR43" s="233"/>
      <c r="DS43" s="233"/>
      <c r="DT43" s="233"/>
      <c r="DU43" s="233"/>
      <c r="DV43" s="233"/>
      <c r="DW43" s="233"/>
      <c r="DX43" s="233"/>
      <c r="DY43" s="233"/>
      <c r="DZ43" s="233"/>
      <c r="EA43" s="233"/>
      <c r="GL43" s="201"/>
      <c r="GM43" s="201"/>
      <c r="GN43" s="201"/>
      <c r="GO43" s="201"/>
      <c r="GP43" s="201"/>
      <c r="GQ43" s="201"/>
      <c r="GR43" s="201"/>
      <c r="GS43" s="201"/>
      <c r="GT43" s="201"/>
      <c r="GU43" s="201"/>
      <c r="GV43" s="201"/>
      <c r="GW43" s="201"/>
      <c r="GX43" s="201"/>
      <c r="GY43" s="201"/>
      <c r="GZ43" s="201"/>
      <c r="HA43" s="201"/>
    </row>
    <row r="44" spans="4:209" ht="10.15" customHeight="1">
      <c r="D44" s="198"/>
      <c r="E44" s="203"/>
      <c r="F44" s="230"/>
      <c r="G44" s="231"/>
      <c r="H44" s="231"/>
      <c r="I44" s="231"/>
      <c r="J44" s="231"/>
      <c r="K44" s="231"/>
      <c r="L44" s="203"/>
      <c r="M44" s="203"/>
      <c r="N44" s="203"/>
      <c r="O44" s="203"/>
      <c r="P44" s="203"/>
      <c r="Q44" s="203"/>
      <c r="R44" s="203"/>
      <c r="S44" s="203"/>
      <c r="T44" s="203"/>
      <c r="U44" s="203"/>
      <c r="V44" s="203"/>
      <c r="W44" s="203"/>
      <c r="X44" s="203"/>
      <c r="Y44" s="203"/>
      <c r="Z44" s="203"/>
      <c r="AA44" s="203"/>
      <c r="AB44" s="203"/>
      <c r="AC44" s="229"/>
      <c r="AD44" s="204"/>
      <c r="AE44" s="208"/>
      <c r="AF44" s="209"/>
      <c r="AG44" s="209"/>
      <c r="AH44" s="209"/>
      <c r="AI44" s="209"/>
      <c r="AJ44" s="209"/>
      <c r="AK44" s="209"/>
      <c r="AL44" s="209"/>
      <c r="AM44" s="209"/>
      <c r="AN44" s="209"/>
      <c r="AO44" s="209"/>
      <c r="AP44" s="209"/>
      <c r="AQ44" s="209"/>
      <c r="AR44" s="209"/>
      <c r="AS44" s="209"/>
      <c r="AT44" s="209"/>
      <c r="AU44" s="209"/>
      <c r="AV44" s="209"/>
      <c r="AW44" s="209"/>
      <c r="AX44" s="209"/>
      <c r="AY44" s="209"/>
      <c r="AZ44" s="209"/>
      <c r="BA44" s="209"/>
      <c r="BB44" s="212"/>
      <c r="BC44" s="204"/>
      <c r="BD44" s="237"/>
      <c r="BE44" s="238"/>
      <c r="BF44" s="238"/>
      <c r="BG44" s="238"/>
      <c r="BH44" s="238"/>
      <c r="BI44" s="238"/>
      <c r="BJ44" s="238"/>
      <c r="BK44" s="238"/>
      <c r="BL44" s="238"/>
      <c r="BM44" s="238"/>
      <c r="BN44" s="238"/>
      <c r="BO44" s="239"/>
      <c r="BP44" s="238"/>
      <c r="BQ44" s="238"/>
      <c r="BR44" s="238"/>
      <c r="BS44" s="238"/>
      <c r="BT44" s="238"/>
      <c r="BU44" s="238"/>
      <c r="BV44" s="238"/>
      <c r="BW44" s="238"/>
      <c r="BX44" s="238"/>
      <c r="BY44" s="238"/>
      <c r="BZ44" s="238"/>
      <c r="CA44" s="239"/>
      <c r="CB44" s="205"/>
      <c r="CC44" s="200"/>
      <c r="CD44" s="201"/>
      <c r="CO44" s="233"/>
      <c r="CP44" s="233"/>
      <c r="CQ44" s="233"/>
      <c r="CR44" s="233"/>
      <c r="CS44" s="233"/>
      <c r="CT44" s="233"/>
      <c r="CU44" s="233"/>
      <c r="CV44" s="233"/>
      <c r="CW44" s="233"/>
      <c r="CX44" s="233"/>
      <c r="CY44" s="233"/>
      <c r="CZ44" s="233"/>
      <c r="DA44" s="233"/>
      <c r="DB44" s="233"/>
      <c r="DC44" s="233"/>
      <c r="DD44" s="233"/>
      <c r="DE44" s="233"/>
      <c r="DF44" s="233"/>
      <c r="DG44" s="233"/>
      <c r="DH44" s="233"/>
      <c r="DI44" s="233"/>
      <c r="DJ44" s="233"/>
      <c r="DK44" s="233"/>
      <c r="DL44" s="233"/>
      <c r="DM44" s="233"/>
      <c r="DN44" s="233"/>
      <c r="DO44" s="233"/>
      <c r="DP44" s="233"/>
      <c r="DQ44" s="233"/>
      <c r="DR44" s="233"/>
      <c r="DS44" s="233"/>
      <c r="DT44" s="233"/>
      <c r="DU44" s="233"/>
      <c r="DV44" s="233"/>
      <c r="DW44" s="233"/>
      <c r="DX44" s="233"/>
      <c r="DY44" s="233"/>
      <c r="DZ44" s="233"/>
      <c r="EA44" s="233"/>
      <c r="GL44" s="201"/>
      <c r="GM44" s="201"/>
      <c r="GN44" s="201"/>
      <c r="GO44" s="201"/>
      <c r="GP44" s="201"/>
      <c r="GQ44" s="201"/>
      <c r="GR44" s="201"/>
      <c r="GS44" s="201"/>
      <c r="GT44" s="201"/>
      <c r="GU44" s="201"/>
      <c r="GV44" s="201"/>
      <c r="GW44" s="201"/>
      <c r="GX44" s="201"/>
      <c r="GY44" s="201"/>
      <c r="GZ44" s="201"/>
      <c r="HA44" s="201"/>
    </row>
    <row r="45" spans="4:209" ht="10.15" customHeight="1">
      <c r="D45" s="198"/>
      <c r="E45" s="203"/>
      <c r="F45" s="228"/>
      <c r="G45" s="203"/>
      <c r="H45" s="203"/>
      <c r="I45" s="203"/>
      <c r="J45" s="203"/>
      <c r="K45" s="203"/>
      <c r="L45" s="203"/>
      <c r="M45" s="203"/>
      <c r="N45" s="203"/>
      <c r="O45" s="203"/>
      <c r="P45" s="203"/>
      <c r="Q45" s="203"/>
      <c r="R45" s="203"/>
      <c r="S45" s="203"/>
      <c r="T45" s="203"/>
      <c r="U45" s="203"/>
      <c r="V45" s="203"/>
      <c r="W45" s="203"/>
      <c r="X45" s="203"/>
      <c r="Y45" s="203"/>
      <c r="Z45" s="203"/>
      <c r="AA45" s="203"/>
      <c r="AB45" s="203"/>
      <c r="AC45" s="229"/>
      <c r="AD45" s="204"/>
      <c r="AE45" s="208"/>
      <c r="AF45" s="209"/>
      <c r="AG45" s="209"/>
      <c r="AH45" s="209"/>
      <c r="AI45" s="209"/>
      <c r="AJ45" s="209"/>
      <c r="AK45" s="209"/>
      <c r="AL45" s="209"/>
      <c r="AM45" s="209"/>
      <c r="AN45" s="209"/>
      <c r="AO45" s="209"/>
      <c r="AP45" s="209"/>
      <c r="AQ45" s="209"/>
      <c r="AR45" s="209"/>
      <c r="AS45" s="209"/>
      <c r="AT45" s="209"/>
      <c r="AU45" s="209"/>
      <c r="AV45" s="209"/>
      <c r="AW45" s="209"/>
      <c r="AX45" s="209"/>
      <c r="AY45" s="209"/>
      <c r="AZ45" s="209"/>
      <c r="BA45" s="209"/>
      <c r="BB45" s="212"/>
      <c r="BC45" s="204"/>
      <c r="BD45" s="237"/>
      <c r="BE45" s="238"/>
      <c r="BF45" s="238"/>
      <c r="BG45" s="238"/>
      <c r="BH45" s="238"/>
      <c r="BI45" s="238"/>
      <c r="BJ45" s="238"/>
      <c r="BK45" s="238"/>
      <c r="BL45" s="238"/>
      <c r="BM45" s="238"/>
      <c r="BN45" s="238"/>
      <c r="BO45" s="239"/>
      <c r="BP45" s="238"/>
      <c r="BQ45" s="238"/>
      <c r="BR45" s="238"/>
      <c r="BS45" s="238"/>
      <c r="BT45" s="238"/>
      <c r="BU45" s="238"/>
      <c r="BV45" s="238"/>
      <c r="BW45" s="238"/>
      <c r="BX45" s="238"/>
      <c r="BY45" s="238"/>
      <c r="BZ45" s="238"/>
      <c r="CA45" s="239"/>
      <c r="CB45" s="205"/>
      <c r="CC45" s="200"/>
      <c r="CD45" s="201"/>
      <c r="CO45" s="233"/>
      <c r="CP45" s="233"/>
      <c r="CQ45" s="233"/>
      <c r="CR45" s="233"/>
      <c r="CS45" s="233"/>
      <c r="CT45" s="233"/>
      <c r="CU45" s="233"/>
      <c r="CV45" s="233"/>
      <c r="CW45" s="233"/>
      <c r="CX45" s="233"/>
      <c r="CY45" s="233"/>
      <c r="CZ45" s="233"/>
      <c r="DA45" s="233"/>
      <c r="DB45" s="233"/>
      <c r="DC45" s="233"/>
      <c r="DD45" s="233"/>
      <c r="DE45" s="233"/>
      <c r="DF45" s="233"/>
      <c r="DG45" s="233"/>
      <c r="DH45" s="233"/>
      <c r="DI45" s="233"/>
      <c r="DJ45" s="233"/>
      <c r="DK45" s="233"/>
      <c r="DL45" s="233"/>
      <c r="DM45" s="233"/>
      <c r="DN45" s="233"/>
      <c r="DO45" s="233"/>
      <c r="DP45" s="233"/>
      <c r="DQ45" s="233"/>
      <c r="DR45" s="233"/>
      <c r="DS45" s="233"/>
      <c r="DT45" s="233"/>
      <c r="DU45" s="233"/>
      <c r="DV45" s="233"/>
      <c r="DW45" s="233"/>
      <c r="DX45" s="233"/>
      <c r="DY45" s="233"/>
      <c r="DZ45" s="233"/>
      <c r="EA45" s="233"/>
      <c r="GL45" s="201"/>
      <c r="GM45" s="201"/>
      <c r="GN45" s="201"/>
      <c r="GO45" s="201"/>
      <c r="GP45" s="201"/>
      <c r="GQ45" s="201"/>
      <c r="GR45" s="201"/>
      <c r="GS45" s="201"/>
      <c r="GT45" s="201"/>
      <c r="GU45" s="201"/>
      <c r="GV45" s="201"/>
      <c r="GW45" s="201"/>
      <c r="GX45" s="201"/>
      <c r="GY45" s="201"/>
      <c r="GZ45" s="201"/>
      <c r="HA45" s="201"/>
    </row>
    <row r="46" spans="4:209" ht="10.15" customHeight="1">
      <c r="D46" s="198"/>
      <c r="E46" s="203"/>
      <c r="F46" s="630" t="s">
        <v>21</v>
      </c>
      <c r="G46" s="631"/>
      <c r="H46" s="631"/>
      <c r="I46" s="631"/>
      <c r="J46" s="631"/>
      <c r="K46" s="631"/>
      <c r="L46" s="631"/>
      <c r="M46" s="631"/>
      <c r="N46" s="631"/>
      <c r="O46" s="631"/>
      <c r="P46" s="631"/>
      <c r="Q46" s="631"/>
      <c r="R46" s="631"/>
      <c r="S46" s="631"/>
      <c r="T46" s="631"/>
      <c r="U46" s="631"/>
      <c r="V46" s="631"/>
      <c r="W46" s="631"/>
      <c r="X46" s="631"/>
      <c r="Y46" s="631"/>
      <c r="Z46" s="631"/>
      <c r="AA46" s="631"/>
      <c r="AB46" s="631"/>
      <c r="AC46" s="632"/>
      <c r="AD46" s="204"/>
      <c r="AE46" s="563" t="s">
        <v>57</v>
      </c>
      <c r="AF46" s="564"/>
      <c r="AG46" s="564"/>
      <c r="AH46" s="564"/>
      <c r="AI46" s="564"/>
      <c r="AJ46" s="564"/>
      <c r="AK46" s="564"/>
      <c r="AL46" s="564"/>
      <c r="AM46" s="564"/>
      <c r="AN46" s="564"/>
      <c r="AO46" s="564"/>
      <c r="AP46" s="564"/>
      <c r="AQ46" s="564"/>
      <c r="AR46" s="564"/>
      <c r="AS46" s="564"/>
      <c r="AT46" s="564"/>
      <c r="AU46" s="564"/>
      <c r="AV46" s="564"/>
      <c r="AW46" s="564"/>
      <c r="AX46" s="564"/>
      <c r="AY46" s="564"/>
      <c r="AZ46" s="564"/>
      <c r="BA46" s="564"/>
      <c r="BB46" s="628"/>
      <c r="BC46" s="204"/>
      <c r="BD46" s="642" t="s">
        <v>100</v>
      </c>
      <c r="BE46" s="643"/>
      <c r="BF46" s="643"/>
      <c r="BG46" s="643"/>
      <c r="BH46" s="643"/>
      <c r="BI46" s="643"/>
      <c r="BJ46" s="643"/>
      <c r="BK46" s="643"/>
      <c r="BL46" s="643"/>
      <c r="BM46" s="643"/>
      <c r="BN46" s="643"/>
      <c r="BO46" s="644"/>
      <c r="BP46" s="648" t="s">
        <v>100</v>
      </c>
      <c r="BQ46" s="649"/>
      <c r="BR46" s="649"/>
      <c r="BS46" s="649"/>
      <c r="BT46" s="649"/>
      <c r="BU46" s="649"/>
      <c r="BV46" s="649"/>
      <c r="BW46" s="649"/>
      <c r="BX46" s="649"/>
      <c r="BY46" s="649"/>
      <c r="BZ46" s="649"/>
      <c r="CA46" s="650"/>
      <c r="CB46" s="205"/>
      <c r="CC46" s="200"/>
      <c r="CD46" s="201"/>
      <c r="CO46" s="233"/>
      <c r="CP46" s="233"/>
      <c r="CQ46" s="233"/>
      <c r="CR46" s="233"/>
      <c r="CS46" s="233"/>
      <c r="CT46" s="233"/>
      <c r="CU46" s="233"/>
      <c r="CV46" s="233"/>
      <c r="CW46" s="233"/>
      <c r="CX46" s="233"/>
      <c r="CY46" s="233"/>
      <c r="CZ46" s="233"/>
      <c r="DA46" s="233"/>
      <c r="DB46" s="233"/>
      <c r="DC46" s="233"/>
      <c r="DD46" s="233"/>
      <c r="DE46" s="233"/>
      <c r="DF46" s="233"/>
      <c r="DG46" s="233"/>
      <c r="DH46" s="233"/>
      <c r="DI46" s="233"/>
      <c r="DJ46" s="233"/>
      <c r="DK46" s="233"/>
      <c r="DL46" s="233"/>
      <c r="DM46" s="233"/>
      <c r="DN46" s="233"/>
      <c r="DO46" s="233"/>
      <c r="DP46" s="233"/>
      <c r="DQ46" s="233"/>
      <c r="DR46" s="233"/>
      <c r="DS46" s="233"/>
      <c r="DT46" s="233"/>
      <c r="DU46" s="233"/>
      <c r="DV46" s="233"/>
      <c r="DW46" s="233"/>
      <c r="DX46" s="233"/>
      <c r="DY46" s="233"/>
      <c r="DZ46" s="233"/>
      <c r="EA46" s="233"/>
      <c r="GL46" s="201"/>
      <c r="GM46" s="201"/>
      <c r="GN46" s="201"/>
      <c r="GO46" s="201"/>
      <c r="GP46" s="201"/>
      <c r="GQ46" s="201"/>
      <c r="GR46" s="201"/>
      <c r="GS46" s="201"/>
      <c r="GT46" s="201"/>
      <c r="GU46" s="201"/>
      <c r="GV46" s="201"/>
      <c r="GW46" s="201"/>
      <c r="GX46" s="201"/>
      <c r="GY46" s="201"/>
      <c r="GZ46" s="201"/>
      <c r="HA46" s="201"/>
    </row>
    <row r="47" spans="4:209" ht="10.15" customHeight="1">
      <c r="D47" s="198"/>
      <c r="E47" s="203"/>
      <c r="F47" s="633"/>
      <c r="G47" s="634"/>
      <c r="H47" s="634"/>
      <c r="I47" s="634"/>
      <c r="J47" s="634"/>
      <c r="K47" s="634"/>
      <c r="L47" s="634"/>
      <c r="M47" s="634"/>
      <c r="N47" s="634"/>
      <c r="O47" s="634"/>
      <c r="P47" s="634"/>
      <c r="Q47" s="634"/>
      <c r="R47" s="634"/>
      <c r="S47" s="634"/>
      <c r="T47" s="634"/>
      <c r="U47" s="634"/>
      <c r="V47" s="634"/>
      <c r="W47" s="634"/>
      <c r="X47" s="634"/>
      <c r="Y47" s="634"/>
      <c r="Z47" s="634"/>
      <c r="AA47" s="634"/>
      <c r="AB47" s="634"/>
      <c r="AC47" s="635"/>
      <c r="AD47" s="204"/>
      <c r="AE47" s="565"/>
      <c r="AF47" s="566"/>
      <c r="AG47" s="566"/>
      <c r="AH47" s="566"/>
      <c r="AI47" s="566"/>
      <c r="AJ47" s="566"/>
      <c r="AK47" s="566"/>
      <c r="AL47" s="566"/>
      <c r="AM47" s="566"/>
      <c r="AN47" s="566"/>
      <c r="AO47" s="566"/>
      <c r="AP47" s="566"/>
      <c r="AQ47" s="566"/>
      <c r="AR47" s="566"/>
      <c r="AS47" s="566"/>
      <c r="AT47" s="566"/>
      <c r="AU47" s="566"/>
      <c r="AV47" s="566"/>
      <c r="AW47" s="566"/>
      <c r="AX47" s="566"/>
      <c r="AY47" s="566"/>
      <c r="AZ47" s="566"/>
      <c r="BA47" s="566"/>
      <c r="BB47" s="629"/>
      <c r="BC47" s="204"/>
      <c r="BD47" s="645"/>
      <c r="BE47" s="646"/>
      <c r="BF47" s="646"/>
      <c r="BG47" s="646"/>
      <c r="BH47" s="646"/>
      <c r="BI47" s="646"/>
      <c r="BJ47" s="646"/>
      <c r="BK47" s="646"/>
      <c r="BL47" s="646"/>
      <c r="BM47" s="646"/>
      <c r="BN47" s="646"/>
      <c r="BO47" s="647"/>
      <c r="BP47" s="651"/>
      <c r="BQ47" s="652"/>
      <c r="BR47" s="652"/>
      <c r="BS47" s="652"/>
      <c r="BT47" s="652"/>
      <c r="BU47" s="652"/>
      <c r="BV47" s="652"/>
      <c r="BW47" s="652"/>
      <c r="BX47" s="652"/>
      <c r="BY47" s="652"/>
      <c r="BZ47" s="652"/>
      <c r="CA47" s="653"/>
      <c r="CB47" s="205"/>
      <c r="CC47" s="200"/>
      <c r="CD47" s="201"/>
      <c r="CO47" s="233"/>
      <c r="CP47" s="233"/>
      <c r="CQ47" s="233"/>
      <c r="CR47" s="233"/>
      <c r="CS47" s="233"/>
      <c r="CT47" s="233"/>
      <c r="CU47" s="233"/>
      <c r="CV47" s="233"/>
      <c r="CW47" s="233"/>
      <c r="CX47" s="233"/>
      <c r="CY47" s="233"/>
      <c r="CZ47" s="233"/>
      <c r="DA47" s="233"/>
      <c r="DB47" s="233"/>
      <c r="DC47" s="233"/>
      <c r="DD47" s="233"/>
      <c r="DE47" s="233"/>
      <c r="DF47" s="233"/>
      <c r="DG47" s="233"/>
      <c r="DH47" s="233"/>
      <c r="DI47" s="233"/>
      <c r="DJ47" s="233"/>
      <c r="DK47" s="233"/>
      <c r="DL47" s="233"/>
      <c r="DM47" s="233"/>
      <c r="DN47" s="233"/>
      <c r="DO47" s="233"/>
      <c r="DP47" s="233"/>
      <c r="DQ47" s="233"/>
      <c r="DR47" s="233"/>
      <c r="DS47" s="233"/>
      <c r="DT47" s="233"/>
      <c r="DU47" s="233"/>
      <c r="DV47" s="233"/>
      <c r="DW47" s="233"/>
      <c r="DX47" s="233"/>
      <c r="DY47" s="233"/>
      <c r="DZ47" s="233"/>
      <c r="EA47" s="233"/>
      <c r="GL47" s="201"/>
      <c r="GM47" s="201"/>
      <c r="GN47" s="201"/>
      <c r="GO47" s="201"/>
      <c r="GP47" s="201"/>
      <c r="GQ47" s="201"/>
      <c r="GR47" s="201"/>
      <c r="GS47" s="201"/>
      <c r="GT47" s="201"/>
      <c r="GU47" s="201"/>
      <c r="GV47" s="201"/>
      <c r="GW47" s="201"/>
      <c r="GX47" s="201"/>
      <c r="GY47" s="201"/>
      <c r="GZ47" s="201"/>
      <c r="HA47" s="201"/>
    </row>
    <row r="48" spans="4:209" ht="10.15" customHeight="1">
      <c r="D48" s="198"/>
      <c r="E48" s="203"/>
      <c r="F48" s="204"/>
      <c r="G48" s="204"/>
      <c r="H48" s="204"/>
      <c r="I48" s="204"/>
      <c r="J48" s="204"/>
      <c r="K48" s="204"/>
      <c r="L48" s="204"/>
      <c r="M48" s="204"/>
      <c r="N48" s="204"/>
      <c r="O48" s="204"/>
      <c r="P48" s="204"/>
      <c r="Q48" s="204"/>
      <c r="R48" s="204"/>
      <c r="S48" s="204"/>
      <c r="T48" s="204"/>
      <c r="U48" s="204"/>
      <c r="V48" s="204"/>
      <c r="W48" s="204"/>
      <c r="X48" s="204"/>
      <c r="Y48" s="204"/>
      <c r="Z48" s="204"/>
      <c r="AA48" s="204"/>
      <c r="AB48" s="204"/>
      <c r="AC48" s="204"/>
      <c r="AD48" s="204"/>
      <c r="AE48" s="209"/>
      <c r="AF48" s="209"/>
      <c r="AG48" s="209"/>
      <c r="AH48" s="209"/>
      <c r="AI48" s="209"/>
      <c r="AJ48" s="209"/>
      <c r="AK48" s="209"/>
      <c r="AL48" s="209"/>
      <c r="AM48" s="209"/>
      <c r="AN48" s="209"/>
      <c r="AO48" s="209"/>
      <c r="AP48" s="209"/>
      <c r="AQ48" s="209"/>
      <c r="AR48" s="209"/>
      <c r="AS48" s="209"/>
      <c r="AT48" s="209"/>
      <c r="AU48" s="209"/>
      <c r="AV48" s="209"/>
      <c r="AW48" s="209"/>
      <c r="AX48" s="209"/>
      <c r="AY48" s="209"/>
      <c r="AZ48" s="209"/>
      <c r="BA48" s="209"/>
      <c r="BB48" s="209"/>
      <c r="BC48" s="204"/>
      <c r="BD48" s="204"/>
      <c r="BE48" s="204"/>
      <c r="BF48" s="204"/>
      <c r="BG48" s="204"/>
      <c r="BH48" s="204"/>
      <c r="BI48" s="204"/>
      <c r="BJ48" s="204"/>
      <c r="BK48" s="204"/>
      <c r="BL48" s="204"/>
      <c r="BM48" s="204"/>
      <c r="BN48" s="204"/>
      <c r="BO48" s="204"/>
      <c r="BP48" s="204"/>
      <c r="BQ48" s="204"/>
      <c r="BR48" s="204"/>
      <c r="BS48" s="204"/>
      <c r="BT48" s="204"/>
      <c r="BU48" s="204"/>
      <c r="BV48" s="204"/>
      <c r="BW48" s="204"/>
      <c r="BX48" s="204"/>
      <c r="BY48" s="204"/>
      <c r="BZ48" s="204"/>
      <c r="CA48" s="204"/>
      <c r="CB48" s="209"/>
      <c r="CC48" s="200"/>
      <c r="CD48" s="201"/>
      <c r="CO48" s="233"/>
      <c r="CP48" s="233"/>
      <c r="CQ48" s="233"/>
      <c r="CR48" s="233"/>
      <c r="CS48" s="233"/>
      <c r="CT48" s="233"/>
      <c r="CU48" s="233"/>
      <c r="CV48" s="233"/>
      <c r="CW48" s="233"/>
      <c r="CX48" s="233"/>
      <c r="CY48" s="233"/>
      <c r="CZ48" s="233"/>
      <c r="DA48" s="233"/>
      <c r="DB48" s="233"/>
      <c r="DC48" s="233"/>
      <c r="DD48" s="233"/>
      <c r="DE48" s="233"/>
      <c r="DF48" s="233"/>
      <c r="DG48" s="233"/>
      <c r="DH48" s="233"/>
      <c r="DI48" s="233"/>
      <c r="DJ48" s="233"/>
      <c r="DK48" s="233"/>
      <c r="DL48" s="233"/>
      <c r="DM48" s="233"/>
      <c r="DN48" s="233"/>
      <c r="DO48" s="233"/>
      <c r="DP48" s="233"/>
      <c r="DQ48" s="233"/>
      <c r="DR48" s="233"/>
      <c r="DS48" s="233"/>
      <c r="DT48" s="233"/>
      <c r="DU48" s="233"/>
      <c r="DV48" s="233"/>
      <c r="DW48" s="233"/>
      <c r="DX48" s="233"/>
      <c r="DY48" s="233"/>
      <c r="DZ48" s="233"/>
      <c r="EA48" s="233"/>
      <c r="GL48" s="201"/>
      <c r="GM48" s="201"/>
      <c r="GN48" s="201"/>
      <c r="GO48" s="201"/>
      <c r="GP48" s="201"/>
      <c r="GQ48" s="201"/>
      <c r="GR48" s="201"/>
      <c r="GS48" s="201"/>
      <c r="GT48" s="201"/>
      <c r="GU48" s="201"/>
      <c r="GV48" s="201"/>
      <c r="GW48" s="201"/>
      <c r="GX48" s="201"/>
      <c r="GY48" s="201"/>
      <c r="GZ48" s="201"/>
      <c r="HA48" s="201"/>
    </row>
    <row r="49" spans="4:209" ht="10.15" customHeight="1">
      <c r="D49" s="198"/>
      <c r="E49" s="203"/>
      <c r="F49" s="240"/>
      <c r="G49" s="617" t="s">
        <v>98</v>
      </c>
      <c r="H49" s="617"/>
      <c r="I49" s="617"/>
      <c r="J49" s="617"/>
      <c r="K49" s="617"/>
      <c r="L49" s="617"/>
      <c r="M49" s="617"/>
      <c r="N49" s="617"/>
      <c r="O49" s="617"/>
      <c r="P49" s="617"/>
      <c r="Q49" s="617"/>
      <c r="R49" s="617"/>
      <c r="S49" s="617"/>
      <c r="T49" s="617"/>
      <c r="U49" s="617"/>
      <c r="V49" s="617"/>
      <c r="W49" s="617"/>
      <c r="X49" s="617"/>
      <c r="Y49" s="617"/>
      <c r="Z49" s="617"/>
      <c r="AA49" s="617"/>
      <c r="AB49" s="617"/>
      <c r="AC49" s="617"/>
      <c r="AD49" s="617"/>
      <c r="AE49" s="619">
        <f>Data!F3</f>
        <v>756</v>
      </c>
      <c r="AF49" s="619"/>
      <c r="AG49" s="619"/>
      <c r="AH49" s="619"/>
      <c r="AI49" s="619"/>
      <c r="AJ49" s="619"/>
      <c r="AK49" s="619"/>
      <c r="AL49" s="619"/>
      <c r="AM49" s="619"/>
      <c r="AN49" s="619"/>
      <c r="AO49" s="619"/>
      <c r="AP49" s="619"/>
      <c r="AQ49" s="619"/>
      <c r="AR49" s="619"/>
      <c r="AS49" s="241"/>
      <c r="AT49" s="241"/>
      <c r="AU49" s="241"/>
      <c r="AV49" s="241"/>
      <c r="AW49" s="241"/>
      <c r="AX49" s="241"/>
      <c r="AY49" s="241"/>
      <c r="AZ49" s="241"/>
      <c r="BA49" s="241"/>
      <c r="BB49" s="241"/>
      <c r="BC49" s="241"/>
      <c r="BD49" s="241"/>
      <c r="BE49" s="241"/>
      <c r="BF49" s="241"/>
      <c r="BG49" s="241"/>
      <c r="BH49" s="242"/>
      <c r="BI49" s="242"/>
      <c r="BJ49" s="242"/>
      <c r="BK49" s="242"/>
      <c r="BL49" s="242"/>
      <c r="BM49" s="242"/>
      <c r="BN49" s="242"/>
      <c r="BO49" s="242"/>
      <c r="BP49" s="242"/>
      <c r="BQ49" s="242"/>
      <c r="BR49" s="242"/>
      <c r="BS49" s="242"/>
      <c r="BT49" s="242"/>
      <c r="BU49" s="242"/>
      <c r="BV49" s="242"/>
      <c r="BW49" s="242"/>
      <c r="BX49" s="242"/>
      <c r="BY49" s="242"/>
      <c r="BZ49" s="242"/>
      <c r="CA49" s="243"/>
      <c r="CB49" s="244"/>
      <c r="CC49" s="200"/>
      <c r="CD49" s="245"/>
      <c r="CO49" s="233"/>
      <c r="CP49" s="233"/>
      <c r="CQ49" s="233"/>
      <c r="CR49" s="233"/>
      <c r="CS49" s="233"/>
      <c r="CT49" s="233"/>
      <c r="CU49" s="233"/>
      <c r="CV49" s="233"/>
      <c r="CW49" s="233"/>
      <c r="CX49" s="233"/>
      <c r="CY49" s="233"/>
      <c r="CZ49" s="233"/>
      <c r="DA49" s="233"/>
      <c r="DB49" s="233"/>
      <c r="DC49" s="233"/>
      <c r="DD49" s="233"/>
      <c r="DE49" s="233"/>
      <c r="DF49" s="233"/>
      <c r="DG49" s="233"/>
      <c r="DH49" s="233"/>
      <c r="DI49" s="233"/>
      <c r="DJ49" s="233"/>
      <c r="DK49" s="233"/>
      <c r="DL49" s="233"/>
      <c r="DM49" s="233"/>
      <c r="DN49" s="233"/>
      <c r="DO49" s="233"/>
      <c r="DP49" s="233"/>
      <c r="DQ49" s="233"/>
      <c r="DR49" s="233"/>
      <c r="DS49" s="233"/>
      <c r="DT49" s="233"/>
      <c r="DU49" s="233"/>
      <c r="DV49" s="233"/>
      <c r="DW49" s="233"/>
      <c r="DX49" s="233"/>
      <c r="DY49" s="233"/>
      <c r="DZ49" s="233"/>
      <c r="EA49" s="233"/>
      <c r="GL49" s="201"/>
      <c r="GM49" s="201"/>
      <c r="GN49" s="201"/>
      <c r="GO49" s="201"/>
      <c r="GP49" s="201"/>
      <c r="GQ49" s="201"/>
      <c r="GR49" s="201"/>
      <c r="GS49" s="201"/>
      <c r="GT49" s="201"/>
      <c r="GU49" s="201"/>
      <c r="GV49" s="201"/>
      <c r="GW49" s="201"/>
      <c r="GX49" s="201"/>
      <c r="GY49" s="201"/>
      <c r="GZ49" s="201"/>
      <c r="HA49" s="201"/>
    </row>
    <row r="50" spans="4:209" ht="10.15" customHeight="1">
      <c r="D50" s="198"/>
      <c r="E50" s="203"/>
      <c r="F50" s="246"/>
      <c r="G50" s="618"/>
      <c r="H50" s="618"/>
      <c r="I50" s="618"/>
      <c r="J50" s="618"/>
      <c r="K50" s="618"/>
      <c r="L50" s="618"/>
      <c r="M50" s="618"/>
      <c r="N50" s="618"/>
      <c r="O50" s="618"/>
      <c r="P50" s="618"/>
      <c r="Q50" s="618"/>
      <c r="R50" s="618"/>
      <c r="S50" s="618"/>
      <c r="T50" s="618"/>
      <c r="U50" s="618"/>
      <c r="V50" s="618"/>
      <c r="W50" s="618"/>
      <c r="X50" s="618"/>
      <c r="Y50" s="618"/>
      <c r="Z50" s="618"/>
      <c r="AA50" s="618"/>
      <c r="AB50" s="618"/>
      <c r="AC50" s="618"/>
      <c r="AD50" s="618"/>
      <c r="AE50" s="619"/>
      <c r="AF50" s="619"/>
      <c r="AG50" s="619"/>
      <c r="AH50" s="619"/>
      <c r="AI50" s="619"/>
      <c r="AJ50" s="619"/>
      <c r="AK50" s="619"/>
      <c r="AL50" s="619"/>
      <c r="AM50" s="619"/>
      <c r="AN50" s="619"/>
      <c r="AO50" s="619"/>
      <c r="AP50" s="619"/>
      <c r="AQ50" s="619"/>
      <c r="AR50" s="619"/>
      <c r="AS50" s="241"/>
      <c r="AT50" s="241"/>
      <c r="AU50" s="241"/>
      <c r="AV50" s="241"/>
      <c r="AW50" s="241"/>
      <c r="AX50" s="241"/>
      <c r="AY50" s="241"/>
      <c r="AZ50" s="241"/>
      <c r="BA50" s="241"/>
      <c r="BB50" s="241"/>
      <c r="BC50" s="241"/>
      <c r="BD50" s="241"/>
      <c r="BE50" s="241"/>
      <c r="BF50" s="241"/>
      <c r="BG50" s="241"/>
      <c r="BH50" s="241"/>
      <c r="BI50" s="241"/>
      <c r="BJ50" s="241"/>
      <c r="BK50" s="241"/>
      <c r="BL50" s="241"/>
      <c r="BM50" s="241"/>
      <c r="BN50" s="241"/>
      <c r="BO50" s="241"/>
      <c r="BP50" s="241"/>
      <c r="BQ50" s="241"/>
      <c r="BR50" s="241"/>
      <c r="BS50" s="241"/>
      <c r="BT50" s="241"/>
      <c r="BU50" s="241"/>
      <c r="BV50" s="241"/>
      <c r="BW50" s="241"/>
      <c r="BX50" s="241"/>
      <c r="BY50" s="241"/>
      <c r="BZ50" s="241"/>
      <c r="CA50" s="247"/>
      <c r="CB50" s="244"/>
      <c r="CC50" s="200"/>
      <c r="CD50" s="245"/>
      <c r="CO50" s="233"/>
      <c r="CP50" s="233"/>
      <c r="CQ50" s="233"/>
      <c r="CR50" s="233"/>
      <c r="CS50" s="233"/>
      <c r="CT50" s="233"/>
      <c r="CU50" s="233"/>
      <c r="CV50" s="233"/>
      <c r="CW50" s="233"/>
      <c r="CX50" s="233"/>
      <c r="CY50" s="233"/>
      <c r="CZ50" s="233"/>
      <c r="DA50" s="233"/>
      <c r="DB50" s="233"/>
      <c r="DC50" s="233"/>
      <c r="DD50" s="233"/>
      <c r="DE50" s="233"/>
      <c r="DF50" s="233"/>
      <c r="DG50" s="233"/>
      <c r="DH50" s="233"/>
      <c r="DI50" s="233"/>
      <c r="DJ50" s="233"/>
      <c r="DK50" s="233"/>
      <c r="DL50" s="233"/>
      <c r="DM50" s="233"/>
      <c r="DN50" s="233"/>
      <c r="DO50" s="233"/>
      <c r="DP50" s="233"/>
      <c r="DQ50" s="233"/>
      <c r="DR50" s="233"/>
      <c r="DS50" s="233"/>
      <c r="DT50" s="233"/>
      <c r="DU50" s="233"/>
      <c r="DV50" s="233"/>
      <c r="DW50" s="233"/>
      <c r="DX50" s="233"/>
      <c r="DY50" s="233"/>
      <c r="DZ50" s="233"/>
      <c r="EA50" s="233"/>
      <c r="GL50" s="201"/>
      <c r="GM50" s="201"/>
      <c r="GN50" s="201"/>
      <c r="GO50" s="201"/>
      <c r="GP50" s="201"/>
      <c r="GQ50" s="201"/>
      <c r="GR50" s="201"/>
      <c r="GS50" s="201"/>
      <c r="GT50" s="201"/>
      <c r="GU50" s="201"/>
      <c r="GV50" s="201"/>
      <c r="GW50" s="201"/>
      <c r="GX50" s="201"/>
      <c r="GY50" s="201"/>
      <c r="GZ50" s="201"/>
      <c r="HA50" s="201"/>
    </row>
    <row r="51" spans="4:209" ht="10.15" customHeight="1">
      <c r="D51" s="198"/>
      <c r="E51" s="203"/>
      <c r="F51" s="208"/>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c r="AG51" s="203"/>
      <c r="AH51" s="203"/>
      <c r="AI51" s="203"/>
      <c r="AJ51" s="203"/>
      <c r="AK51" s="203"/>
      <c r="AL51" s="203"/>
      <c r="AM51" s="248"/>
      <c r="AN51" s="203"/>
      <c r="AO51" s="203"/>
      <c r="AP51" s="203"/>
      <c r="AQ51" s="203"/>
      <c r="AR51" s="203"/>
      <c r="AS51" s="203"/>
      <c r="AT51" s="203"/>
      <c r="AU51" s="203"/>
      <c r="AV51" s="203"/>
      <c r="AW51" s="203"/>
      <c r="AX51" s="203"/>
      <c r="AY51" s="203"/>
      <c r="AZ51" s="203"/>
      <c r="BA51" s="203"/>
      <c r="BB51" s="203"/>
      <c r="BC51" s="203"/>
      <c r="BD51" s="203"/>
      <c r="BE51" s="203"/>
      <c r="BF51" s="203"/>
      <c r="BG51" s="203"/>
      <c r="BH51" s="203"/>
      <c r="BI51" s="203"/>
      <c r="BJ51" s="203"/>
      <c r="BK51" s="203"/>
      <c r="BL51" s="203"/>
      <c r="BM51" s="203"/>
      <c r="BN51" s="203"/>
      <c r="BO51" s="203"/>
      <c r="BP51" s="203"/>
      <c r="BQ51" s="203"/>
      <c r="BR51" s="203"/>
      <c r="BS51" s="203"/>
      <c r="BT51" s="203"/>
      <c r="BU51" s="203"/>
      <c r="BV51" s="203"/>
      <c r="BW51" s="203"/>
      <c r="BX51" s="203"/>
      <c r="BY51" s="203"/>
      <c r="BZ51" s="203"/>
      <c r="CA51" s="212"/>
      <c r="CB51" s="205"/>
      <c r="CC51" s="200"/>
      <c r="CD51" s="245"/>
      <c r="CO51" s="233"/>
      <c r="CP51" s="233"/>
      <c r="CQ51" s="233"/>
      <c r="CR51" s="233"/>
      <c r="CS51" s="233"/>
      <c r="CT51" s="233"/>
      <c r="CU51" s="233"/>
      <c r="CV51" s="233"/>
      <c r="CW51" s="233"/>
      <c r="CX51" s="233"/>
      <c r="CY51" s="233"/>
      <c r="CZ51" s="233"/>
      <c r="DA51" s="233"/>
      <c r="DB51" s="233"/>
      <c r="DC51" s="233"/>
      <c r="DD51" s="233"/>
      <c r="DE51" s="233"/>
      <c r="DF51" s="233"/>
      <c r="DG51" s="233"/>
      <c r="DH51" s="233"/>
      <c r="DI51" s="233"/>
      <c r="DJ51" s="233"/>
      <c r="DK51" s="233"/>
      <c r="DL51" s="233"/>
      <c r="DM51" s="233"/>
      <c r="DN51" s="233"/>
      <c r="DO51" s="233"/>
      <c r="DP51" s="233"/>
      <c r="DQ51" s="233"/>
      <c r="DR51" s="233"/>
      <c r="DS51" s="233"/>
      <c r="DT51" s="233"/>
      <c r="DU51" s="233"/>
      <c r="DV51" s="233"/>
      <c r="DW51" s="233"/>
      <c r="DX51" s="233"/>
      <c r="DY51" s="233"/>
      <c r="DZ51" s="233"/>
      <c r="EA51" s="233"/>
      <c r="GL51" s="201"/>
      <c r="GM51" s="201"/>
      <c r="GN51" s="201"/>
      <c r="GO51" s="201"/>
      <c r="GP51" s="201"/>
      <c r="GQ51" s="201"/>
      <c r="GR51" s="201"/>
      <c r="GS51" s="201"/>
      <c r="GT51" s="201"/>
      <c r="GU51" s="201"/>
      <c r="GV51" s="201"/>
      <c r="GW51" s="201"/>
      <c r="GX51" s="201"/>
      <c r="GY51" s="201"/>
      <c r="GZ51" s="201"/>
      <c r="HA51" s="201"/>
    </row>
    <row r="52" spans="4:209" ht="10.15" customHeight="1">
      <c r="D52" s="198"/>
      <c r="E52" s="203"/>
      <c r="F52" s="208"/>
      <c r="G52" s="221"/>
      <c r="H52" s="222"/>
      <c r="I52" s="222"/>
      <c r="J52" s="222"/>
      <c r="K52" s="222"/>
      <c r="L52" s="222"/>
      <c r="M52" s="222"/>
      <c r="N52" s="222"/>
      <c r="O52" s="222"/>
      <c r="P52" s="222"/>
      <c r="Q52" s="222"/>
      <c r="R52" s="222"/>
      <c r="S52" s="222"/>
      <c r="T52" s="222"/>
      <c r="U52" s="222"/>
      <c r="V52" s="222"/>
      <c r="W52" s="222"/>
      <c r="X52" s="222"/>
      <c r="Y52" s="222"/>
      <c r="Z52" s="222"/>
      <c r="AA52" s="222"/>
      <c r="AB52" s="222"/>
      <c r="AC52" s="224"/>
      <c r="AD52" s="203"/>
      <c r="AE52" s="203"/>
      <c r="AF52" s="203"/>
      <c r="AG52" s="203"/>
      <c r="AH52" s="203"/>
      <c r="AI52" s="203"/>
      <c r="AJ52" s="203"/>
      <c r="AK52" s="203"/>
      <c r="AL52" s="203"/>
      <c r="AM52" s="203"/>
      <c r="AN52" s="203"/>
      <c r="AO52" s="203"/>
      <c r="AP52" s="203"/>
      <c r="AQ52" s="203"/>
      <c r="AR52" s="203"/>
      <c r="AS52" s="203"/>
      <c r="AT52" s="203"/>
      <c r="AU52" s="203"/>
      <c r="AV52" s="203"/>
      <c r="AW52" s="203"/>
      <c r="AX52" s="203"/>
      <c r="AY52" s="203"/>
      <c r="AZ52" s="203"/>
      <c r="BA52" s="203"/>
      <c r="BB52" s="203"/>
      <c r="BC52" s="203"/>
      <c r="BD52" s="203"/>
      <c r="BE52" s="203"/>
      <c r="BF52" s="203"/>
      <c r="BG52" s="203"/>
      <c r="BH52" s="203"/>
      <c r="BI52" s="203"/>
      <c r="BJ52" s="203"/>
      <c r="BK52" s="203"/>
      <c r="BL52" s="203"/>
      <c r="BM52" s="203"/>
      <c r="BN52" s="203"/>
      <c r="BO52" s="203"/>
      <c r="BP52" s="203"/>
      <c r="BQ52" s="203"/>
      <c r="BR52" s="203"/>
      <c r="BS52" s="203"/>
      <c r="BT52" s="203"/>
      <c r="BU52" s="203"/>
      <c r="BV52" s="203"/>
      <c r="BW52" s="203"/>
      <c r="BX52" s="203"/>
      <c r="BY52" s="203"/>
      <c r="BZ52" s="203"/>
      <c r="CA52" s="212"/>
      <c r="CB52" s="205"/>
      <c r="CC52" s="200"/>
      <c r="CD52" s="245"/>
      <c r="CO52" s="233"/>
      <c r="CP52" s="233"/>
      <c r="CQ52" s="233"/>
      <c r="CR52" s="233"/>
      <c r="CS52" s="233"/>
      <c r="CT52" s="233"/>
      <c r="CU52" s="233"/>
      <c r="CV52" s="233"/>
      <c r="CW52" s="233"/>
      <c r="CX52" s="233"/>
      <c r="CY52" s="233"/>
      <c r="CZ52" s="233"/>
      <c r="DA52" s="233"/>
      <c r="DB52" s="233"/>
      <c r="DC52" s="233"/>
      <c r="DD52" s="233"/>
      <c r="DE52" s="233"/>
      <c r="DF52" s="233"/>
      <c r="DG52" s="233"/>
      <c r="DH52" s="233"/>
      <c r="DI52" s="233"/>
      <c r="DJ52" s="233"/>
      <c r="DK52" s="233"/>
      <c r="DL52" s="233"/>
      <c r="DM52" s="233"/>
      <c r="DN52" s="233"/>
      <c r="DO52" s="233"/>
      <c r="DP52" s="233"/>
      <c r="DQ52" s="233"/>
      <c r="DR52" s="233"/>
      <c r="DS52" s="233"/>
      <c r="DT52" s="233"/>
      <c r="DU52" s="233"/>
      <c r="DV52" s="233"/>
      <c r="DW52" s="233"/>
      <c r="DX52" s="233"/>
      <c r="DY52" s="233"/>
      <c r="DZ52" s="233"/>
      <c r="EA52" s="233"/>
      <c r="GL52" s="201"/>
      <c r="GM52" s="201"/>
      <c r="GN52" s="201"/>
      <c r="GO52" s="201"/>
      <c r="GP52" s="201"/>
      <c r="GQ52" s="201"/>
      <c r="GR52" s="201"/>
      <c r="GS52" s="201"/>
      <c r="GT52" s="201"/>
      <c r="GU52" s="201"/>
      <c r="GV52" s="201"/>
      <c r="GW52" s="201"/>
      <c r="GX52" s="201"/>
      <c r="GY52" s="201"/>
      <c r="GZ52" s="201"/>
      <c r="HA52" s="201"/>
    </row>
    <row r="53" spans="4:209" ht="10.15" customHeight="1">
      <c r="D53" s="198"/>
      <c r="E53" s="203"/>
      <c r="F53" s="208"/>
      <c r="G53" s="228"/>
      <c r="H53" s="203"/>
      <c r="I53" s="203"/>
      <c r="J53" s="203"/>
      <c r="K53" s="203"/>
      <c r="L53" s="203"/>
      <c r="M53" s="203"/>
      <c r="N53" s="203"/>
      <c r="O53" s="203"/>
      <c r="P53" s="203"/>
      <c r="Q53" s="203"/>
      <c r="R53" s="203"/>
      <c r="S53" s="203"/>
      <c r="T53" s="203"/>
      <c r="U53" s="203"/>
      <c r="V53" s="203"/>
      <c r="W53" s="203"/>
      <c r="X53" s="203"/>
      <c r="Y53" s="203"/>
      <c r="Z53" s="203"/>
      <c r="AA53" s="203"/>
      <c r="AB53" s="203"/>
      <c r="AC53" s="229"/>
      <c r="AD53" s="203"/>
      <c r="AE53" s="203"/>
      <c r="AF53" s="203"/>
      <c r="AG53" s="203"/>
      <c r="AH53" s="203"/>
      <c r="AI53" s="203"/>
      <c r="AJ53" s="203"/>
      <c r="AK53" s="203"/>
      <c r="AL53" s="203"/>
      <c r="AM53" s="203"/>
      <c r="AN53" s="203"/>
      <c r="AO53" s="203"/>
      <c r="AP53" s="203"/>
      <c r="AQ53" s="203"/>
      <c r="AR53" s="203"/>
      <c r="AS53" s="203"/>
      <c r="AT53" s="203"/>
      <c r="AU53" s="203"/>
      <c r="AV53" s="203"/>
      <c r="AW53" s="203"/>
      <c r="AX53" s="203"/>
      <c r="AY53" s="203"/>
      <c r="AZ53" s="203"/>
      <c r="BA53" s="203"/>
      <c r="BB53" s="203"/>
      <c r="BC53" s="203"/>
      <c r="BD53" s="203"/>
      <c r="BE53" s="203"/>
      <c r="BF53" s="203"/>
      <c r="BG53" s="203"/>
      <c r="BH53" s="203"/>
      <c r="BI53" s="203"/>
      <c r="BJ53" s="203"/>
      <c r="BK53" s="203"/>
      <c r="BL53" s="203"/>
      <c r="BM53" s="203"/>
      <c r="BN53" s="203"/>
      <c r="BO53" s="203"/>
      <c r="BP53" s="203"/>
      <c r="BQ53" s="203"/>
      <c r="BR53" s="203"/>
      <c r="BS53" s="203"/>
      <c r="BT53" s="203"/>
      <c r="BU53" s="203"/>
      <c r="BV53" s="203"/>
      <c r="BW53" s="203"/>
      <c r="BX53" s="203"/>
      <c r="BY53" s="203"/>
      <c r="BZ53" s="203"/>
      <c r="CA53" s="212"/>
      <c r="CB53" s="205"/>
      <c r="CC53" s="200"/>
      <c r="CD53" s="245"/>
      <c r="CO53" s="233"/>
      <c r="CP53" s="233"/>
      <c r="CQ53" s="233"/>
      <c r="CR53" s="233"/>
      <c r="CS53" s="233"/>
      <c r="CT53" s="233"/>
      <c r="CU53" s="233"/>
      <c r="CV53" s="233"/>
      <c r="CW53" s="233"/>
      <c r="CX53" s="233"/>
      <c r="CY53" s="233"/>
      <c r="CZ53" s="233"/>
      <c r="DA53" s="233"/>
      <c r="DB53" s="233"/>
      <c r="DC53" s="233"/>
      <c r="DD53" s="233"/>
      <c r="DE53" s="233"/>
      <c r="DF53" s="233"/>
      <c r="DG53" s="233"/>
      <c r="DH53" s="233"/>
      <c r="DI53" s="233"/>
      <c r="DJ53" s="233"/>
      <c r="DK53" s="233"/>
      <c r="DL53" s="233"/>
      <c r="DM53" s="233"/>
      <c r="DN53" s="233"/>
      <c r="DO53" s="233"/>
      <c r="DP53" s="233"/>
      <c r="DQ53" s="233"/>
      <c r="DR53" s="233"/>
      <c r="DS53" s="233"/>
      <c r="DT53" s="233"/>
      <c r="DU53" s="233"/>
      <c r="DV53" s="233"/>
      <c r="DW53" s="233"/>
      <c r="DX53" s="233"/>
      <c r="DY53" s="233"/>
      <c r="DZ53" s="233"/>
      <c r="EA53" s="233"/>
      <c r="GL53" s="201"/>
      <c r="GM53" s="201"/>
      <c r="GN53" s="201"/>
      <c r="GO53" s="201"/>
      <c r="GP53" s="201"/>
      <c r="GQ53" s="201"/>
      <c r="GR53" s="201"/>
      <c r="GS53" s="201"/>
      <c r="GT53" s="201"/>
      <c r="GU53" s="201"/>
      <c r="GV53" s="201"/>
      <c r="GW53" s="201"/>
      <c r="GX53" s="201"/>
      <c r="GY53" s="201"/>
      <c r="GZ53" s="201"/>
      <c r="HA53" s="201"/>
    </row>
    <row r="54" spans="4:209" ht="10.15" customHeight="1">
      <c r="D54" s="198"/>
      <c r="E54" s="203"/>
      <c r="F54" s="208"/>
      <c r="G54" s="228"/>
      <c r="H54" s="203"/>
      <c r="I54" s="203"/>
      <c r="J54" s="203"/>
      <c r="K54" s="203"/>
      <c r="L54" s="203"/>
      <c r="M54" s="203"/>
      <c r="N54" s="203"/>
      <c r="O54" s="203"/>
      <c r="P54" s="203"/>
      <c r="Q54" s="203"/>
      <c r="R54" s="203"/>
      <c r="S54" s="203"/>
      <c r="T54" s="203"/>
      <c r="U54" s="203"/>
      <c r="V54" s="203"/>
      <c r="W54" s="203"/>
      <c r="X54" s="203"/>
      <c r="Y54" s="203"/>
      <c r="Z54" s="203"/>
      <c r="AA54" s="203"/>
      <c r="AB54" s="203"/>
      <c r="AC54" s="229"/>
      <c r="AD54" s="203"/>
      <c r="AE54" s="203"/>
      <c r="AF54" s="203"/>
      <c r="AG54" s="203"/>
      <c r="AH54" s="203"/>
      <c r="AI54" s="203"/>
      <c r="AJ54" s="203"/>
      <c r="AK54" s="203"/>
      <c r="AL54" s="203"/>
      <c r="AM54" s="203"/>
      <c r="AN54" s="203"/>
      <c r="AO54" s="203"/>
      <c r="AP54" s="203"/>
      <c r="AQ54" s="203"/>
      <c r="AR54" s="203"/>
      <c r="AS54" s="203"/>
      <c r="AT54" s="203"/>
      <c r="AU54" s="203"/>
      <c r="AV54" s="203"/>
      <c r="AW54" s="203"/>
      <c r="AX54" s="203"/>
      <c r="AY54" s="203"/>
      <c r="AZ54" s="203"/>
      <c r="BA54" s="203"/>
      <c r="BB54" s="203"/>
      <c r="BC54" s="203"/>
      <c r="BD54" s="203"/>
      <c r="BE54" s="203"/>
      <c r="BF54" s="203"/>
      <c r="BG54" s="203"/>
      <c r="BH54" s="203"/>
      <c r="BI54" s="203"/>
      <c r="BJ54" s="203"/>
      <c r="BK54" s="203"/>
      <c r="BL54" s="203"/>
      <c r="BM54" s="203"/>
      <c r="BN54" s="203"/>
      <c r="BO54" s="203"/>
      <c r="BP54" s="203"/>
      <c r="BQ54" s="203"/>
      <c r="BR54" s="203"/>
      <c r="BS54" s="203"/>
      <c r="BT54" s="203"/>
      <c r="BU54" s="203"/>
      <c r="BV54" s="203"/>
      <c r="BW54" s="203"/>
      <c r="BX54" s="203"/>
      <c r="BY54" s="203"/>
      <c r="BZ54" s="203"/>
      <c r="CA54" s="212"/>
      <c r="CB54" s="205"/>
      <c r="CC54" s="200"/>
      <c r="CD54" s="245"/>
      <c r="GL54" s="201"/>
      <c r="GM54" s="201"/>
      <c r="GN54" s="201"/>
      <c r="GO54" s="201"/>
      <c r="GP54" s="201"/>
      <c r="GQ54" s="201"/>
      <c r="GR54" s="201"/>
      <c r="GS54" s="201"/>
      <c r="GT54" s="201"/>
      <c r="GU54" s="201"/>
      <c r="GV54" s="201"/>
      <c r="GW54" s="201"/>
      <c r="GX54" s="201"/>
      <c r="GY54" s="201"/>
      <c r="GZ54" s="201"/>
      <c r="HA54" s="201"/>
    </row>
    <row r="55" spans="4:209" ht="10.15" customHeight="1">
      <c r="D55" s="198"/>
      <c r="E55" s="203"/>
      <c r="F55" s="208"/>
      <c r="G55" s="228"/>
      <c r="H55" s="203"/>
      <c r="I55" s="203"/>
      <c r="J55" s="203"/>
      <c r="K55" s="203"/>
      <c r="L55" s="203"/>
      <c r="M55" s="203"/>
      <c r="N55" s="203"/>
      <c r="O55" s="203"/>
      <c r="P55" s="203"/>
      <c r="Q55" s="203"/>
      <c r="R55" s="203"/>
      <c r="S55" s="203"/>
      <c r="T55" s="203"/>
      <c r="U55" s="203"/>
      <c r="V55" s="203"/>
      <c r="W55" s="203"/>
      <c r="X55" s="203"/>
      <c r="Y55" s="203"/>
      <c r="Z55" s="203"/>
      <c r="AA55" s="203"/>
      <c r="AB55" s="203"/>
      <c r="AC55" s="229"/>
      <c r="AD55" s="203"/>
      <c r="AE55" s="203"/>
      <c r="AF55" s="203"/>
      <c r="AG55" s="203"/>
      <c r="AH55" s="203"/>
      <c r="AI55" s="203"/>
      <c r="AJ55" s="203"/>
      <c r="AK55" s="203"/>
      <c r="AL55" s="203"/>
      <c r="AM55" s="203"/>
      <c r="AN55" s="203"/>
      <c r="AO55" s="203"/>
      <c r="AP55" s="203"/>
      <c r="AQ55" s="203"/>
      <c r="AR55" s="203"/>
      <c r="AS55" s="203"/>
      <c r="AT55" s="203"/>
      <c r="AU55" s="203"/>
      <c r="AV55" s="203"/>
      <c r="AW55" s="203"/>
      <c r="AX55" s="203"/>
      <c r="AY55" s="203"/>
      <c r="AZ55" s="203"/>
      <c r="BA55" s="203"/>
      <c r="BB55" s="203"/>
      <c r="BC55" s="203"/>
      <c r="BD55" s="203"/>
      <c r="BE55" s="203"/>
      <c r="BF55" s="203"/>
      <c r="BG55" s="203"/>
      <c r="BH55" s="203"/>
      <c r="BI55" s="203"/>
      <c r="BJ55" s="203"/>
      <c r="BK55" s="203"/>
      <c r="BL55" s="203"/>
      <c r="BM55" s="203"/>
      <c r="BN55" s="203"/>
      <c r="BO55" s="203"/>
      <c r="BP55" s="203"/>
      <c r="BQ55" s="203"/>
      <c r="BR55" s="203"/>
      <c r="BS55" s="203"/>
      <c r="BT55" s="203"/>
      <c r="BU55" s="203"/>
      <c r="BV55" s="203"/>
      <c r="BW55" s="203"/>
      <c r="BX55" s="203"/>
      <c r="BY55" s="203"/>
      <c r="BZ55" s="203"/>
      <c r="CA55" s="212"/>
      <c r="CB55" s="205"/>
      <c r="CC55" s="200"/>
      <c r="CD55" s="245"/>
      <c r="GL55" s="201"/>
      <c r="GM55" s="201"/>
      <c r="GN55" s="201"/>
      <c r="GO55" s="201"/>
      <c r="GP55" s="201"/>
      <c r="GQ55" s="201"/>
      <c r="GR55" s="201"/>
      <c r="GS55" s="201"/>
      <c r="GT55" s="201"/>
      <c r="GU55" s="201"/>
      <c r="GV55" s="201"/>
      <c r="GW55" s="201"/>
      <c r="GX55" s="201"/>
      <c r="GY55" s="201"/>
      <c r="GZ55" s="201"/>
      <c r="HA55" s="201"/>
    </row>
    <row r="56" spans="4:209" ht="10.15" customHeight="1">
      <c r="D56" s="198"/>
      <c r="E56" s="203"/>
      <c r="F56" s="208"/>
      <c r="G56" s="228"/>
      <c r="H56" s="203"/>
      <c r="I56" s="203"/>
      <c r="J56" s="203"/>
      <c r="K56" s="203"/>
      <c r="L56" s="203"/>
      <c r="M56" s="203"/>
      <c r="N56" s="203"/>
      <c r="O56" s="203"/>
      <c r="P56" s="203"/>
      <c r="Q56" s="203"/>
      <c r="R56" s="203"/>
      <c r="S56" s="203"/>
      <c r="T56" s="203"/>
      <c r="U56" s="203"/>
      <c r="V56" s="203"/>
      <c r="W56" s="203"/>
      <c r="X56" s="203"/>
      <c r="Y56" s="203"/>
      <c r="Z56" s="203"/>
      <c r="AA56" s="203"/>
      <c r="AB56" s="203"/>
      <c r="AC56" s="229"/>
      <c r="AD56" s="203"/>
      <c r="AE56" s="203"/>
      <c r="AF56" s="203"/>
      <c r="AG56" s="203"/>
      <c r="AH56" s="203"/>
      <c r="AI56" s="203"/>
      <c r="AJ56" s="203"/>
      <c r="AK56" s="203"/>
      <c r="AL56" s="203"/>
      <c r="AM56" s="203"/>
      <c r="AN56" s="203"/>
      <c r="AO56" s="203"/>
      <c r="AP56" s="203"/>
      <c r="AQ56" s="203"/>
      <c r="AR56" s="203"/>
      <c r="AS56" s="203"/>
      <c r="AT56" s="203"/>
      <c r="AU56" s="203"/>
      <c r="AV56" s="203"/>
      <c r="AW56" s="203"/>
      <c r="AX56" s="203"/>
      <c r="AY56" s="203"/>
      <c r="AZ56" s="203"/>
      <c r="BA56" s="203"/>
      <c r="BB56" s="203"/>
      <c r="BC56" s="203"/>
      <c r="BD56" s="203"/>
      <c r="BE56" s="203"/>
      <c r="BF56" s="203"/>
      <c r="BG56" s="203"/>
      <c r="BH56" s="203"/>
      <c r="BI56" s="203"/>
      <c r="BJ56" s="203"/>
      <c r="BK56" s="203"/>
      <c r="BL56" s="203"/>
      <c r="BM56" s="203"/>
      <c r="BN56" s="203"/>
      <c r="BO56" s="203"/>
      <c r="BP56" s="203"/>
      <c r="BQ56" s="203"/>
      <c r="BR56" s="203"/>
      <c r="BS56" s="203"/>
      <c r="BT56" s="203"/>
      <c r="BU56" s="203"/>
      <c r="BV56" s="203"/>
      <c r="BW56" s="203"/>
      <c r="BX56" s="203"/>
      <c r="BY56" s="203"/>
      <c r="BZ56" s="203"/>
      <c r="CA56" s="212"/>
      <c r="CB56" s="205"/>
      <c r="CC56" s="200"/>
      <c r="CD56" s="245"/>
      <c r="GL56" s="201"/>
      <c r="GM56" s="201"/>
      <c r="GN56" s="201"/>
      <c r="GO56" s="201"/>
      <c r="GP56" s="201"/>
      <c r="GQ56" s="201"/>
      <c r="GR56" s="201"/>
      <c r="GS56" s="201"/>
      <c r="GT56" s="201"/>
      <c r="GU56" s="201"/>
      <c r="GV56" s="201"/>
      <c r="GW56" s="201"/>
      <c r="GX56" s="201"/>
      <c r="GY56" s="201"/>
      <c r="GZ56" s="201"/>
      <c r="HA56" s="201"/>
    </row>
    <row r="57" spans="4:209" ht="10.15" customHeight="1">
      <c r="D57" s="198"/>
      <c r="E57" s="203"/>
      <c r="F57" s="208"/>
      <c r="G57" s="228"/>
      <c r="H57" s="203"/>
      <c r="I57" s="203"/>
      <c r="J57" s="203"/>
      <c r="K57" s="203"/>
      <c r="L57" s="203"/>
      <c r="M57" s="203"/>
      <c r="N57" s="203"/>
      <c r="O57" s="203"/>
      <c r="P57" s="203"/>
      <c r="Q57" s="203"/>
      <c r="R57" s="203"/>
      <c r="S57" s="203"/>
      <c r="T57" s="203"/>
      <c r="U57" s="203"/>
      <c r="V57" s="203"/>
      <c r="W57" s="203"/>
      <c r="X57" s="203"/>
      <c r="Y57" s="203"/>
      <c r="Z57" s="203"/>
      <c r="AA57" s="203"/>
      <c r="AB57" s="203"/>
      <c r="AC57" s="229"/>
      <c r="AD57" s="203"/>
      <c r="AE57" s="203"/>
      <c r="AF57" s="203"/>
      <c r="AG57" s="203"/>
      <c r="AH57" s="203"/>
      <c r="AI57" s="203"/>
      <c r="AJ57" s="203"/>
      <c r="AK57" s="203"/>
      <c r="AL57" s="203"/>
      <c r="AM57" s="203"/>
      <c r="AN57" s="203"/>
      <c r="AO57" s="203"/>
      <c r="AP57" s="203"/>
      <c r="AQ57" s="203"/>
      <c r="AR57" s="203"/>
      <c r="AS57" s="203"/>
      <c r="AT57" s="203"/>
      <c r="AU57" s="203"/>
      <c r="AV57" s="203"/>
      <c r="AW57" s="203"/>
      <c r="AX57" s="203"/>
      <c r="AY57" s="203"/>
      <c r="AZ57" s="203"/>
      <c r="BA57" s="203"/>
      <c r="BB57" s="203"/>
      <c r="BC57" s="203"/>
      <c r="BD57" s="203"/>
      <c r="BE57" s="203"/>
      <c r="BF57" s="203"/>
      <c r="BG57" s="203"/>
      <c r="BH57" s="203"/>
      <c r="BI57" s="203"/>
      <c r="BJ57" s="203"/>
      <c r="BK57" s="203"/>
      <c r="BL57" s="203"/>
      <c r="BM57" s="203"/>
      <c r="BN57" s="203"/>
      <c r="BO57" s="203"/>
      <c r="BP57" s="203"/>
      <c r="BQ57" s="203"/>
      <c r="BR57" s="203"/>
      <c r="BS57" s="203"/>
      <c r="BT57" s="203"/>
      <c r="BU57" s="203"/>
      <c r="BV57" s="203"/>
      <c r="BW57" s="203"/>
      <c r="BX57" s="203"/>
      <c r="BY57" s="203"/>
      <c r="BZ57" s="203"/>
      <c r="CA57" s="212"/>
      <c r="CB57" s="205"/>
      <c r="CC57" s="200"/>
      <c r="CD57" s="245"/>
      <c r="GL57" s="201"/>
      <c r="GM57" s="201"/>
      <c r="GN57" s="201"/>
      <c r="GO57" s="201"/>
      <c r="GP57" s="201"/>
      <c r="GQ57" s="201"/>
      <c r="GR57" s="201"/>
      <c r="GS57" s="201"/>
      <c r="GT57" s="201"/>
      <c r="GU57" s="201"/>
      <c r="GV57" s="201"/>
      <c r="GW57" s="201"/>
      <c r="GX57" s="201"/>
      <c r="GY57" s="201"/>
      <c r="GZ57" s="201"/>
      <c r="HA57" s="201"/>
    </row>
    <row r="58" spans="4:209" ht="10.15" customHeight="1">
      <c r="D58" s="198"/>
      <c r="E58" s="203"/>
      <c r="F58" s="208"/>
      <c r="G58" s="228"/>
      <c r="H58" s="203"/>
      <c r="I58" s="203"/>
      <c r="J58" s="203"/>
      <c r="K58" s="203"/>
      <c r="L58" s="203"/>
      <c r="M58" s="203"/>
      <c r="N58" s="203"/>
      <c r="O58" s="203"/>
      <c r="P58" s="203"/>
      <c r="Q58" s="203"/>
      <c r="R58" s="203"/>
      <c r="S58" s="203"/>
      <c r="T58" s="203"/>
      <c r="U58" s="203"/>
      <c r="V58" s="203"/>
      <c r="W58" s="203"/>
      <c r="X58" s="203"/>
      <c r="Y58" s="203"/>
      <c r="Z58" s="203"/>
      <c r="AA58" s="203"/>
      <c r="AB58" s="203"/>
      <c r="AC58" s="229"/>
      <c r="AD58" s="203"/>
      <c r="AE58" s="203"/>
      <c r="AF58" s="203"/>
      <c r="AG58" s="203"/>
      <c r="AH58" s="203"/>
      <c r="AI58" s="203"/>
      <c r="AJ58" s="203"/>
      <c r="AK58" s="203"/>
      <c r="AL58" s="203"/>
      <c r="AM58" s="203"/>
      <c r="AN58" s="203"/>
      <c r="AO58" s="203"/>
      <c r="AP58" s="203"/>
      <c r="AQ58" s="203"/>
      <c r="AR58" s="203"/>
      <c r="AS58" s="203"/>
      <c r="AT58" s="203"/>
      <c r="AU58" s="203"/>
      <c r="AV58" s="203"/>
      <c r="AW58" s="203"/>
      <c r="AX58" s="203"/>
      <c r="AY58" s="203"/>
      <c r="AZ58" s="203"/>
      <c r="BA58" s="203"/>
      <c r="BB58" s="203"/>
      <c r="BC58" s="203"/>
      <c r="BD58" s="203"/>
      <c r="BE58" s="203"/>
      <c r="BF58" s="203"/>
      <c r="BG58" s="203"/>
      <c r="BH58" s="203"/>
      <c r="BI58" s="203"/>
      <c r="BJ58" s="203"/>
      <c r="BK58" s="203"/>
      <c r="BL58" s="203"/>
      <c r="BM58" s="203"/>
      <c r="BN58" s="203"/>
      <c r="BO58" s="203"/>
      <c r="BP58" s="203"/>
      <c r="BQ58" s="203"/>
      <c r="BR58" s="203"/>
      <c r="BS58" s="203"/>
      <c r="BT58" s="203"/>
      <c r="BU58" s="203"/>
      <c r="BV58" s="203"/>
      <c r="BW58" s="203"/>
      <c r="BX58" s="203"/>
      <c r="BY58" s="203"/>
      <c r="BZ58" s="203"/>
      <c r="CA58" s="212"/>
      <c r="CB58" s="205"/>
      <c r="CC58" s="200"/>
      <c r="CD58" s="245"/>
      <c r="GL58" s="201"/>
      <c r="GM58" s="201"/>
      <c r="GN58" s="201"/>
      <c r="GO58" s="201"/>
      <c r="GP58" s="201"/>
      <c r="GQ58" s="201"/>
      <c r="GR58" s="201"/>
      <c r="GS58" s="201"/>
      <c r="GT58" s="201"/>
      <c r="GU58" s="201"/>
      <c r="GV58" s="201"/>
      <c r="GW58" s="201"/>
      <c r="GX58" s="201"/>
      <c r="GY58" s="201"/>
      <c r="GZ58" s="201"/>
      <c r="HA58" s="201"/>
    </row>
    <row r="59" spans="4:209" ht="10.15" customHeight="1">
      <c r="D59" s="198"/>
      <c r="E59" s="203"/>
      <c r="F59" s="208"/>
      <c r="G59" s="228"/>
      <c r="H59" s="203"/>
      <c r="I59" s="203"/>
      <c r="J59" s="203"/>
      <c r="K59" s="203"/>
      <c r="L59" s="203"/>
      <c r="M59" s="203"/>
      <c r="N59" s="203"/>
      <c r="O59" s="203"/>
      <c r="P59" s="203"/>
      <c r="Q59" s="203"/>
      <c r="R59" s="203"/>
      <c r="S59" s="203"/>
      <c r="T59" s="203"/>
      <c r="U59" s="203"/>
      <c r="V59" s="203"/>
      <c r="W59" s="203"/>
      <c r="X59" s="203"/>
      <c r="Y59" s="203"/>
      <c r="Z59" s="203"/>
      <c r="AA59" s="203"/>
      <c r="AB59" s="203"/>
      <c r="AC59" s="229"/>
      <c r="AD59" s="203"/>
      <c r="AE59" s="203"/>
      <c r="AF59" s="203"/>
      <c r="AG59" s="203"/>
      <c r="AH59" s="203"/>
      <c r="AI59" s="203"/>
      <c r="AJ59" s="203"/>
      <c r="AK59" s="203"/>
      <c r="AL59" s="203"/>
      <c r="AM59" s="203"/>
      <c r="AN59" s="203"/>
      <c r="AO59" s="203"/>
      <c r="AP59" s="203"/>
      <c r="AQ59" s="203"/>
      <c r="AR59" s="203"/>
      <c r="AS59" s="203"/>
      <c r="AT59" s="203"/>
      <c r="AU59" s="203"/>
      <c r="AV59" s="203"/>
      <c r="AW59" s="203"/>
      <c r="AX59" s="203"/>
      <c r="AY59" s="203"/>
      <c r="AZ59" s="203"/>
      <c r="BA59" s="203"/>
      <c r="BB59" s="203"/>
      <c r="BC59" s="203"/>
      <c r="BD59" s="203"/>
      <c r="BE59" s="203"/>
      <c r="BF59" s="203"/>
      <c r="BG59" s="203"/>
      <c r="BH59" s="203"/>
      <c r="BI59" s="203"/>
      <c r="BJ59" s="203"/>
      <c r="BK59" s="203"/>
      <c r="BL59" s="203"/>
      <c r="BM59" s="203"/>
      <c r="BN59" s="203"/>
      <c r="BO59" s="203"/>
      <c r="BP59" s="203"/>
      <c r="BQ59" s="203"/>
      <c r="BR59" s="203"/>
      <c r="BS59" s="203"/>
      <c r="BT59" s="203"/>
      <c r="BU59" s="203"/>
      <c r="BV59" s="203"/>
      <c r="BW59" s="203"/>
      <c r="BX59" s="203"/>
      <c r="BY59" s="203"/>
      <c r="BZ59" s="203"/>
      <c r="CA59" s="212"/>
      <c r="CB59" s="205"/>
      <c r="CC59" s="200"/>
      <c r="CD59" s="245"/>
      <c r="GL59" s="201"/>
      <c r="GM59" s="201"/>
      <c r="GN59" s="201"/>
      <c r="GO59" s="201"/>
      <c r="GP59" s="201"/>
      <c r="GQ59" s="201"/>
      <c r="GR59" s="201"/>
      <c r="GS59" s="201"/>
      <c r="GT59" s="201"/>
      <c r="GU59" s="201"/>
      <c r="GV59" s="201"/>
      <c r="GW59" s="201"/>
      <c r="GX59" s="201"/>
      <c r="GY59" s="201"/>
      <c r="GZ59" s="201"/>
      <c r="HA59" s="201"/>
    </row>
    <row r="60" spans="4:209" ht="10.15" customHeight="1">
      <c r="D60" s="198"/>
      <c r="E60" s="203"/>
      <c r="F60" s="208"/>
      <c r="G60" s="228"/>
      <c r="H60" s="203"/>
      <c r="I60" s="203"/>
      <c r="J60" s="203"/>
      <c r="K60" s="203"/>
      <c r="L60" s="203"/>
      <c r="M60" s="203"/>
      <c r="N60" s="203"/>
      <c r="O60" s="203"/>
      <c r="P60" s="203"/>
      <c r="Q60" s="203"/>
      <c r="R60" s="203"/>
      <c r="S60" s="203"/>
      <c r="T60" s="203"/>
      <c r="U60" s="203"/>
      <c r="V60" s="203"/>
      <c r="W60" s="203"/>
      <c r="X60" s="203"/>
      <c r="Y60" s="203"/>
      <c r="Z60" s="203"/>
      <c r="AA60" s="203"/>
      <c r="AB60" s="203"/>
      <c r="AC60" s="229"/>
      <c r="AD60" s="203"/>
      <c r="AE60" s="203"/>
      <c r="AF60" s="203"/>
      <c r="AG60" s="203"/>
      <c r="AH60" s="203"/>
      <c r="AI60" s="203"/>
      <c r="AJ60" s="203"/>
      <c r="AK60" s="203"/>
      <c r="AL60" s="203"/>
      <c r="AM60" s="203"/>
      <c r="AN60" s="203"/>
      <c r="AO60" s="203"/>
      <c r="AP60" s="203"/>
      <c r="AQ60" s="203"/>
      <c r="AR60" s="203"/>
      <c r="AS60" s="203"/>
      <c r="AT60" s="203"/>
      <c r="AU60" s="203"/>
      <c r="AV60" s="203"/>
      <c r="AW60" s="203"/>
      <c r="AX60" s="203"/>
      <c r="AY60" s="203"/>
      <c r="AZ60" s="203"/>
      <c r="BA60" s="203"/>
      <c r="BB60" s="203"/>
      <c r="BC60" s="203"/>
      <c r="BD60" s="203"/>
      <c r="BE60" s="203"/>
      <c r="BF60" s="203"/>
      <c r="BG60" s="203"/>
      <c r="BH60" s="203"/>
      <c r="BI60" s="203"/>
      <c r="BJ60" s="203"/>
      <c r="BK60" s="203"/>
      <c r="BL60" s="203"/>
      <c r="BM60" s="203"/>
      <c r="BN60" s="203"/>
      <c r="BO60" s="203"/>
      <c r="BP60" s="203"/>
      <c r="BQ60" s="203"/>
      <c r="BR60" s="203"/>
      <c r="BS60" s="203"/>
      <c r="BT60" s="203"/>
      <c r="BU60" s="203"/>
      <c r="BV60" s="203"/>
      <c r="BW60" s="203"/>
      <c r="BX60" s="203"/>
      <c r="BY60" s="203"/>
      <c r="BZ60" s="203"/>
      <c r="CA60" s="212"/>
      <c r="CB60" s="205"/>
      <c r="CC60" s="200"/>
      <c r="CD60" s="245"/>
      <c r="GL60" s="201"/>
      <c r="GM60" s="201"/>
      <c r="GN60" s="201"/>
      <c r="GO60" s="201"/>
      <c r="GP60" s="201"/>
      <c r="GQ60" s="201"/>
      <c r="GR60" s="201"/>
      <c r="GS60" s="201"/>
      <c r="GT60" s="201"/>
      <c r="GU60" s="201"/>
      <c r="GV60" s="201"/>
      <c r="GW60" s="201"/>
      <c r="GX60" s="201"/>
      <c r="GY60" s="201"/>
      <c r="GZ60" s="201"/>
      <c r="HA60" s="201"/>
    </row>
    <row r="61" spans="4:209" ht="10.15" customHeight="1">
      <c r="D61" s="198"/>
      <c r="E61" s="203"/>
      <c r="F61" s="208"/>
      <c r="G61" s="228"/>
      <c r="H61" s="203"/>
      <c r="I61" s="203"/>
      <c r="J61" s="203"/>
      <c r="K61" s="203"/>
      <c r="L61" s="203"/>
      <c r="M61" s="203"/>
      <c r="N61" s="203"/>
      <c r="O61" s="203"/>
      <c r="P61" s="203"/>
      <c r="Q61" s="203"/>
      <c r="R61" s="203"/>
      <c r="S61" s="203"/>
      <c r="T61" s="203"/>
      <c r="U61" s="203"/>
      <c r="V61" s="203"/>
      <c r="W61" s="203"/>
      <c r="X61" s="203"/>
      <c r="Y61" s="203"/>
      <c r="Z61" s="203"/>
      <c r="AA61" s="203"/>
      <c r="AB61" s="203"/>
      <c r="AC61" s="229"/>
      <c r="AD61" s="203"/>
      <c r="AE61" s="203"/>
      <c r="AF61" s="203"/>
      <c r="AG61" s="203"/>
      <c r="AH61" s="203"/>
      <c r="AI61" s="203"/>
      <c r="AJ61" s="203"/>
      <c r="AK61" s="203"/>
      <c r="AL61" s="203"/>
      <c r="AM61" s="203"/>
      <c r="AN61" s="203"/>
      <c r="AO61" s="203"/>
      <c r="AP61" s="203"/>
      <c r="AQ61" s="203"/>
      <c r="AR61" s="203"/>
      <c r="AS61" s="203"/>
      <c r="AT61" s="203"/>
      <c r="AU61" s="203"/>
      <c r="AV61" s="203"/>
      <c r="AW61" s="203"/>
      <c r="AX61" s="203"/>
      <c r="AY61" s="203"/>
      <c r="AZ61" s="203"/>
      <c r="BA61" s="203"/>
      <c r="BB61" s="203"/>
      <c r="BC61" s="203"/>
      <c r="BD61" s="203"/>
      <c r="BE61" s="203"/>
      <c r="BF61" s="203"/>
      <c r="BG61" s="203"/>
      <c r="BH61" s="203"/>
      <c r="BI61" s="203"/>
      <c r="BJ61" s="203"/>
      <c r="BK61" s="203"/>
      <c r="BL61" s="203"/>
      <c r="BM61" s="203"/>
      <c r="BN61" s="203"/>
      <c r="BO61" s="203"/>
      <c r="BP61" s="203"/>
      <c r="BQ61" s="203"/>
      <c r="BR61" s="203"/>
      <c r="BS61" s="203"/>
      <c r="BT61" s="203"/>
      <c r="BU61" s="203"/>
      <c r="BV61" s="203"/>
      <c r="BW61" s="203"/>
      <c r="BX61" s="203"/>
      <c r="BY61" s="203"/>
      <c r="BZ61" s="203"/>
      <c r="CA61" s="212"/>
      <c r="CB61" s="205"/>
      <c r="CC61" s="200"/>
      <c r="CD61" s="245"/>
      <c r="GL61" s="201"/>
      <c r="GM61" s="201"/>
      <c r="GN61" s="201"/>
      <c r="GO61" s="201"/>
      <c r="GP61" s="201"/>
      <c r="GQ61" s="201"/>
      <c r="GR61" s="201"/>
      <c r="GS61" s="201"/>
      <c r="GT61" s="201"/>
      <c r="GU61" s="201"/>
      <c r="GV61" s="201"/>
      <c r="GW61" s="201"/>
      <c r="GX61" s="201"/>
      <c r="GY61" s="201"/>
      <c r="GZ61" s="201"/>
      <c r="HA61" s="201"/>
    </row>
    <row r="62" spans="4:209" ht="10.15" customHeight="1">
      <c r="D62" s="198"/>
      <c r="E62" s="203"/>
      <c r="F62" s="208"/>
      <c r="G62" s="228"/>
      <c r="H62" s="203"/>
      <c r="I62" s="203"/>
      <c r="J62" s="203"/>
      <c r="K62" s="203"/>
      <c r="L62" s="203"/>
      <c r="M62" s="203"/>
      <c r="N62" s="203"/>
      <c r="O62" s="203"/>
      <c r="P62" s="203"/>
      <c r="Q62" s="203"/>
      <c r="R62" s="203"/>
      <c r="S62" s="203"/>
      <c r="T62" s="203"/>
      <c r="U62" s="203"/>
      <c r="V62" s="203"/>
      <c r="W62" s="203"/>
      <c r="X62" s="203"/>
      <c r="Y62" s="203"/>
      <c r="Z62" s="203"/>
      <c r="AA62" s="203"/>
      <c r="AB62" s="203"/>
      <c r="AC62" s="229"/>
      <c r="AD62" s="203"/>
      <c r="AE62" s="203"/>
      <c r="AF62" s="203"/>
      <c r="AG62" s="203"/>
      <c r="AH62" s="203"/>
      <c r="AI62" s="203"/>
      <c r="AJ62" s="203"/>
      <c r="AK62" s="203"/>
      <c r="AL62" s="203"/>
      <c r="AM62" s="203"/>
      <c r="AN62" s="203"/>
      <c r="AO62" s="203"/>
      <c r="AP62" s="203"/>
      <c r="AQ62" s="203"/>
      <c r="AR62" s="203"/>
      <c r="AS62" s="203"/>
      <c r="AT62" s="203"/>
      <c r="AU62" s="203"/>
      <c r="AV62" s="203"/>
      <c r="AW62" s="203"/>
      <c r="AX62" s="203"/>
      <c r="AY62" s="203"/>
      <c r="AZ62" s="203"/>
      <c r="BA62" s="203"/>
      <c r="BB62" s="203"/>
      <c r="BC62" s="203"/>
      <c r="BD62" s="203"/>
      <c r="BE62" s="203"/>
      <c r="BF62" s="203"/>
      <c r="BG62" s="203"/>
      <c r="BH62" s="203"/>
      <c r="BI62" s="203"/>
      <c r="BJ62" s="203"/>
      <c r="BK62" s="203"/>
      <c r="BL62" s="203"/>
      <c r="BM62" s="203"/>
      <c r="BN62" s="203"/>
      <c r="BO62" s="203"/>
      <c r="BP62" s="203"/>
      <c r="BQ62" s="203"/>
      <c r="BR62" s="203"/>
      <c r="BS62" s="203"/>
      <c r="BT62" s="203"/>
      <c r="BU62" s="203"/>
      <c r="BV62" s="203"/>
      <c r="BW62" s="203"/>
      <c r="BX62" s="203"/>
      <c r="BY62" s="203"/>
      <c r="BZ62" s="203"/>
      <c r="CA62" s="212"/>
      <c r="CB62" s="205"/>
      <c r="CC62" s="200"/>
      <c r="CD62" s="245"/>
      <c r="GL62" s="201"/>
      <c r="GM62" s="201"/>
      <c r="GN62" s="201"/>
      <c r="GO62" s="201"/>
      <c r="GP62" s="201"/>
      <c r="GQ62" s="201"/>
      <c r="GR62" s="201"/>
      <c r="GS62" s="201"/>
      <c r="GT62" s="201"/>
      <c r="GU62" s="201"/>
      <c r="GV62" s="201"/>
      <c r="GW62" s="201"/>
      <c r="GX62" s="201"/>
      <c r="GY62" s="201"/>
      <c r="GZ62" s="201"/>
      <c r="HA62" s="201"/>
    </row>
    <row r="63" spans="4:209" ht="10.15" customHeight="1">
      <c r="D63" s="198"/>
      <c r="E63" s="203"/>
      <c r="F63" s="208"/>
      <c r="G63" s="228"/>
      <c r="H63" s="203"/>
      <c r="I63" s="203"/>
      <c r="J63" s="203"/>
      <c r="K63" s="203"/>
      <c r="L63" s="203"/>
      <c r="M63" s="203"/>
      <c r="N63" s="203"/>
      <c r="O63" s="203"/>
      <c r="P63" s="203"/>
      <c r="Q63" s="203"/>
      <c r="R63" s="203"/>
      <c r="S63" s="203"/>
      <c r="T63" s="203"/>
      <c r="U63" s="203"/>
      <c r="V63" s="203"/>
      <c r="W63" s="203"/>
      <c r="X63" s="203"/>
      <c r="Y63" s="203"/>
      <c r="Z63" s="203"/>
      <c r="AA63" s="203"/>
      <c r="AB63" s="203"/>
      <c r="AC63" s="229"/>
      <c r="AD63" s="203"/>
      <c r="AE63" s="203"/>
      <c r="AF63" s="203"/>
      <c r="AG63" s="203"/>
      <c r="AH63" s="203"/>
      <c r="AI63" s="203"/>
      <c r="AJ63" s="203"/>
      <c r="AK63" s="203"/>
      <c r="AL63" s="203"/>
      <c r="AM63" s="203"/>
      <c r="AN63" s="203"/>
      <c r="AO63" s="203"/>
      <c r="AP63" s="203"/>
      <c r="AQ63" s="203"/>
      <c r="AR63" s="203"/>
      <c r="AS63" s="203"/>
      <c r="AT63" s="203"/>
      <c r="AU63" s="203"/>
      <c r="AV63" s="203"/>
      <c r="AW63" s="203"/>
      <c r="AX63" s="203"/>
      <c r="AY63" s="203"/>
      <c r="AZ63" s="203"/>
      <c r="BA63" s="203"/>
      <c r="BB63" s="203"/>
      <c r="BC63" s="203"/>
      <c r="BD63" s="203"/>
      <c r="BE63" s="203"/>
      <c r="BF63" s="203"/>
      <c r="BG63" s="203"/>
      <c r="BH63" s="203"/>
      <c r="BI63" s="203"/>
      <c r="BJ63" s="203"/>
      <c r="BK63" s="203"/>
      <c r="BL63" s="203"/>
      <c r="BM63" s="203"/>
      <c r="BN63" s="203"/>
      <c r="BO63" s="203"/>
      <c r="BP63" s="203"/>
      <c r="BQ63" s="203"/>
      <c r="BR63" s="203"/>
      <c r="BS63" s="203"/>
      <c r="BT63" s="203"/>
      <c r="BU63" s="203"/>
      <c r="BV63" s="203"/>
      <c r="BW63" s="203"/>
      <c r="BX63" s="203"/>
      <c r="BY63" s="203"/>
      <c r="BZ63" s="203"/>
      <c r="CA63" s="212"/>
      <c r="CB63" s="205"/>
      <c r="CC63" s="200"/>
      <c r="CD63" s="245"/>
      <c r="GL63" s="201"/>
      <c r="GM63" s="201"/>
      <c r="GN63" s="201"/>
      <c r="GO63" s="201"/>
      <c r="GP63" s="201"/>
      <c r="GQ63" s="201"/>
      <c r="GR63" s="201"/>
      <c r="GS63" s="201"/>
      <c r="GT63" s="201"/>
      <c r="GU63" s="201"/>
      <c r="GV63" s="201"/>
      <c r="GW63" s="201"/>
      <c r="GX63" s="201"/>
      <c r="GY63" s="201"/>
      <c r="GZ63" s="201"/>
      <c r="HA63" s="201"/>
    </row>
    <row r="64" spans="4:209" ht="10.15" customHeight="1">
      <c r="D64" s="198"/>
      <c r="E64" s="203"/>
      <c r="F64" s="208"/>
      <c r="G64" s="228"/>
      <c r="H64" s="203"/>
      <c r="I64" s="203"/>
      <c r="J64" s="203"/>
      <c r="K64" s="203"/>
      <c r="L64" s="203"/>
      <c r="M64" s="203"/>
      <c r="N64" s="203"/>
      <c r="O64" s="203"/>
      <c r="P64" s="203"/>
      <c r="Q64" s="203"/>
      <c r="R64" s="203"/>
      <c r="S64" s="203"/>
      <c r="T64" s="203"/>
      <c r="U64" s="203"/>
      <c r="V64" s="203"/>
      <c r="W64" s="203"/>
      <c r="X64" s="203"/>
      <c r="Y64" s="203"/>
      <c r="Z64" s="203"/>
      <c r="AA64" s="203"/>
      <c r="AB64" s="203"/>
      <c r="AC64" s="229"/>
      <c r="AD64" s="203"/>
      <c r="AE64" s="203"/>
      <c r="AF64" s="203"/>
      <c r="AG64" s="203"/>
      <c r="AH64" s="203"/>
      <c r="AI64" s="203"/>
      <c r="AJ64" s="203"/>
      <c r="AK64" s="203"/>
      <c r="AL64" s="203"/>
      <c r="AM64" s="203"/>
      <c r="AN64" s="203"/>
      <c r="AO64" s="203"/>
      <c r="AP64" s="203"/>
      <c r="AQ64" s="203"/>
      <c r="AR64" s="203"/>
      <c r="AS64" s="203"/>
      <c r="AT64" s="203"/>
      <c r="AU64" s="203"/>
      <c r="AV64" s="203"/>
      <c r="AW64" s="203"/>
      <c r="AX64" s="203"/>
      <c r="AY64" s="203"/>
      <c r="AZ64" s="203"/>
      <c r="BA64" s="203"/>
      <c r="BB64" s="203"/>
      <c r="BC64" s="203"/>
      <c r="BD64" s="203"/>
      <c r="BE64" s="203"/>
      <c r="BF64" s="203"/>
      <c r="BG64" s="203"/>
      <c r="BH64" s="203"/>
      <c r="BI64" s="203"/>
      <c r="BJ64" s="203"/>
      <c r="BK64" s="203"/>
      <c r="BL64" s="203"/>
      <c r="BM64" s="203"/>
      <c r="BN64" s="203"/>
      <c r="BO64" s="203"/>
      <c r="BP64" s="203"/>
      <c r="BQ64" s="203"/>
      <c r="BR64" s="203"/>
      <c r="BS64" s="203"/>
      <c r="BT64" s="203"/>
      <c r="BU64" s="203"/>
      <c r="BV64" s="203"/>
      <c r="BW64" s="203"/>
      <c r="BX64" s="203"/>
      <c r="BY64" s="203"/>
      <c r="BZ64" s="203"/>
      <c r="CA64" s="212"/>
      <c r="CB64" s="205"/>
      <c r="CC64" s="200"/>
      <c r="CD64" s="245"/>
      <c r="GL64" s="201"/>
      <c r="GM64" s="201"/>
      <c r="GN64" s="201"/>
      <c r="GO64" s="201"/>
      <c r="GP64" s="201"/>
      <c r="GQ64" s="201"/>
      <c r="GR64" s="201"/>
      <c r="GS64" s="201"/>
      <c r="GT64" s="201"/>
      <c r="GU64" s="201"/>
      <c r="GV64" s="201"/>
      <c r="GW64" s="201"/>
      <c r="GX64" s="201"/>
      <c r="GY64" s="201"/>
      <c r="GZ64" s="201"/>
      <c r="HA64" s="201"/>
    </row>
    <row r="65" spans="4:209" ht="10.15" customHeight="1">
      <c r="D65" s="198"/>
      <c r="E65" s="203"/>
      <c r="F65" s="208"/>
      <c r="G65" s="228"/>
      <c r="H65" s="203"/>
      <c r="I65" s="203"/>
      <c r="J65" s="203"/>
      <c r="K65" s="203"/>
      <c r="L65" s="203"/>
      <c r="M65" s="203"/>
      <c r="N65" s="203"/>
      <c r="O65" s="203"/>
      <c r="P65" s="203"/>
      <c r="Q65" s="203"/>
      <c r="R65" s="203"/>
      <c r="S65" s="203"/>
      <c r="T65" s="203"/>
      <c r="U65" s="203"/>
      <c r="V65" s="203"/>
      <c r="W65" s="203"/>
      <c r="X65" s="203"/>
      <c r="Y65" s="203"/>
      <c r="Z65" s="203"/>
      <c r="AA65" s="203"/>
      <c r="AB65" s="203"/>
      <c r="AC65" s="229"/>
      <c r="AD65" s="203"/>
      <c r="AE65" s="203"/>
      <c r="AF65" s="203"/>
      <c r="AG65" s="203"/>
      <c r="AH65" s="203"/>
      <c r="AI65" s="203"/>
      <c r="AJ65" s="203"/>
      <c r="AK65" s="203"/>
      <c r="AL65" s="203"/>
      <c r="AM65" s="203"/>
      <c r="AN65" s="203"/>
      <c r="AO65" s="203"/>
      <c r="AP65" s="203"/>
      <c r="AQ65" s="203"/>
      <c r="AR65" s="203"/>
      <c r="AS65" s="203"/>
      <c r="AT65" s="203"/>
      <c r="AU65" s="203"/>
      <c r="AV65" s="203"/>
      <c r="AW65" s="203"/>
      <c r="AX65" s="203"/>
      <c r="AY65" s="203"/>
      <c r="AZ65" s="203"/>
      <c r="BA65" s="203"/>
      <c r="BB65" s="203"/>
      <c r="BC65" s="203"/>
      <c r="BD65" s="203"/>
      <c r="BE65" s="203"/>
      <c r="BF65" s="203"/>
      <c r="BG65" s="203"/>
      <c r="BH65" s="203"/>
      <c r="BI65" s="203"/>
      <c r="BJ65" s="203"/>
      <c r="BK65" s="203"/>
      <c r="BL65" s="203"/>
      <c r="BM65" s="203"/>
      <c r="BN65" s="203"/>
      <c r="BO65" s="203"/>
      <c r="BP65" s="203"/>
      <c r="BQ65" s="203"/>
      <c r="BR65" s="203"/>
      <c r="BS65" s="203"/>
      <c r="BT65" s="203"/>
      <c r="BU65" s="203"/>
      <c r="BV65" s="203"/>
      <c r="BW65" s="203"/>
      <c r="BX65" s="203"/>
      <c r="BY65" s="203"/>
      <c r="BZ65" s="203"/>
      <c r="CA65" s="212"/>
      <c r="CB65" s="205"/>
      <c r="CC65" s="200"/>
      <c r="CD65" s="245"/>
      <c r="GL65" s="201"/>
      <c r="GM65" s="201"/>
      <c r="GN65" s="201"/>
      <c r="GO65" s="201"/>
      <c r="GP65" s="201"/>
      <c r="GQ65" s="201"/>
      <c r="GR65" s="201"/>
      <c r="GS65" s="201"/>
      <c r="GT65" s="201"/>
      <c r="GU65" s="201"/>
      <c r="GV65" s="201"/>
      <c r="GW65" s="201"/>
      <c r="GX65" s="201"/>
      <c r="GY65" s="201"/>
      <c r="GZ65" s="201"/>
      <c r="HA65" s="201"/>
    </row>
    <row r="66" spans="4:209" ht="10.15" customHeight="1">
      <c r="D66" s="198"/>
      <c r="E66" s="204"/>
      <c r="F66" s="208"/>
      <c r="G66" s="228"/>
      <c r="H66" s="203"/>
      <c r="I66" s="203"/>
      <c r="J66" s="203"/>
      <c r="K66" s="203"/>
      <c r="L66" s="203"/>
      <c r="M66" s="203"/>
      <c r="N66" s="203"/>
      <c r="O66" s="203"/>
      <c r="P66" s="203"/>
      <c r="Q66" s="203"/>
      <c r="R66" s="203"/>
      <c r="S66" s="203"/>
      <c r="T66" s="203"/>
      <c r="U66" s="203"/>
      <c r="V66" s="203"/>
      <c r="W66" s="203"/>
      <c r="X66" s="203"/>
      <c r="Y66" s="203"/>
      <c r="Z66" s="203"/>
      <c r="AA66" s="203"/>
      <c r="AB66" s="203"/>
      <c r="AC66" s="229"/>
      <c r="AD66" s="203"/>
      <c r="AE66" s="203"/>
      <c r="AF66" s="203"/>
      <c r="AG66" s="203"/>
      <c r="AH66" s="203"/>
      <c r="AI66" s="203"/>
      <c r="AJ66" s="203"/>
      <c r="AK66" s="203"/>
      <c r="AL66" s="203"/>
      <c r="AM66" s="203"/>
      <c r="AN66" s="203"/>
      <c r="AO66" s="203"/>
      <c r="AP66" s="203"/>
      <c r="AQ66" s="203"/>
      <c r="AR66" s="203"/>
      <c r="AS66" s="203"/>
      <c r="AT66" s="203"/>
      <c r="AU66" s="203"/>
      <c r="AV66" s="203"/>
      <c r="AW66" s="203"/>
      <c r="AX66" s="203"/>
      <c r="AY66" s="203"/>
      <c r="AZ66" s="203"/>
      <c r="BA66" s="203"/>
      <c r="BB66" s="203"/>
      <c r="BC66" s="203"/>
      <c r="BD66" s="203"/>
      <c r="BE66" s="203"/>
      <c r="BF66" s="203"/>
      <c r="BG66" s="203"/>
      <c r="BH66" s="203"/>
      <c r="BI66" s="203"/>
      <c r="BJ66" s="203"/>
      <c r="BK66" s="203"/>
      <c r="BL66" s="203"/>
      <c r="BM66" s="203"/>
      <c r="BN66" s="203"/>
      <c r="BO66" s="203"/>
      <c r="BP66" s="203"/>
      <c r="BQ66" s="203"/>
      <c r="BR66" s="203"/>
      <c r="BS66" s="203"/>
      <c r="BT66" s="203"/>
      <c r="BU66" s="203"/>
      <c r="BV66" s="203"/>
      <c r="BW66" s="203"/>
      <c r="BX66" s="203"/>
      <c r="BY66" s="203"/>
      <c r="BZ66" s="203"/>
      <c r="CA66" s="212"/>
      <c r="CB66" s="205"/>
      <c r="CC66" s="200"/>
      <c r="CD66" s="245"/>
      <c r="GL66" s="201"/>
      <c r="GM66" s="201"/>
      <c r="GN66" s="201"/>
      <c r="GO66" s="201"/>
      <c r="GP66" s="201"/>
      <c r="GQ66" s="201"/>
      <c r="GR66" s="201"/>
      <c r="GS66" s="201"/>
      <c r="GT66" s="201"/>
      <c r="GU66" s="201"/>
      <c r="GV66" s="201"/>
      <c r="GW66" s="201"/>
      <c r="GX66" s="201"/>
      <c r="GY66" s="201"/>
      <c r="GZ66" s="201"/>
      <c r="HA66" s="201"/>
    </row>
    <row r="67" spans="4:209" ht="10.15" customHeight="1">
      <c r="D67" s="198"/>
      <c r="E67" s="204"/>
      <c r="F67" s="208"/>
      <c r="G67" s="228"/>
      <c r="H67" s="203"/>
      <c r="I67" s="203"/>
      <c r="J67" s="203"/>
      <c r="K67" s="203"/>
      <c r="L67" s="203"/>
      <c r="M67" s="203"/>
      <c r="N67" s="203"/>
      <c r="O67" s="203"/>
      <c r="P67" s="203"/>
      <c r="Q67" s="203"/>
      <c r="R67" s="203"/>
      <c r="S67" s="203"/>
      <c r="T67" s="203"/>
      <c r="U67" s="203"/>
      <c r="V67" s="203"/>
      <c r="W67" s="203"/>
      <c r="X67" s="203"/>
      <c r="Y67" s="203"/>
      <c r="Z67" s="203"/>
      <c r="AA67" s="203"/>
      <c r="AB67" s="203"/>
      <c r="AC67" s="229"/>
      <c r="AD67" s="203"/>
      <c r="AE67" s="203"/>
      <c r="AF67" s="203"/>
      <c r="AG67" s="203"/>
      <c r="AH67" s="203"/>
      <c r="AI67" s="203"/>
      <c r="AJ67" s="203"/>
      <c r="AK67" s="203"/>
      <c r="AL67" s="203"/>
      <c r="AM67" s="203"/>
      <c r="AN67" s="203"/>
      <c r="AO67" s="203"/>
      <c r="AP67" s="203"/>
      <c r="AQ67" s="203"/>
      <c r="AR67" s="203"/>
      <c r="AS67" s="203"/>
      <c r="AT67" s="203"/>
      <c r="AU67" s="203"/>
      <c r="AV67" s="203"/>
      <c r="AW67" s="203"/>
      <c r="AX67" s="203"/>
      <c r="AY67" s="203"/>
      <c r="AZ67" s="203"/>
      <c r="BA67" s="203"/>
      <c r="BB67" s="203"/>
      <c r="BC67" s="203"/>
      <c r="BD67" s="203"/>
      <c r="BE67" s="203"/>
      <c r="BF67" s="203"/>
      <c r="BG67" s="203"/>
      <c r="BH67" s="203"/>
      <c r="BI67" s="203"/>
      <c r="BJ67" s="203"/>
      <c r="BK67" s="203"/>
      <c r="BL67" s="203"/>
      <c r="BM67" s="203"/>
      <c r="BN67" s="203"/>
      <c r="BO67" s="203"/>
      <c r="BP67" s="203"/>
      <c r="BQ67" s="203"/>
      <c r="BR67" s="203"/>
      <c r="BS67" s="203"/>
      <c r="BT67" s="203"/>
      <c r="BU67" s="203"/>
      <c r="BV67" s="203"/>
      <c r="BW67" s="203"/>
      <c r="BX67" s="203"/>
      <c r="BY67" s="203"/>
      <c r="BZ67" s="203"/>
      <c r="CA67" s="212"/>
      <c r="CB67" s="205"/>
      <c r="CC67" s="200"/>
      <c r="CD67" s="245"/>
      <c r="GL67" s="201"/>
      <c r="GM67" s="201"/>
      <c r="GN67" s="201"/>
      <c r="GO67" s="201"/>
      <c r="GP67" s="201"/>
      <c r="GQ67" s="201"/>
      <c r="GR67" s="201"/>
      <c r="GS67" s="201"/>
      <c r="GT67" s="201"/>
      <c r="GU67" s="201"/>
      <c r="GV67" s="201"/>
      <c r="GW67" s="201"/>
      <c r="GX67" s="201"/>
      <c r="GY67" s="201"/>
      <c r="GZ67" s="201"/>
      <c r="HA67" s="201"/>
    </row>
    <row r="68" spans="4:209" ht="10.15" customHeight="1">
      <c r="D68" s="198"/>
      <c r="E68" s="204"/>
      <c r="F68" s="208"/>
      <c r="G68" s="218"/>
      <c r="H68" s="219"/>
      <c r="I68" s="219"/>
      <c r="J68" s="219"/>
      <c r="K68" s="219"/>
      <c r="L68" s="219"/>
      <c r="M68" s="219"/>
      <c r="N68" s="219"/>
      <c r="O68" s="219"/>
      <c r="P68" s="219"/>
      <c r="Q68" s="219"/>
      <c r="R68" s="219"/>
      <c r="S68" s="219"/>
      <c r="T68" s="219"/>
      <c r="U68" s="219"/>
      <c r="V68" s="219"/>
      <c r="W68" s="219"/>
      <c r="X68" s="219"/>
      <c r="Y68" s="219"/>
      <c r="Z68" s="219"/>
      <c r="AA68" s="219"/>
      <c r="AB68" s="219"/>
      <c r="AC68" s="220"/>
      <c r="AD68" s="209"/>
      <c r="AE68" s="209"/>
      <c r="AF68" s="209"/>
      <c r="AG68" s="209"/>
      <c r="AH68" s="209"/>
      <c r="AI68" s="209"/>
      <c r="AJ68" s="209"/>
      <c r="AK68" s="209"/>
      <c r="AL68" s="209"/>
      <c r="AM68" s="209"/>
      <c r="AN68" s="203"/>
      <c r="AO68" s="203"/>
      <c r="AP68" s="203"/>
      <c r="AQ68" s="203"/>
      <c r="AR68" s="203"/>
      <c r="AS68" s="203"/>
      <c r="AT68" s="203"/>
      <c r="AU68" s="203"/>
      <c r="AV68" s="203"/>
      <c r="AW68" s="203"/>
      <c r="AX68" s="203"/>
      <c r="AY68" s="203"/>
      <c r="AZ68" s="203"/>
      <c r="BA68" s="203"/>
      <c r="BB68" s="203"/>
      <c r="BC68" s="203"/>
      <c r="BD68" s="203"/>
      <c r="BE68" s="203"/>
      <c r="BF68" s="203"/>
      <c r="BG68" s="203"/>
      <c r="BH68" s="203"/>
      <c r="BI68" s="203"/>
      <c r="BJ68" s="203"/>
      <c r="BK68" s="203"/>
      <c r="BL68" s="203"/>
      <c r="BM68" s="203"/>
      <c r="BN68" s="203"/>
      <c r="BO68" s="203"/>
      <c r="BP68" s="203"/>
      <c r="BQ68" s="203"/>
      <c r="BR68" s="203"/>
      <c r="BS68" s="203"/>
      <c r="BT68" s="203"/>
      <c r="BU68" s="203"/>
      <c r="BV68" s="203"/>
      <c r="BW68" s="203"/>
      <c r="BX68" s="203"/>
      <c r="BY68" s="203"/>
      <c r="BZ68" s="203"/>
      <c r="CA68" s="212"/>
      <c r="CB68" s="205"/>
      <c r="CC68" s="200"/>
      <c r="CD68" s="245"/>
      <c r="GL68" s="201"/>
      <c r="GM68" s="201"/>
      <c r="GN68" s="201"/>
      <c r="GO68" s="201"/>
      <c r="GP68" s="201"/>
      <c r="GQ68" s="201"/>
      <c r="GR68" s="201"/>
      <c r="GS68" s="201"/>
      <c r="GT68" s="201"/>
      <c r="GU68" s="201"/>
      <c r="GV68" s="201"/>
      <c r="GW68" s="201"/>
      <c r="GX68" s="201"/>
      <c r="GY68" s="201"/>
      <c r="GZ68" s="201"/>
      <c r="HA68" s="201"/>
    </row>
    <row r="69" spans="4:209" ht="10.15" customHeight="1">
      <c r="D69" s="198"/>
      <c r="E69" s="204"/>
      <c r="F69" s="620"/>
      <c r="G69" s="621"/>
      <c r="H69" s="621"/>
      <c r="I69" s="621"/>
      <c r="J69" s="621"/>
      <c r="K69" s="621"/>
      <c r="L69" s="621"/>
      <c r="M69" s="621"/>
      <c r="N69" s="621"/>
      <c r="O69" s="621"/>
      <c r="P69" s="621"/>
      <c r="Q69" s="621"/>
      <c r="R69" s="621"/>
      <c r="S69" s="621"/>
      <c r="T69" s="621"/>
      <c r="U69" s="621"/>
      <c r="V69" s="621"/>
      <c r="W69" s="621"/>
      <c r="X69" s="621"/>
      <c r="Y69" s="621"/>
      <c r="Z69" s="621"/>
      <c r="AA69" s="621"/>
      <c r="AB69" s="621"/>
      <c r="AC69" s="621"/>
      <c r="AD69" s="621"/>
      <c r="AE69" s="621"/>
      <c r="AF69" s="621"/>
      <c r="AG69" s="621"/>
      <c r="AH69" s="621"/>
      <c r="AI69" s="621"/>
      <c r="AJ69" s="621"/>
      <c r="AK69" s="621"/>
      <c r="AL69" s="621"/>
      <c r="AM69" s="621"/>
      <c r="AN69" s="621"/>
      <c r="AO69" s="621"/>
      <c r="AP69" s="621"/>
      <c r="AQ69" s="621"/>
      <c r="AR69" s="621"/>
      <c r="AS69" s="621"/>
      <c r="AT69" s="621"/>
      <c r="AU69" s="621"/>
      <c r="AV69" s="621"/>
      <c r="AW69" s="621"/>
      <c r="AX69" s="621"/>
      <c r="AY69" s="621"/>
      <c r="AZ69" s="621"/>
      <c r="BA69" s="621"/>
      <c r="BB69" s="621"/>
      <c r="BC69" s="621"/>
      <c r="BD69" s="621"/>
      <c r="BE69" s="621"/>
      <c r="BF69" s="621"/>
      <c r="BG69" s="621"/>
      <c r="BH69" s="621"/>
      <c r="BI69" s="621"/>
      <c r="BJ69" s="621"/>
      <c r="BK69" s="621"/>
      <c r="BL69" s="621"/>
      <c r="BM69" s="621"/>
      <c r="BN69" s="621"/>
      <c r="BO69" s="621"/>
      <c r="BP69" s="621"/>
      <c r="BQ69" s="621"/>
      <c r="BR69" s="621"/>
      <c r="BS69" s="621"/>
      <c r="BT69" s="621"/>
      <c r="BU69" s="621"/>
      <c r="BV69" s="621"/>
      <c r="BW69" s="621"/>
      <c r="BX69" s="621"/>
      <c r="BY69" s="621"/>
      <c r="BZ69" s="621"/>
      <c r="CA69" s="622"/>
      <c r="CB69" s="205"/>
      <c r="CC69" s="200"/>
      <c r="CD69" s="245"/>
      <c r="GL69" s="201"/>
      <c r="GM69" s="201"/>
      <c r="GN69" s="201"/>
      <c r="GO69" s="201"/>
      <c r="GP69" s="201"/>
      <c r="GQ69" s="201"/>
      <c r="GR69" s="201"/>
      <c r="GS69" s="201"/>
      <c r="GT69" s="201"/>
      <c r="GU69" s="201"/>
      <c r="GV69" s="201"/>
      <c r="GW69" s="201"/>
      <c r="GX69" s="201"/>
      <c r="GY69" s="201"/>
      <c r="GZ69" s="201"/>
      <c r="HA69" s="201"/>
    </row>
    <row r="70" spans="4:209" ht="10.15" customHeight="1">
      <c r="D70" s="198"/>
      <c r="E70" s="204"/>
      <c r="F70" s="623"/>
      <c r="G70" s="624"/>
      <c r="H70" s="624"/>
      <c r="I70" s="624"/>
      <c r="J70" s="624"/>
      <c r="K70" s="624"/>
      <c r="L70" s="624"/>
      <c r="M70" s="624"/>
      <c r="N70" s="624"/>
      <c r="O70" s="624"/>
      <c r="P70" s="624"/>
      <c r="Q70" s="624"/>
      <c r="R70" s="624"/>
      <c r="S70" s="624"/>
      <c r="T70" s="624"/>
      <c r="U70" s="624"/>
      <c r="V70" s="624"/>
      <c r="W70" s="624"/>
      <c r="X70" s="624"/>
      <c r="Y70" s="624"/>
      <c r="Z70" s="624"/>
      <c r="AA70" s="624"/>
      <c r="AB70" s="624"/>
      <c r="AC70" s="624"/>
      <c r="AD70" s="624"/>
      <c r="AE70" s="624"/>
      <c r="AF70" s="624"/>
      <c r="AG70" s="624"/>
      <c r="AH70" s="624"/>
      <c r="AI70" s="624"/>
      <c r="AJ70" s="624"/>
      <c r="AK70" s="624"/>
      <c r="AL70" s="624"/>
      <c r="AM70" s="624"/>
      <c r="AN70" s="624"/>
      <c r="AO70" s="624"/>
      <c r="AP70" s="624"/>
      <c r="AQ70" s="624"/>
      <c r="AR70" s="624"/>
      <c r="AS70" s="624"/>
      <c r="AT70" s="624"/>
      <c r="AU70" s="624"/>
      <c r="AV70" s="624"/>
      <c r="AW70" s="624"/>
      <c r="AX70" s="624"/>
      <c r="AY70" s="624"/>
      <c r="AZ70" s="624"/>
      <c r="BA70" s="624"/>
      <c r="BB70" s="624"/>
      <c r="BC70" s="624"/>
      <c r="BD70" s="624"/>
      <c r="BE70" s="624"/>
      <c r="BF70" s="624"/>
      <c r="BG70" s="624"/>
      <c r="BH70" s="624"/>
      <c r="BI70" s="624"/>
      <c r="BJ70" s="624"/>
      <c r="BK70" s="624"/>
      <c r="BL70" s="624"/>
      <c r="BM70" s="624"/>
      <c r="BN70" s="624"/>
      <c r="BO70" s="624"/>
      <c r="BP70" s="624"/>
      <c r="BQ70" s="624"/>
      <c r="BR70" s="624"/>
      <c r="BS70" s="624"/>
      <c r="BT70" s="624"/>
      <c r="BU70" s="624"/>
      <c r="BV70" s="624"/>
      <c r="BW70" s="624"/>
      <c r="BX70" s="624"/>
      <c r="BY70" s="624"/>
      <c r="BZ70" s="624"/>
      <c r="CA70" s="625"/>
      <c r="CB70" s="205"/>
      <c r="CC70" s="200"/>
      <c r="CD70" s="245"/>
      <c r="GL70" s="201"/>
      <c r="GM70" s="201"/>
      <c r="GN70" s="201"/>
      <c r="GO70" s="201"/>
      <c r="GP70" s="201"/>
      <c r="GQ70" s="201"/>
      <c r="GR70" s="201"/>
      <c r="GS70" s="201"/>
      <c r="GT70" s="201"/>
      <c r="GU70" s="201"/>
      <c r="GV70" s="201"/>
      <c r="GW70" s="201"/>
      <c r="GX70" s="201"/>
      <c r="GY70" s="201"/>
      <c r="GZ70" s="201"/>
      <c r="HA70" s="201"/>
    </row>
    <row r="71" spans="4:209" ht="10.15" customHeight="1">
      <c r="D71" s="198"/>
      <c r="E71" s="204"/>
      <c r="F71" s="204"/>
      <c r="G71" s="204"/>
      <c r="H71" s="204"/>
      <c r="I71" s="204"/>
      <c r="J71" s="204"/>
      <c r="K71" s="204"/>
      <c r="L71" s="204"/>
      <c r="M71" s="204"/>
      <c r="N71" s="204"/>
      <c r="O71" s="204"/>
      <c r="P71" s="204"/>
      <c r="Q71" s="204"/>
      <c r="R71" s="204"/>
      <c r="S71" s="204"/>
      <c r="T71" s="204"/>
      <c r="U71" s="204"/>
      <c r="V71" s="204"/>
      <c r="W71" s="204"/>
      <c r="X71" s="204"/>
      <c r="Y71" s="204"/>
      <c r="Z71" s="204"/>
      <c r="AA71" s="204"/>
      <c r="AB71" s="204"/>
      <c r="AC71" s="204"/>
      <c r="AD71" s="204"/>
      <c r="AE71" s="204"/>
      <c r="AF71" s="204"/>
      <c r="AG71" s="204"/>
      <c r="AH71" s="204"/>
      <c r="AI71" s="204"/>
      <c r="AJ71" s="204"/>
      <c r="AK71" s="204"/>
      <c r="AL71" s="204"/>
      <c r="AM71" s="204"/>
      <c r="AN71" s="204"/>
      <c r="AO71" s="204"/>
      <c r="AP71" s="204"/>
      <c r="AQ71" s="204"/>
      <c r="AR71" s="204"/>
      <c r="AS71" s="204"/>
      <c r="AT71" s="204"/>
      <c r="AU71" s="204"/>
      <c r="AV71" s="204"/>
      <c r="AW71" s="204"/>
      <c r="AX71" s="204"/>
      <c r="AY71" s="204"/>
      <c r="AZ71" s="204"/>
      <c r="BA71" s="204"/>
      <c r="BB71" s="204"/>
      <c r="BC71" s="204"/>
      <c r="BD71" s="204"/>
      <c r="BE71" s="204"/>
      <c r="BF71" s="204"/>
      <c r="BG71" s="204"/>
      <c r="BH71" s="204"/>
      <c r="BI71" s="204"/>
      <c r="BJ71" s="204"/>
      <c r="BK71" s="204"/>
      <c r="BL71" s="204"/>
      <c r="BM71" s="204"/>
      <c r="BN71" s="204"/>
      <c r="BO71" s="204"/>
      <c r="BP71" s="204"/>
      <c r="BQ71" s="204"/>
      <c r="BR71" s="204"/>
      <c r="BS71" s="204"/>
      <c r="BT71" s="204"/>
      <c r="BU71" s="204"/>
      <c r="BV71" s="204"/>
      <c r="BW71" s="204"/>
      <c r="BX71" s="204"/>
      <c r="BY71" s="204"/>
      <c r="BZ71" s="204"/>
      <c r="CA71" s="204"/>
      <c r="CB71" s="205"/>
      <c r="CC71" s="200"/>
      <c r="CD71" s="245"/>
      <c r="GL71" s="201"/>
      <c r="GM71" s="201"/>
      <c r="GN71" s="201"/>
      <c r="GO71" s="201"/>
      <c r="GP71" s="201"/>
      <c r="GQ71" s="201"/>
      <c r="GR71" s="201"/>
      <c r="GS71" s="201"/>
      <c r="GT71" s="201"/>
      <c r="GU71" s="201"/>
      <c r="GV71" s="201"/>
      <c r="GW71" s="201"/>
      <c r="GX71" s="201"/>
      <c r="GY71" s="201"/>
      <c r="GZ71" s="201"/>
      <c r="HA71" s="201"/>
    </row>
    <row r="72" spans="4:209" ht="10.15" customHeight="1">
      <c r="D72" s="198"/>
      <c r="E72" s="204"/>
      <c r="F72" s="573" t="s">
        <v>533</v>
      </c>
      <c r="G72" s="574"/>
      <c r="H72" s="574"/>
      <c r="I72" s="574"/>
      <c r="J72" s="574"/>
      <c r="K72" s="574"/>
      <c r="L72" s="574"/>
      <c r="M72" s="574"/>
      <c r="N72" s="574"/>
      <c r="O72" s="574"/>
      <c r="P72" s="574"/>
      <c r="Q72" s="574"/>
      <c r="R72" s="574"/>
      <c r="S72" s="574"/>
      <c r="T72" s="574"/>
      <c r="U72" s="574"/>
      <c r="V72" s="574"/>
      <c r="W72" s="574"/>
      <c r="X72" s="574"/>
      <c r="Y72" s="574"/>
      <c r="Z72" s="574"/>
      <c r="AA72" s="574"/>
      <c r="AB72" s="574"/>
      <c r="AC72" s="575"/>
      <c r="AD72" s="205"/>
      <c r="AE72" s="585"/>
      <c r="AF72" s="586"/>
      <c r="AG72" s="586"/>
      <c r="AH72" s="586"/>
      <c r="AI72" s="586"/>
      <c r="AJ72" s="586"/>
      <c r="AK72" s="586"/>
      <c r="AL72" s="586"/>
      <c r="AM72" s="586"/>
      <c r="AN72" s="586"/>
      <c r="AO72" s="586"/>
      <c r="AP72" s="586"/>
      <c r="AQ72" s="586"/>
      <c r="AR72" s="586"/>
      <c r="AS72" s="586"/>
      <c r="AT72" s="586"/>
      <c r="AU72" s="586"/>
      <c r="AV72" s="586"/>
      <c r="AW72" s="586"/>
      <c r="AX72" s="586"/>
      <c r="AY72" s="586"/>
      <c r="AZ72" s="586"/>
      <c r="BA72" s="586"/>
      <c r="BB72" s="586"/>
      <c r="BC72" s="586"/>
      <c r="BD72" s="586"/>
      <c r="BE72" s="586"/>
      <c r="BF72" s="586"/>
      <c r="BG72" s="586"/>
      <c r="BH72" s="586"/>
      <c r="BI72" s="586"/>
      <c r="BJ72" s="586"/>
      <c r="BK72" s="586"/>
      <c r="BL72" s="586"/>
      <c r="BM72" s="586"/>
      <c r="BN72" s="586"/>
      <c r="BO72" s="586"/>
      <c r="BP72" s="586"/>
      <c r="BQ72" s="586"/>
      <c r="BR72" s="586"/>
      <c r="BS72" s="586"/>
      <c r="BT72" s="586"/>
      <c r="BU72" s="586"/>
      <c r="BV72" s="586"/>
      <c r="BW72" s="586"/>
      <c r="BX72" s="586"/>
      <c r="BY72" s="586"/>
      <c r="BZ72" s="586"/>
      <c r="CA72" s="587"/>
      <c r="CB72" s="205"/>
      <c r="CC72" s="200"/>
      <c r="CD72" s="245"/>
      <c r="GL72" s="201"/>
      <c r="GM72" s="201"/>
      <c r="GN72" s="201"/>
      <c r="GO72" s="201"/>
      <c r="GP72" s="201"/>
      <c r="GQ72" s="201"/>
      <c r="GR72" s="201"/>
      <c r="GS72" s="201"/>
      <c r="GT72" s="201"/>
      <c r="GU72" s="201"/>
      <c r="GV72" s="201"/>
      <c r="GW72" s="201"/>
      <c r="GX72" s="201"/>
      <c r="GY72" s="201"/>
      <c r="GZ72" s="201"/>
      <c r="HA72" s="201"/>
    </row>
    <row r="73" spans="4:209" ht="10.15" customHeight="1">
      <c r="D73" s="198"/>
      <c r="E73" s="204"/>
      <c r="F73" s="576"/>
      <c r="G73" s="577"/>
      <c r="H73" s="577"/>
      <c r="I73" s="577"/>
      <c r="J73" s="577"/>
      <c r="K73" s="577"/>
      <c r="L73" s="577"/>
      <c r="M73" s="577"/>
      <c r="N73" s="577"/>
      <c r="O73" s="577"/>
      <c r="P73" s="577"/>
      <c r="Q73" s="577"/>
      <c r="R73" s="577"/>
      <c r="S73" s="577"/>
      <c r="T73" s="577"/>
      <c r="U73" s="577"/>
      <c r="V73" s="577"/>
      <c r="W73" s="577"/>
      <c r="X73" s="577"/>
      <c r="Y73" s="577"/>
      <c r="Z73" s="577"/>
      <c r="AA73" s="577"/>
      <c r="AB73" s="577"/>
      <c r="AC73" s="578"/>
      <c r="AD73" s="205"/>
      <c r="AE73" s="588"/>
      <c r="AF73" s="589"/>
      <c r="AG73" s="589"/>
      <c r="AH73" s="589"/>
      <c r="AI73" s="589"/>
      <c r="AJ73" s="589"/>
      <c r="AK73" s="589"/>
      <c r="AL73" s="589"/>
      <c r="AM73" s="589"/>
      <c r="AN73" s="589"/>
      <c r="AO73" s="589"/>
      <c r="AP73" s="589"/>
      <c r="AQ73" s="589"/>
      <c r="AR73" s="589"/>
      <c r="AS73" s="589"/>
      <c r="AT73" s="589"/>
      <c r="AU73" s="589"/>
      <c r="AV73" s="589"/>
      <c r="AW73" s="589"/>
      <c r="AX73" s="589"/>
      <c r="AY73" s="589"/>
      <c r="AZ73" s="589"/>
      <c r="BA73" s="589"/>
      <c r="BB73" s="589"/>
      <c r="BC73" s="589"/>
      <c r="BD73" s="589"/>
      <c r="BE73" s="589"/>
      <c r="BF73" s="589"/>
      <c r="BG73" s="589"/>
      <c r="BH73" s="589"/>
      <c r="BI73" s="589"/>
      <c r="BJ73" s="589"/>
      <c r="BK73" s="589"/>
      <c r="BL73" s="589"/>
      <c r="BM73" s="589"/>
      <c r="BN73" s="589"/>
      <c r="BO73" s="589"/>
      <c r="BP73" s="589"/>
      <c r="BQ73" s="589"/>
      <c r="BR73" s="589"/>
      <c r="BS73" s="589"/>
      <c r="BT73" s="589"/>
      <c r="BU73" s="589"/>
      <c r="BV73" s="589"/>
      <c r="BW73" s="589"/>
      <c r="BX73" s="589"/>
      <c r="BY73" s="589"/>
      <c r="BZ73" s="589"/>
      <c r="CA73" s="590"/>
      <c r="CB73" s="205"/>
      <c r="CC73" s="200"/>
      <c r="CD73" s="245"/>
      <c r="GL73" s="201"/>
      <c r="GM73" s="201"/>
      <c r="GN73" s="201"/>
      <c r="GO73" s="201"/>
      <c r="GP73" s="201"/>
      <c r="GQ73" s="201"/>
      <c r="GR73" s="201"/>
      <c r="GS73" s="201"/>
      <c r="GT73" s="201"/>
      <c r="GU73" s="201"/>
      <c r="GV73" s="201"/>
      <c r="GW73" s="201"/>
      <c r="GX73" s="201"/>
      <c r="GY73" s="201"/>
      <c r="GZ73" s="201"/>
      <c r="HA73" s="201"/>
    </row>
    <row r="74" spans="4:209" ht="10.15" customHeight="1">
      <c r="D74" s="198"/>
      <c r="E74" s="204"/>
      <c r="F74" s="576"/>
      <c r="G74" s="577"/>
      <c r="H74" s="577"/>
      <c r="I74" s="577"/>
      <c r="J74" s="577"/>
      <c r="K74" s="577"/>
      <c r="L74" s="577"/>
      <c r="M74" s="577"/>
      <c r="N74" s="577"/>
      <c r="O74" s="577"/>
      <c r="P74" s="577"/>
      <c r="Q74" s="577"/>
      <c r="R74" s="577"/>
      <c r="S74" s="577"/>
      <c r="T74" s="577"/>
      <c r="U74" s="577"/>
      <c r="V74" s="577"/>
      <c r="W74" s="577"/>
      <c r="X74" s="577"/>
      <c r="Y74" s="577"/>
      <c r="Z74" s="577"/>
      <c r="AA74" s="577"/>
      <c r="AB74" s="577"/>
      <c r="AC74" s="578"/>
      <c r="AD74" s="205"/>
      <c r="AE74" s="588"/>
      <c r="AF74" s="589"/>
      <c r="AG74" s="589"/>
      <c r="AH74" s="589"/>
      <c r="AI74" s="589"/>
      <c r="AJ74" s="589"/>
      <c r="AK74" s="589"/>
      <c r="AL74" s="589"/>
      <c r="AM74" s="589"/>
      <c r="AN74" s="589"/>
      <c r="AO74" s="589"/>
      <c r="AP74" s="589"/>
      <c r="AQ74" s="589"/>
      <c r="AR74" s="589"/>
      <c r="AS74" s="589"/>
      <c r="AT74" s="589"/>
      <c r="AU74" s="589"/>
      <c r="AV74" s="589"/>
      <c r="AW74" s="589"/>
      <c r="AX74" s="589"/>
      <c r="AY74" s="589"/>
      <c r="AZ74" s="589"/>
      <c r="BA74" s="589"/>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90"/>
      <c r="CB74" s="205"/>
      <c r="CC74" s="200"/>
      <c r="CD74" s="245"/>
      <c r="GL74" s="201"/>
      <c r="GM74" s="201"/>
      <c r="GN74" s="201"/>
      <c r="GO74" s="201"/>
      <c r="GP74" s="201"/>
      <c r="GQ74" s="201"/>
      <c r="GR74" s="201"/>
      <c r="GS74" s="201"/>
      <c r="GT74" s="201"/>
      <c r="GU74" s="201"/>
      <c r="GV74" s="201"/>
      <c r="GW74" s="201"/>
      <c r="GX74" s="201"/>
      <c r="GY74" s="201"/>
      <c r="GZ74" s="201"/>
      <c r="HA74" s="201"/>
    </row>
    <row r="75" spans="4:209" ht="10.15" customHeight="1">
      <c r="D75" s="198"/>
      <c r="E75" s="204"/>
      <c r="F75" s="576"/>
      <c r="G75" s="577"/>
      <c r="H75" s="577"/>
      <c r="I75" s="577"/>
      <c r="J75" s="577"/>
      <c r="K75" s="577"/>
      <c r="L75" s="577"/>
      <c r="M75" s="577"/>
      <c r="N75" s="577"/>
      <c r="O75" s="577"/>
      <c r="P75" s="577"/>
      <c r="Q75" s="577"/>
      <c r="R75" s="577"/>
      <c r="S75" s="577"/>
      <c r="T75" s="577"/>
      <c r="U75" s="577"/>
      <c r="V75" s="577"/>
      <c r="W75" s="577"/>
      <c r="X75" s="577"/>
      <c r="Y75" s="577"/>
      <c r="Z75" s="577"/>
      <c r="AA75" s="577"/>
      <c r="AB75" s="577"/>
      <c r="AC75" s="578"/>
      <c r="AD75" s="205"/>
      <c r="AE75" s="588"/>
      <c r="AF75" s="589"/>
      <c r="AG75" s="589"/>
      <c r="AH75" s="589"/>
      <c r="AI75" s="589"/>
      <c r="AJ75" s="589"/>
      <c r="AK75" s="589"/>
      <c r="AL75" s="589"/>
      <c r="AM75" s="589"/>
      <c r="AN75" s="589"/>
      <c r="AO75" s="589"/>
      <c r="AP75" s="589"/>
      <c r="AQ75" s="589"/>
      <c r="AR75" s="589"/>
      <c r="AS75" s="589"/>
      <c r="AT75" s="589"/>
      <c r="AU75" s="589"/>
      <c r="AV75" s="589"/>
      <c r="AW75" s="589"/>
      <c r="AX75" s="589"/>
      <c r="AY75" s="589"/>
      <c r="AZ75" s="589"/>
      <c r="BA75" s="589"/>
      <c r="BB75" s="589"/>
      <c r="BC75" s="589"/>
      <c r="BD75" s="589"/>
      <c r="BE75" s="589"/>
      <c r="BF75" s="589"/>
      <c r="BG75" s="589"/>
      <c r="BH75" s="589"/>
      <c r="BI75" s="589"/>
      <c r="BJ75" s="589"/>
      <c r="BK75" s="589"/>
      <c r="BL75" s="589"/>
      <c r="BM75" s="589"/>
      <c r="BN75" s="589"/>
      <c r="BO75" s="589"/>
      <c r="BP75" s="589"/>
      <c r="BQ75" s="589"/>
      <c r="BR75" s="589"/>
      <c r="BS75" s="589"/>
      <c r="BT75" s="589"/>
      <c r="BU75" s="589"/>
      <c r="BV75" s="589"/>
      <c r="BW75" s="589"/>
      <c r="BX75" s="589"/>
      <c r="BY75" s="589"/>
      <c r="BZ75" s="589"/>
      <c r="CA75" s="590"/>
      <c r="CB75" s="205"/>
      <c r="CC75" s="200"/>
      <c r="CD75" s="245"/>
      <c r="GL75" s="201"/>
      <c r="GM75" s="201"/>
      <c r="GN75" s="201"/>
      <c r="GO75" s="201"/>
      <c r="GP75" s="201"/>
      <c r="GQ75" s="201"/>
      <c r="GR75" s="201"/>
      <c r="GS75" s="201"/>
      <c r="GT75" s="201"/>
      <c r="GU75" s="201"/>
      <c r="GV75" s="201"/>
      <c r="GW75" s="201"/>
      <c r="GX75" s="201"/>
      <c r="GY75" s="201"/>
      <c r="GZ75" s="201"/>
      <c r="HA75" s="201"/>
    </row>
    <row r="76" spans="4:209" ht="10.15" customHeight="1">
      <c r="D76" s="198"/>
      <c r="E76" s="204"/>
      <c r="F76" s="249"/>
      <c r="G76" s="250"/>
      <c r="H76" s="250"/>
      <c r="I76" s="250"/>
      <c r="J76" s="250"/>
      <c r="K76" s="250"/>
      <c r="L76" s="250"/>
      <c r="M76" s="250"/>
      <c r="N76" s="250"/>
      <c r="O76" s="250"/>
      <c r="P76" s="250"/>
      <c r="Q76" s="250"/>
      <c r="R76" s="250"/>
      <c r="S76" s="250"/>
      <c r="T76" s="250"/>
      <c r="U76" s="250"/>
      <c r="V76" s="250"/>
      <c r="W76" s="250"/>
      <c r="X76" s="250"/>
      <c r="Y76" s="250"/>
      <c r="Z76" s="250"/>
      <c r="AA76" s="250"/>
      <c r="AB76" s="250"/>
      <c r="AC76" s="251"/>
      <c r="AD76" s="205"/>
      <c r="AE76" s="588"/>
      <c r="AF76" s="589"/>
      <c r="AG76" s="589"/>
      <c r="AH76" s="589"/>
      <c r="AI76" s="589"/>
      <c r="AJ76" s="589"/>
      <c r="AK76" s="589"/>
      <c r="AL76" s="589"/>
      <c r="AM76" s="589"/>
      <c r="AN76" s="589"/>
      <c r="AO76" s="589"/>
      <c r="AP76" s="589"/>
      <c r="AQ76" s="589"/>
      <c r="AR76" s="589"/>
      <c r="AS76" s="589"/>
      <c r="AT76" s="589"/>
      <c r="AU76" s="589"/>
      <c r="AV76" s="589"/>
      <c r="AW76" s="589"/>
      <c r="AX76" s="589"/>
      <c r="AY76" s="589"/>
      <c r="AZ76" s="589"/>
      <c r="BA76" s="589"/>
      <c r="BB76" s="589"/>
      <c r="BC76" s="589"/>
      <c r="BD76" s="589"/>
      <c r="BE76" s="589"/>
      <c r="BF76" s="589"/>
      <c r="BG76" s="589"/>
      <c r="BH76" s="589"/>
      <c r="BI76" s="589"/>
      <c r="BJ76" s="589"/>
      <c r="BK76" s="589"/>
      <c r="BL76" s="589"/>
      <c r="BM76" s="589"/>
      <c r="BN76" s="589"/>
      <c r="BO76" s="589"/>
      <c r="BP76" s="589"/>
      <c r="BQ76" s="589"/>
      <c r="BR76" s="589"/>
      <c r="BS76" s="589"/>
      <c r="BT76" s="589"/>
      <c r="BU76" s="589"/>
      <c r="BV76" s="589"/>
      <c r="BW76" s="589"/>
      <c r="BX76" s="589"/>
      <c r="BY76" s="589"/>
      <c r="BZ76" s="589"/>
      <c r="CA76" s="590"/>
      <c r="CB76" s="205"/>
      <c r="CC76" s="200"/>
      <c r="CD76" s="245"/>
      <c r="GL76" s="201"/>
      <c r="GM76" s="201"/>
      <c r="GN76" s="201"/>
      <c r="GO76" s="201"/>
      <c r="GP76" s="201"/>
      <c r="GQ76" s="201"/>
      <c r="GR76" s="201"/>
      <c r="GS76" s="201"/>
      <c r="GT76" s="201"/>
      <c r="GU76" s="201"/>
      <c r="GV76" s="201"/>
      <c r="GW76" s="201"/>
      <c r="GX76" s="201"/>
      <c r="GY76" s="201"/>
      <c r="GZ76" s="201"/>
      <c r="HA76" s="201"/>
    </row>
    <row r="77" spans="4:209" ht="10.15" customHeight="1">
      <c r="D77" s="198"/>
      <c r="E77" s="204"/>
      <c r="F77" s="249"/>
      <c r="G77" s="250"/>
      <c r="H77" s="250"/>
      <c r="I77" s="250"/>
      <c r="J77" s="250"/>
      <c r="K77" s="250"/>
      <c r="L77" s="250"/>
      <c r="M77" s="250"/>
      <c r="N77" s="250"/>
      <c r="O77" s="250"/>
      <c r="P77" s="250"/>
      <c r="Q77" s="250"/>
      <c r="R77" s="250"/>
      <c r="S77" s="250"/>
      <c r="T77" s="250"/>
      <c r="U77" s="250"/>
      <c r="V77" s="250"/>
      <c r="W77" s="250"/>
      <c r="X77" s="250"/>
      <c r="Y77" s="250"/>
      <c r="Z77" s="250"/>
      <c r="AA77" s="250"/>
      <c r="AB77" s="250"/>
      <c r="AC77" s="251"/>
      <c r="AD77" s="205"/>
      <c r="AE77" s="588"/>
      <c r="AF77" s="589"/>
      <c r="AG77" s="589"/>
      <c r="AH77" s="589"/>
      <c r="AI77" s="589"/>
      <c r="AJ77" s="589"/>
      <c r="AK77" s="589"/>
      <c r="AL77" s="589"/>
      <c r="AM77" s="589"/>
      <c r="AN77" s="589"/>
      <c r="AO77" s="589"/>
      <c r="AP77" s="589"/>
      <c r="AQ77" s="589"/>
      <c r="AR77" s="589"/>
      <c r="AS77" s="589"/>
      <c r="AT77" s="589"/>
      <c r="AU77" s="589"/>
      <c r="AV77" s="589"/>
      <c r="AW77" s="589"/>
      <c r="AX77" s="589"/>
      <c r="AY77" s="589"/>
      <c r="AZ77" s="589"/>
      <c r="BA77" s="589"/>
      <c r="BB77" s="589"/>
      <c r="BC77" s="589"/>
      <c r="BD77" s="589"/>
      <c r="BE77" s="589"/>
      <c r="BF77" s="589"/>
      <c r="BG77" s="589"/>
      <c r="BH77" s="589"/>
      <c r="BI77" s="589"/>
      <c r="BJ77" s="589"/>
      <c r="BK77" s="589"/>
      <c r="BL77" s="589"/>
      <c r="BM77" s="589"/>
      <c r="BN77" s="589"/>
      <c r="BO77" s="589"/>
      <c r="BP77" s="589"/>
      <c r="BQ77" s="589"/>
      <c r="BR77" s="589"/>
      <c r="BS77" s="589"/>
      <c r="BT77" s="589"/>
      <c r="BU77" s="589"/>
      <c r="BV77" s="589"/>
      <c r="BW77" s="589"/>
      <c r="BX77" s="589"/>
      <c r="BY77" s="589"/>
      <c r="BZ77" s="589"/>
      <c r="CA77" s="590"/>
      <c r="CB77" s="205"/>
      <c r="CC77" s="200"/>
      <c r="CD77" s="245"/>
      <c r="GL77" s="201"/>
      <c r="GM77" s="201"/>
      <c r="GN77" s="201"/>
      <c r="GO77" s="201"/>
      <c r="GP77" s="201"/>
      <c r="GQ77" s="201"/>
      <c r="GR77" s="201"/>
      <c r="GS77" s="201"/>
      <c r="GT77" s="201"/>
      <c r="GU77" s="201"/>
      <c r="GV77" s="201"/>
      <c r="GW77" s="201"/>
      <c r="GX77" s="201"/>
      <c r="GY77" s="201"/>
      <c r="GZ77" s="201"/>
      <c r="HA77" s="201"/>
    </row>
    <row r="78" spans="4:209" ht="10.15" customHeight="1">
      <c r="D78" s="198"/>
      <c r="E78" s="204"/>
      <c r="F78" s="249"/>
      <c r="G78" s="250"/>
      <c r="H78" s="250"/>
      <c r="I78" s="250"/>
      <c r="J78" s="250"/>
      <c r="K78" s="250"/>
      <c r="L78" s="250"/>
      <c r="M78" s="250"/>
      <c r="N78" s="250"/>
      <c r="O78" s="250"/>
      <c r="P78" s="250"/>
      <c r="Q78" s="250"/>
      <c r="R78" s="250"/>
      <c r="S78" s="250"/>
      <c r="T78" s="250"/>
      <c r="U78" s="250"/>
      <c r="V78" s="250"/>
      <c r="W78" s="250"/>
      <c r="X78" s="250"/>
      <c r="Y78" s="250"/>
      <c r="Z78" s="250"/>
      <c r="AA78" s="250"/>
      <c r="AB78" s="250"/>
      <c r="AC78" s="251"/>
      <c r="AD78" s="205"/>
      <c r="AE78" s="588"/>
      <c r="AF78" s="589"/>
      <c r="AG78" s="589"/>
      <c r="AH78" s="589"/>
      <c r="AI78" s="589"/>
      <c r="AJ78" s="589"/>
      <c r="AK78" s="589"/>
      <c r="AL78" s="589"/>
      <c r="AM78" s="589"/>
      <c r="AN78" s="589"/>
      <c r="AO78" s="589"/>
      <c r="AP78" s="589"/>
      <c r="AQ78" s="589"/>
      <c r="AR78" s="589"/>
      <c r="AS78" s="589"/>
      <c r="AT78" s="589"/>
      <c r="AU78" s="589"/>
      <c r="AV78" s="589"/>
      <c r="AW78" s="589"/>
      <c r="AX78" s="589"/>
      <c r="AY78" s="589"/>
      <c r="AZ78" s="589"/>
      <c r="BA78" s="589"/>
      <c r="BB78" s="589"/>
      <c r="BC78" s="589"/>
      <c r="BD78" s="589"/>
      <c r="BE78" s="589"/>
      <c r="BF78" s="589"/>
      <c r="BG78" s="589"/>
      <c r="BH78" s="589"/>
      <c r="BI78" s="589"/>
      <c r="BJ78" s="589"/>
      <c r="BK78" s="589"/>
      <c r="BL78" s="589"/>
      <c r="BM78" s="589"/>
      <c r="BN78" s="589"/>
      <c r="BO78" s="589"/>
      <c r="BP78" s="589"/>
      <c r="BQ78" s="589"/>
      <c r="BR78" s="589"/>
      <c r="BS78" s="589"/>
      <c r="BT78" s="589"/>
      <c r="BU78" s="589"/>
      <c r="BV78" s="589"/>
      <c r="BW78" s="589"/>
      <c r="BX78" s="589"/>
      <c r="BY78" s="589"/>
      <c r="BZ78" s="589"/>
      <c r="CA78" s="590"/>
      <c r="CB78" s="205"/>
      <c r="CC78" s="200"/>
      <c r="CD78" s="245"/>
      <c r="GL78" s="201"/>
      <c r="GM78" s="201"/>
      <c r="GN78" s="201"/>
      <c r="GO78" s="201"/>
      <c r="GP78" s="201"/>
      <c r="GQ78" s="201"/>
      <c r="GR78" s="201"/>
      <c r="GS78" s="201"/>
      <c r="GT78" s="201"/>
      <c r="GU78" s="201"/>
      <c r="GV78" s="201"/>
      <c r="GW78" s="201"/>
      <c r="GX78" s="201"/>
      <c r="GY78" s="201"/>
      <c r="GZ78" s="201"/>
      <c r="HA78" s="201"/>
    </row>
    <row r="79" spans="4:209" ht="10.15" customHeight="1">
      <c r="D79" s="198"/>
      <c r="E79" s="204"/>
      <c r="F79" s="249"/>
      <c r="G79" s="250"/>
      <c r="H79" s="250"/>
      <c r="I79" s="250"/>
      <c r="J79" s="250"/>
      <c r="K79" s="250"/>
      <c r="L79" s="250"/>
      <c r="M79" s="250"/>
      <c r="N79" s="250"/>
      <c r="O79" s="250"/>
      <c r="P79" s="250"/>
      <c r="Q79" s="250"/>
      <c r="R79" s="250"/>
      <c r="S79" s="250"/>
      <c r="T79" s="250"/>
      <c r="U79" s="250"/>
      <c r="V79" s="250"/>
      <c r="W79" s="250"/>
      <c r="X79" s="250"/>
      <c r="Y79" s="250"/>
      <c r="Z79" s="250"/>
      <c r="AA79" s="250"/>
      <c r="AB79" s="250"/>
      <c r="AC79" s="251"/>
      <c r="AD79" s="205"/>
      <c r="AE79" s="588"/>
      <c r="AF79" s="589"/>
      <c r="AG79" s="589"/>
      <c r="AH79" s="589"/>
      <c r="AI79" s="589"/>
      <c r="AJ79" s="589"/>
      <c r="AK79" s="589"/>
      <c r="AL79" s="589"/>
      <c r="AM79" s="589"/>
      <c r="AN79" s="589"/>
      <c r="AO79" s="589"/>
      <c r="AP79" s="589"/>
      <c r="AQ79" s="589"/>
      <c r="AR79" s="589"/>
      <c r="AS79" s="589"/>
      <c r="AT79" s="589"/>
      <c r="AU79" s="589"/>
      <c r="AV79" s="589"/>
      <c r="AW79" s="589"/>
      <c r="AX79" s="589"/>
      <c r="AY79" s="589"/>
      <c r="AZ79" s="589"/>
      <c r="BA79" s="589"/>
      <c r="BB79" s="589"/>
      <c r="BC79" s="589"/>
      <c r="BD79" s="589"/>
      <c r="BE79" s="589"/>
      <c r="BF79" s="589"/>
      <c r="BG79" s="589"/>
      <c r="BH79" s="589"/>
      <c r="BI79" s="589"/>
      <c r="BJ79" s="589"/>
      <c r="BK79" s="589"/>
      <c r="BL79" s="589"/>
      <c r="BM79" s="589"/>
      <c r="BN79" s="589"/>
      <c r="BO79" s="589"/>
      <c r="BP79" s="589"/>
      <c r="BQ79" s="589"/>
      <c r="BR79" s="589"/>
      <c r="BS79" s="589"/>
      <c r="BT79" s="589"/>
      <c r="BU79" s="589"/>
      <c r="BV79" s="589"/>
      <c r="BW79" s="589"/>
      <c r="BX79" s="589"/>
      <c r="BY79" s="589"/>
      <c r="BZ79" s="589"/>
      <c r="CA79" s="590"/>
      <c r="CB79" s="205"/>
      <c r="CC79" s="200"/>
      <c r="CD79" s="245"/>
      <c r="GL79" s="201"/>
      <c r="GM79" s="201"/>
      <c r="GN79" s="201"/>
      <c r="GO79" s="201"/>
      <c r="GP79" s="201"/>
      <c r="GQ79" s="201"/>
      <c r="GR79" s="201"/>
      <c r="GS79" s="201"/>
      <c r="GT79" s="201"/>
      <c r="GU79" s="201"/>
      <c r="GV79" s="201"/>
      <c r="GW79" s="201"/>
      <c r="GX79" s="201"/>
      <c r="GY79" s="201"/>
      <c r="GZ79" s="201"/>
      <c r="HA79" s="201"/>
    </row>
    <row r="80" spans="4:209" ht="10.15" customHeight="1">
      <c r="D80" s="198"/>
      <c r="E80" s="204"/>
      <c r="F80" s="249"/>
      <c r="G80" s="250"/>
      <c r="H80" s="250"/>
      <c r="I80" s="250"/>
      <c r="J80" s="250"/>
      <c r="K80" s="250"/>
      <c r="L80" s="250"/>
      <c r="M80" s="250"/>
      <c r="N80" s="250"/>
      <c r="O80" s="250"/>
      <c r="P80" s="250"/>
      <c r="Q80" s="250"/>
      <c r="R80" s="250"/>
      <c r="S80" s="250"/>
      <c r="T80" s="250"/>
      <c r="U80" s="250"/>
      <c r="V80" s="250"/>
      <c r="W80" s="250"/>
      <c r="X80" s="250"/>
      <c r="Y80" s="250"/>
      <c r="Z80" s="250"/>
      <c r="AA80" s="250"/>
      <c r="AB80" s="250"/>
      <c r="AC80" s="251"/>
      <c r="AD80" s="205"/>
      <c r="AE80" s="588"/>
      <c r="AF80" s="589"/>
      <c r="AG80" s="589"/>
      <c r="AH80" s="589"/>
      <c r="AI80" s="589"/>
      <c r="AJ80" s="589"/>
      <c r="AK80" s="589"/>
      <c r="AL80" s="589"/>
      <c r="AM80" s="589"/>
      <c r="AN80" s="589"/>
      <c r="AO80" s="589"/>
      <c r="AP80" s="589"/>
      <c r="AQ80" s="589"/>
      <c r="AR80" s="589"/>
      <c r="AS80" s="589"/>
      <c r="AT80" s="589"/>
      <c r="AU80" s="589"/>
      <c r="AV80" s="589"/>
      <c r="AW80" s="589"/>
      <c r="AX80" s="589"/>
      <c r="AY80" s="589"/>
      <c r="AZ80" s="589"/>
      <c r="BA80" s="589"/>
      <c r="BB80" s="589"/>
      <c r="BC80" s="589"/>
      <c r="BD80" s="589"/>
      <c r="BE80" s="589"/>
      <c r="BF80" s="589"/>
      <c r="BG80" s="589"/>
      <c r="BH80" s="589"/>
      <c r="BI80" s="589"/>
      <c r="BJ80" s="589"/>
      <c r="BK80" s="589"/>
      <c r="BL80" s="589"/>
      <c r="BM80" s="589"/>
      <c r="BN80" s="589"/>
      <c r="BO80" s="589"/>
      <c r="BP80" s="589"/>
      <c r="BQ80" s="589"/>
      <c r="BR80" s="589"/>
      <c r="BS80" s="589"/>
      <c r="BT80" s="589"/>
      <c r="BU80" s="589"/>
      <c r="BV80" s="589"/>
      <c r="BW80" s="589"/>
      <c r="BX80" s="589"/>
      <c r="BY80" s="589"/>
      <c r="BZ80" s="589"/>
      <c r="CA80" s="590"/>
      <c r="CB80" s="205"/>
      <c r="CC80" s="200"/>
      <c r="CD80" s="245"/>
      <c r="GL80" s="201"/>
      <c r="GM80" s="201"/>
      <c r="GN80" s="201"/>
      <c r="GO80" s="201"/>
      <c r="GP80" s="201"/>
      <c r="GQ80" s="201"/>
      <c r="GR80" s="201"/>
      <c r="GS80" s="201"/>
      <c r="GT80" s="201"/>
      <c r="GU80" s="201"/>
      <c r="GV80" s="201"/>
      <c r="GW80" s="201"/>
      <c r="GX80" s="201"/>
      <c r="GY80" s="201"/>
      <c r="GZ80" s="201"/>
      <c r="HA80" s="201"/>
    </row>
    <row r="81" spans="1:209" ht="10.15" customHeight="1">
      <c r="D81" s="198"/>
      <c r="E81" s="204"/>
      <c r="F81" s="249"/>
      <c r="G81" s="250"/>
      <c r="H81" s="250"/>
      <c r="I81" s="250"/>
      <c r="J81" s="250"/>
      <c r="K81" s="250"/>
      <c r="L81" s="250"/>
      <c r="M81" s="250"/>
      <c r="N81" s="250"/>
      <c r="O81" s="250"/>
      <c r="P81" s="250"/>
      <c r="Q81" s="250"/>
      <c r="R81" s="250"/>
      <c r="S81" s="250"/>
      <c r="T81" s="250"/>
      <c r="U81" s="250"/>
      <c r="V81" s="250"/>
      <c r="W81" s="250"/>
      <c r="X81" s="250"/>
      <c r="Y81" s="250"/>
      <c r="Z81" s="250"/>
      <c r="AA81" s="250"/>
      <c r="AB81" s="250"/>
      <c r="AC81" s="251"/>
      <c r="AD81" s="205"/>
      <c r="AE81" s="588"/>
      <c r="AF81" s="589"/>
      <c r="AG81" s="589"/>
      <c r="AH81" s="589"/>
      <c r="AI81" s="589"/>
      <c r="AJ81" s="589"/>
      <c r="AK81" s="589"/>
      <c r="AL81" s="589"/>
      <c r="AM81" s="589"/>
      <c r="AN81" s="589"/>
      <c r="AO81" s="589"/>
      <c r="AP81" s="589"/>
      <c r="AQ81" s="589"/>
      <c r="AR81" s="589"/>
      <c r="AS81" s="589"/>
      <c r="AT81" s="589"/>
      <c r="AU81" s="589"/>
      <c r="AV81" s="589"/>
      <c r="AW81" s="589"/>
      <c r="AX81" s="589"/>
      <c r="AY81" s="589"/>
      <c r="AZ81" s="589"/>
      <c r="BA81" s="589"/>
      <c r="BB81" s="589"/>
      <c r="BC81" s="589"/>
      <c r="BD81" s="589"/>
      <c r="BE81" s="589"/>
      <c r="BF81" s="589"/>
      <c r="BG81" s="589"/>
      <c r="BH81" s="589"/>
      <c r="BI81" s="589"/>
      <c r="BJ81" s="589"/>
      <c r="BK81" s="589"/>
      <c r="BL81" s="589"/>
      <c r="BM81" s="589"/>
      <c r="BN81" s="589"/>
      <c r="BO81" s="589"/>
      <c r="BP81" s="589"/>
      <c r="BQ81" s="589"/>
      <c r="BR81" s="589"/>
      <c r="BS81" s="589"/>
      <c r="BT81" s="589"/>
      <c r="BU81" s="589"/>
      <c r="BV81" s="589"/>
      <c r="BW81" s="589"/>
      <c r="BX81" s="589"/>
      <c r="BY81" s="589"/>
      <c r="BZ81" s="589"/>
      <c r="CA81" s="590"/>
      <c r="CB81" s="205"/>
      <c r="CC81" s="200"/>
      <c r="CD81" s="245"/>
      <c r="GL81" s="201"/>
      <c r="GM81" s="201"/>
      <c r="GN81" s="201"/>
      <c r="GO81" s="201"/>
      <c r="GP81" s="201"/>
      <c r="GQ81" s="201"/>
      <c r="GR81" s="201"/>
      <c r="GS81" s="201"/>
      <c r="GT81" s="201"/>
      <c r="GU81" s="201"/>
      <c r="GV81" s="201"/>
      <c r="GW81" s="201"/>
      <c r="GX81" s="201"/>
      <c r="GY81" s="201"/>
      <c r="GZ81" s="201"/>
      <c r="HA81" s="201"/>
    </row>
    <row r="82" spans="1:209" ht="10.15" customHeight="1">
      <c r="D82" s="198"/>
      <c r="E82" s="204"/>
      <c r="F82" s="249"/>
      <c r="G82" s="250"/>
      <c r="H82" s="250"/>
      <c r="I82" s="250"/>
      <c r="J82" s="250"/>
      <c r="K82" s="250"/>
      <c r="L82" s="250"/>
      <c r="M82" s="250"/>
      <c r="N82" s="250"/>
      <c r="O82" s="250"/>
      <c r="P82" s="250"/>
      <c r="Q82" s="250"/>
      <c r="R82" s="250"/>
      <c r="S82" s="250"/>
      <c r="T82" s="250"/>
      <c r="U82" s="250"/>
      <c r="V82" s="250"/>
      <c r="W82" s="250"/>
      <c r="X82" s="250"/>
      <c r="Y82" s="250"/>
      <c r="Z82" s="250"/>
      <c r="AA82" s="250"/>
      <c r="AB82" s="250"/>
      <c r="AC82" s="251"/>
      <c r="AD82" s="205"/>
      <c r="AE82" s="588"/>
      <c r="AF82" s="589"/>
      <c r="AG82" s="589"/>
      <c r="AH82" s="589"/>
      <c r="AI82" s="589"/>
      <c r="AJ82" s="589"/>
      <c r="AK82" s="589"/>
      <c r="AL82" s="589"/>
      <c r="AM82" s="589"/>
      <c r="AN82" s="589"/>
      <c r="AO82" s="589"/>
      <c r="AP82" s="589"/>
      <c r="AQ82" s="589"/>
      <c r="AR82" s="589"/>
      <c r="AS82" s="589"/>
      <c r="AT82" s="589"/>
      <c r="AU82" s="589"/>
      <c r="AV82" s="589"/>
      <c r="AW82" s="589"/>
      <c r="AX82" s="589"/>
      <c r="AY82" s="589"/>
      <c r="AZ82" s="589"/>
      <c r="BA82" s="589"/>
      <c r="BB82" s="589"/>
      <c r="BC82" s="589"/>
      <c r="BD82" s="589"/>
      <c r="BE82" s="589"/>
      <c r="BF82" s="589"/>
      <c r="BG82" s="589"/>
      <c r="BH82" s="589"/>
      <c r="BI82" s="589"/>
      <c r="BJ82" s="589"/>
      <c r="BK82" s="589"/>
      <c r="BL82" s="589"/>
      <c r="BM82" s="589"/>
      <c r="BN82" s="589"/>
      <c r="BO82" s="589"/>
      <c r="BP82" s="589"/>
      <c r="BQ82" s="589"/>
      <c r="BR82" s="589"/>
      <c r="BS82" s="589"/>
      <c r="BT82" s="589"/>
      <c r="BU82" s="589"/>
      <c r="BV82" s="589"/>
      <c r="BW82" s="589"/>
      <c r="BX82" s="589"/>
      <c r="BY82" s="589"/>
      <c r="BZ82" s="589"/>
      <c r="CA82" s="590"/>
      <c r="CB82" s="205"/>
      <c r="CC82" s="200"/>
      <c r="CD82" s="245"/>
      <c r="GL82" s="201"/>
      <c r="GM82" s="201"/>
      <c r="GN82" s="201"/>
      <c r="GO82" s="201"/>
      <c r="GP82" s="201"/>
      <c r="GQ82" s="201"/>
      <c r="GR82" s="201"/>
      <c r="GS82" s="201"/>
      <c r="GT82" s="201"/>
      <c r="GU82" s="201"/>
      <c r="GV82" s="201"/>
      <c r="GW82" s="201"/>
      <c r="GX82" s="201"/>
      <c r="GY82" s="201"/>
      <c r="GZ82" s="201"/>
      <c r="HA82" s="201"/>
    </row>
    <row r="83" spans="1:209" ht="10.15" customHeight="1">
      <c r="D83" s="198"/>
      <c r="E83" s="204"/>
      <c r="F83" s="249"/>
      <c r="G83" s="250"/>
      <c r="H83" s="250"/>
      <c r="I83" s="250"/>
      <c r="J83" s="250"/>
      <c r="K83" s="250"/>
      <c r="L83" s="250"/>
      <c r="M83" s="250"/>
      <c r="N83" s="250"/>
      <c r="O83" s="250"/>
      <c r="P83" s="250"/>
      <c r="Q83" s="250"/>
      <c r="R83" s="250"/>
      <c r="S83" s="250"/>
      <c r="T83" s="250"/>
      <c r="U83" s="250"/>
      <c r="V83" s="250"/>
      <c r="W83" s="250"/>
      <c r="X83" s="250"/>
      <c r="Y83" s="250"/>
      <c r="Z83" s="250"/>
      <c r="AA83" s="250"/>
      <c r="AB83" s="250"/>
      <c r="AC83" s="251"/>
      <c r="AD83" s="205"/>
      <c r="AE83" s="588"/>
      <c r="AF83" s="589"/>
      <c r="AG83" s="589"/>
      <c r="AH83" s="589"/>
      <c r="AI83" s="589"/>
      <c r="AJ83" s="589"/>
      <c r="AK83" s="589"/>
      <c r="AL83" s="589"/>
      <c r="AM83" s="589"/>
      <c r="AN83" s="589"/>
      <c r="AO83" s="589"/>
      <c r="AP83" s="589"/>
      <c r="AQ83" s="589"/>
      <c r="AR83" s="589"/>
      <c r="AS83" s="589"/>
      <c r="AT83" s="589"/>
      <c r="AU83" s="589"/>
      <c r="AV83" s="589"/>
      <c r="AW83" s="589"/>
      <c r="AX83" s="589"/>
      <c r="AY83" s="589"/>
      <c r="AZ83" s="589"/>
      <c r="BA83" s="589"/>
      <c r="BB83" s="589"/>
      <c r="BC83" s="589"/>
      <c r="BD83" s="589"/>
      <c r="BE83" s="589"/>
      <c r="BF83" s="589"/>
      <c r="BG83" s="589"/>
      <c r="BH83" s="589"/>
      <c r="BI83" s="589"/>
      <c r="BJ83" s="589"/>
      <c r="BK83" s="589"/>
      <c r="BL83" s="589"/>
      <c r="BM83" s="589"/>
      <c r="BN83" s="589"/>
      <c r="BO83" s="589"/>
      <c r="BP83" s="589"/>
      <c r="BQ83" s="589"/>
      <c r="BR83" s="589"/>
      <c r="BS83" s="589"/>
      <c r="BT83" s="589"/>
      <c r="BU83" s="589"/>
      <c r="BV83" s="589"/>
      <c r="BW83" s="589"/>
      <c r="BX83" s="589"/>
      <c r="BY83" s="589"/>
      <c r="BZ83" s="589"/>
      <c r="CA83" s="590"/>
      <c r="CB83" s="205"/>
      <c r="CC83" s="200"/>
      <c r="CD83" s="245"/>
      <c r="GL83" s="201"/>
      <c r="GM83" s="201"/>
      <c r="GN83" s="201"/>
      <c r="GO83" s="201"/>
      <c r="GP83" s="201"/>
      <c r="GQ83" s="201"/>
      <c r="GR83" s="201"/>
      <c r="GS83" s="201"/>
      <c r="GT83" s="201"/>
      <c r="GU83" s="201"/>
      <c r="GV83" s="201"/>
      <c r="GW83" s="201"/>
      <c r="GX83" s="201"/>
      <c r="GY83" s="201"/>
      <c r="GZ83" s="201"/>
      <c r="HA83" s="201"/>
    </row>
    <row r="84" spans="1:209" ht="10.15" customHeight="1">
      <c r="D84" s="198"/>
      <c r="E84" s="204"/>
      <c r="F84" s="249"/>
      <c r="G84" s="250"/>
      <c r="H84" s="250"/>
      <c r="I84" s="250"/>
      <c r="J84" s="250"/>
      <c r="K84" s="250"/>
      <c r="L84" s="250"/>
      <c r="M84" s="250"/>
      <c r="N84" s="250"/>
      <c r="O84" s="250"/>
      <c r="P84" s="250"/>
      <c r="Q84" s="250"/>
      <c r="R84" s="250"/>
      <c r="S84" s="250"/>
      <c r="T84" s="250"/>
      <c r="U84" s="250"/>
      <c r="V84" s="250"/>
      <c r="W84" s="250"/>
      <c r="X84" s="250"/>
      <c r="Y84" s="250"/>
      <c r="Z84" s="250"/>
      <c r="AA84" s="250"/>
      <c r="AB84" s="250"/>
      <c r="AC84" s="251"/>
      <c r="AD84" s="205"/>
      <c r="AE84" s="588"/>
      <c r="AF84" s="589"/>
      <c r="AG84" s="589"/>
      <c r="AH84" s="589"/>
      <c r="AI84" s="589"/>
      <c r="AJ84" s="589"/>
      <c r="AK84" s="589"/>
      <c r="AL84" s="589"/>
      <c r="AM84" s="589"/>
      <c r="AN84" s="589"/>
      <c r="AO84" s="589"/>
      <c r="AP84" s="589"/>
      <c r="AQ84" s="589"/>
      <c r="AR84" s="589"/>
      <c r="AS84" s="589"/>
      <c r="AT84" s="589"/>
      <c r="AU84" s="589"/>
      <c r="AV84" s="589"/>
      <c r="AW84" s="589"/>
      <c r="AX84" s="589"/>
      <c r="AY84" s="589"/>
      <c r="AZ84" s="589"/>
      <c r="BA84" s="589"/>
      <c r="BB84" s="589"/>
      <c r="BC84" s="589"/>
      <c r="BD84" s="589"/>
      <c r="BE84" s="589"/>
      <c r="BF84" s="589"/>
      <c r="BG84" s="589"/>
      <c r="BH84" s="589"/>
      <c r="BI84" s="589"/>
      <c r="BJ84" s="589"/>
      <c r="BK84" s="589"/>
      <c r="BL84" s="589"/>
      <c r="BM84" s="589"/>
      <c r="BN84" s="589"/>
      <c r="BO84" s="589"/>
      <c r="BP84" s="589"/>
      <c r="BQ84" s="589"/>
      <c r="BR84" s="589"/>
      <c r="BS84" s="589"/>
      <c r="BT84" s="589"/>
      <c r="BU84" s="589"/>
      <c r="BV84" s="589"/>
      <c r="BW84" s="589"/>
      <c r="BX84" s="589"/>
      <c r="BY84" s="589"/>
      <c r="BZ84" s="589"/>
      <c r="CA84" s="590"/>
      <c r="CB84" s="205"/>
      <c r="CC84" s="200"/>
      <c r="CD84" s="245"/>
      <c r="GL84" s="201"/>
      <c r="GM84" s="201"/>
      <c r="GN84" s="201"/>
      <c r="GO84" s="201"/>
      <c r="GP84" s="201"/>
      <c r="GQ84" s="201"/>
      <c r="GR84" s="201"/>
      <c r="GS84" s="201"/>
      <c r="GT84" s="201"/>
      <c r="GU84" s="201"/>
      <c r="GV84" s="201"/>
      <c r="GW84" s="201"/>
      <c r="GX84" s="201"/>
      <c r="GY84" s="201"/>
      <c r="GZ84" s="201"/>
      <c r="HA84" s="201"/>
    </row>
    <row r="85" spans="1:209" ht="10.15" customHeight="1">
      <c r="D85" s="198"/>
      <c r="E85" s="204"/>
      <c r="F85" s="249"/>
      <c r="G85" s="250"/>
      <c r="H85" s="250"/>
      <c r="I85" s="250"/>
      <c r="J85" s="250"/>
      <c r="K85" s="250"/>
      <c r="L85" s="250"/>
      <c r="M85" s="250"/>
      <c r="N85" s="250"/>
      <c r="O85" s="250"/>
      <c r="P85" s="250"/>
      <c r="Q85" s="250"/>
      <c r="R85" s="250"/>
      <c r="S85" s="250"/>
      <c r="T85" s="250"/>
      <c r="U85" s="250"/>
      <c r="V85" s="250"/>
      <c r="W85" s="250"/>
      <c r="X85" s="250"/>
      <c r="Y85" s="250"/>
      <c r="Z85" s="250"/>
      <c r="AA85" s="250"/>
      <c r="AB85" s="250"/>
      <c r="AC85" s="251"/>
      <c r="AD85" s="205"/>
      <c r="AE85" s="588"/>
      <c r="AF85" s="589"/>
      <c r="AG85" s="589"/>
      <c r="AH85" s="589"/>
      <c r="AI85" s="589"/>
      <c r="AJ85" s="589"/>
      <c r="AK85" s="589"/>
      <c r="AL85" s="589"/>
      <c r="AM85" s="589"/>
      <c r="AN85" s="589"/>
      <c r="AO85" s="589"/>
      <c r="AP85" s="589"/>
      <c r="AQ85" s="589"/>
      <c r="AR85" s="589"/>
      <c r="AS85" s="589"/>
      <c r="AT85" s="589"/>
      <c r="AU85" s="589"/>
      <c r="AV85" s="589"/>
      <c r="AW85" s="589"/>
      <c r="AX85" s="589"/>
      <c r="AY85" s="589"/>
      <c r="AZ85" s="589"/>
      <c r="BA85" s="589"/>
      <c r="BB85" s="589"/>
      <c r="BC85" s="589"/>
      <c r="BD85" s="589"/>
      <c r="BE85" s="589"/>
      <c r="BF85" s="589"/>
      <c r="BG85" s="589"/>
      <c r="BH85" s="589"/>
      <c r="BI85" s="589"/>
      <c r="BJ85" s="589"/>
      <c r="BK85" s="589"/>
      <c r="BL85" s="589"/>
      <c r="BM85" s="589"/>
      <c r="BN85" s="589"/>
      <c r="BO85" s="589"/>
      <c r="BP85" s="589"/>
      <c r="BQ85" s="589"/>
      <c r="BR85" s="589"/>
      <c r="BS85" s="589"/>
      <c r="BT85" s="589"/>
      <c r="BU85" s="589"/>
      <c r="BV85" s="589"/>
      <c r="BW85" s="589"/>
      <c r="BX85" s="589"/>
      <c r="BY85" s="589"/>
      <c r="BZ85" s="589"/>
      <c r="CA85" s="590"/>
      <c r="CB85" s="205"/>
      <c r="CC85" s="200"/>
      <c r="CD85" s="245"/>
      <c r="GL85" s="201"/>
      <c r="GM85" s="201"/>
      <c r="GN85" s="201"/>
      <c r="GO85" s="201"/>
      <c r="GP85" s="201"/>
      <c r="GQ85" s="201"/>
      <c r="GR85" s="201"/>
      <c r="GS85" s="201"/>
      <c r="GT85" s="201"/>
      <c r="GU85" s="201"/>
      <c r="GV85" s="201"/>
      <c r="GW85" s="201"/>
      <c r="GX85" s="201"/>
      <c r="GY85" s="201"/>
      <c r="GZ85" s="201"/>
      <c r="HA85" s="201"/>
    </row>
    <row r="86" spans="1:209" ht="10.15" customHeight="1">
      <c r="D86" s="198"/>
      <c r="E86" s="204"/>
      <c r="F86" s="249"/>
      <c r="G86" s="250"/>
      <c r="H86" s="250"/>
      <c r="I86" s="250"/>
      <c r="J86" s="250"/>
      <c r="K86" s="250"/>
      <c r="L86" s="250"/>
      <c r="M86" s="250"/>
      <c r="N86" s="250"/>
      <c r="O86" s="250"/>
      <c r="P86" s="250"/>
      <c r="Q86" s="250"/>
      <c r="R86" s="250"/>
      <c r="S86" s="250"/>
      <c r="T86" s="250"/>
      <c r="U86" s="250"/>
      <c r="V86" s="250"/>
      <c r="W86" s="250"/>
      <c r="X86" s="250"/>
      <c r="Y86" s="250"/>
      <c r="Z86" s="250"/>
      <c r="AA86" s="250"/>
      <c r="AB86" s="250"/>
      <c r="AC86" s="251"/>
      <c r="AD86" s="205"/>
      <c r="AE86" s="588"/>
      <c r="AF86" s="589"/>
      <c r="AG86" s="589"/>
      <c r="AH86" s="589"/>
      <c r="AI86" s="589"/>
      <c r="AJ86" s="589"/>
      <c r="AK86" s="589"/>
      <c r="AL86" s="589"/>
      <c r="AM86" s="589"/>
      <c r="AN86" s="589"/>
      <c r="AO86" s="589"/>
      <c r="AP86" s="589"/>
      <c r="AQ86" s="589"/>
      <c r="AR86" s="589"/>
      <c r="AS86" s="589"/>
      <c r="AT86" s="589"/>
      <c r="AU86" s="589"/>
      <c r="AV86" s="589"/>
      <c r="AW86" s="589"/>
      <c r="AX86" s="589"/>
      <c r="AY86" s="589"/>
      <c r="AZ86" s="589"/>
      <c r="BA86" s="589"/>
      <c r="BB86" s="589"/>
      <c r="BC86" s="589"/>
      <c r="BD86" s="589"/>
      <c r="BE86" s="589"/>
      <c r="BF86" s="589"/>
      <c r="BG86" s="589"/>
      <c r="BH86" s="589"/>
      <c r="BI86" s="589"/>
      <c r="BJ86" s="589"/>
      <c r="BK86" s="589"/>
      <c r="BL86" s="589"/>
      <c r="BM86" s="589"/>
      <c r="BN86" s="589"/>
      <c r="BO86" s="589"/>
      <c r="BP86" s="589"/>
      <c r="BQ86" s="589"/>
      <c r="BR86" s="589"/>
      <c r="BS86" s="589"/>
      <c r="BT86" s="589"/>
      <c r="BU86" s="589"/>
      <c r="BV86" s="589"/>
      <c r="BW86" s="589"/>
      <c r="BX86" s="589"/>
      <c r="BY86" s="589"/>
      <c r="BZ86" s="589"/>
      <c r="CA86" s="590"/>
      <c r="CB86" s="205"/>
      <c r="CC86" s="200"/>
      <c r="CD86" s="245"/>
      <c r="GL86" s="201"/>
      <c r="GM86" s="201"/>
      <c r="GN86" s="201"/>
      <c r="GO86" s="201"/>
      <c r="GP86" s="201"/>
      <c r="GQ86" s="201"/>
      <c r="GR86" s="201"/>
      <c r="GS86" s="201"/>
      <c r="GT86" s="201"/>
      <c r="GU86" s="201"/>
      <c r="GV86" s="201"/>
      <c r="GW86" s="201"/>
      <c r="GX86" s="201"/>
      <c r="GY86" s="201"/>
      <c r="GZ86" s="201"/>
      <c r="HA86" s="201"/>
    </row>
    <row r="87" spans="1:209" ht="10.15" customHeight="1">
      <c r="D87" s="198"/>
      <c r="E87" s="204"/>
      <c r="F87" s="249"/>
      <c r="G87" s="250"/>
      <c r="H87" s="250"/>
      <c r="I87" s="250"/>
      <c r="J87" s="250"/>
      <c r="K87" s="250"/>
      <c r="L87" s="250"/>
      <c r="M87" s="250"/>
      <c r="N87" s="250"/>
      <c r="O87" s="250"/>
      <c r="P87" s="250"/>
      <c r="Q87" s="250"/>
      <c r="R87" s="250"/>
      <c r="S87" s="250"/>
      <c r="T87" s="250"/>
      <c r="U87" s="250"/>
      <c r="V87" s="250"/>
      <c r="W87" s="250"/>
      <c r="X87" s="250"/>
      <c r="Y87" s="250"/>
      <c r="Z87" s="250"/>
      <c r="AA87" s="250"/>
      <c r="AB87" s="250"/>
      <c r="AC87" s="251"/>
      <c r="AD87" s="205"/>
      <c r="AE87" s="588"/>
      <c r="AF87" s="589"/>
      <c r="AG87" s="589"/>
      <c r="AH87" s="589"/>
      <c r="AI87" s="589"/>
      <c r="AJ87" s="589"/>
      <c r="AK87" s="589"/>
      <c r="AL87" s="589"/>
      <c r="AM87" s="589"/>
      <c r="AN87" s="589"/>
      <c r="AO87" s="589"/>
      <c r="AP87" s="589"/>
      <c r="AQ87" s="589"/>
      <c r="AR87" s="589"/>
      <c r="AS87" s="589"/>
      <c r="AT87" s="589"/>
      <c r="AU87" s="589"/>
      <c r="AV87" s="589"/>
      <c r="AW87" s="589"/>
      <c r="AX87" s="589"/>
      <c r="AY87" s="589"/>
      <c r="AZ87" s="589"/>
      <c r="BA87" s="589"/>
      <c r="BB87" s="589"/>
      <c r="BC87" s="589"/>
      <c r="BD87" s="589"/>
      <c r="BE87" s="589"/>
      <c r="BF87" s="589"/>
      <c r="BG87" s="589"/>
      <c r="BH87" s="589"/>
      <c r="BI87" s="589"/>
      <c r="BJ87" s="589"/>
      <c r="BK87" s="589"/>
      <c r="BL87" s="589"/>
      <c r="BM87" s="589"/>
      <c r="BN87" s="589"/>
      <c r="BO87" s="589"/>
      <c r="BP87" s="589"/>
      <c r="BQ87" s="589"/>
      <c r="BR87" s="589"/>
      <c r="BS87" s="589"/>
      <c r="BT87" s="589"/>
      <c r="BU87" s="589"/>
      <c r="BV87" s="589"/>
      <c r="BW87" s="589"/>
      <c r="BX87" s="589"/>
      <c r="BY87" s="589"/>
      <c r="BZ87" s="589"/>
      <c r="CA87" s="590"/>
      <c r="CB87" s="205"/>
      <c r="CC87" s="200"/>
      <c r="CD87" s="245"/>
      <c r="GL87" s="201"/>
      <c r="GM87" s="201"/>
      <c r="GN87" s="201"/>
      <c r="GO87" s="201"/>
      <c r="GP87" s="201"/>
      <c r="GQ87" s="201"/>
      <c r="GR87" s="201"/>
      <c r="GS87" s="201"/>
      <c r="GT87" s="201"/>
      <c r="GU87" s="201"/>
      <c r="GV87" s="201"/>
      <c r="GW87" s="201"/>
      <c r="GX87" s="201"/>
      <c r="GY87" s="201"/>
      <c r="GZ87" s="201"/>
      <c r="HA87" s="201"/>
    </row>
    <row r="88" spans="1:209" ht="10.15" customHeight="1">
      <c r="D88" s="198"/>
      <c r="E88" s="204"/>
      <c r="F88" s="249"/>
      <c r="G88" s="250"/>
      <c r="H88" s="250"/>
      <c r="I88" s="250"/>
      <c r="J88" s="250"/>
      <c r="K88" s="250"/>
      <c r="L88" s="250"/>
      <c r="M88" s="250"/>
      <c r="N88" s="250"/>
      <c r="O88" s="250"/>
      <c r="P88" s="250"/>
      <c r="Q88" s="250"/>
      <c r="R88" s="250"/>
      <c r="S88" s="250"/>
      <c r="T88" s="250"/>
      <c r="U88" s="250"/>
      <c r="V88" s="250"/>
      <c r="W88" s="250"/>
      <c r="X88" s="250"/>
      <c r="Y88" s="250"/>
      <c r="Z88" s="250"/>
      <c r="AA88" s="250"/>
      <c r="AB88" s="250"/>
      <c r="AC88" s="251"/>
      <c r="AD88" s="205"/>
      <c r="AE88" s="588"/>
      <c r="AF88" s="589"/>
      <c r="AG88" s="589"/>
      <c r="AH88" s="589"/>
      <c r="AI88" s="589"/>
      <c r="AJ88" s="589"/>
      <c r="AK88" s="589"/>
      <c r="AL88" s="589"/>
      <c r="AM88" s="589"/>
      <c r="AN88" s="589"/>
      <c r="AO88" s="589"/>
      <c r="AP88" s="589"/>
      <c r="AQ88" s="589"/>
      <c r="AR88" s="589"/>
      <c r="AS88" s="589"/>
      <c r="AT88" s="589"/>
      <c r="AU88" s="589"/>
      <c r="AV88" s="589"/>
      <c r="AW88" s="589"/>
      <c r="AX88" s="589"/>
      <c r="AY88" s="589"/>
      <c r="AZ88" s="589"/>
      <c r="BA88" s="589"/>
      <c r="BB88" s="589"/>
      <c r="BC88" s="589"/>
      <c r="BD88" s="589"/>
      <c r="BE88" s="589"/>
      <c r="BF88" s="589"/>
      <c r="BG88" s="589"/>
      <c r="BH88" s="589"/>
      <c r="BI88" s="589"/>
      <c r="BJ88" s="589"/>
      <c r="BK88" s="589"/>
      <c r="BL88" s="589"/>
      <c r="BM88" s="589"/>
      <c r="BN88" s="589"/>
      <c r="BO88" s="589"/>
      <c r="BP88" s="589"/>
      <c r="BQ88" s="589"/>
      <c r="BR88" s="589"/>
      <c r="BS88" s="589"/>
      <c r="BT88" s="589"/>
      <c r="BU88" s="589"/>
      <c r="BV88" s="589"/>
      <c r="BW88" s="589"/>
      <c r="BX88" s="589"/>
      <c r="BY88" s="589"/>
      <c r="BZ88" s="589"/>
      <c r="CA88" s="590"/>
      <c r="CB88" s="205"/>
      <c r="CC88" s="200"/>
      <c r="CD88" s="245"/>
      <c r="GL88" s="201"/>
      <c r="GM88" s="201"/>
      <c r="GN88" s="201"/>
      <c r="GO88" s="201"/>
      <c r="GP88" s="201"/>
      <c r="GQ88" s="201"/>
      <c r="GR88" s="201"/>
      <c r="GS88" s="201"/>
      <c r="GT88" s="201"/>
      <c r="GU88" s="201"/>
      <c r="GV88" s="201"/>
      <c r="GW88" s="201"/>
      <c r="GX88" s="201"/>
      <c r="GY88" s="201"/>
      <c r="GZ88" s="201"/>
      <c r="HA88" s="201"/>
    </row>
    <row r="89" spans="1:209" ht="10.15" customHeight="1">
      <c r="D89" s="198"/>
      <c r="E89" s="204"/>
      <c r="F89" s="249"/>
      <c r="G89" s="250"/>
      <c r="H89" s="250"/>
      <c r="I89" s="250"/>
      <c r="J89" s="250"/>
      <c r="K89" s="250"/>
      <c r="L89" s="250"/>
      <c r="M89" s="250"/>
      <c r="N89" s="250"/>
      <c r="O89" s="250"/>
      <c r="P89" s="250"/>
      <c r="Q89" s="250"/>
      <c r="R89" s="250"/>
      <c r="S89" s="250"/>
      <c r="T89" s="250"/>
      <c r="U89" s="250"/>
      <c r="V89" s="250"/>
      <c r="W89" s="250"/>
      <c r="X89" s="250"/>
      <c r="Y89" s="250"/>
      <c r="Z89" s="250"/>
      <c r="AA89" s="250"/>
      <c r="AB89" s="250"/>
      <c r="AC89" s="251"/>
      <c r="AD89" s="205"/>
      <c r="AE89" s="588"/>
      <c r="AF89" s="589"/>
      <c r="AG89" s="589"/>
      <c r="AH89" s="589"/>
      <c r="AI89" s="589"/>
      <c r="AJ89" s="589"/>
      <c r="AK89" s="589"/>
      <c r="AL89" s="589"/>
      <c r="AM89" s="589"/>
      <c r="AN89" s="589"/>
      <c r="AO89" s="589"/>
      <c r="AP89" s="589"/>
      <c r="AQ89" s="589"/>
      <c r="AR89" s="589"/>
      <c r="AS89" s="589"/>
      <c r="AT89" s="589"/>
      <c r="AU89" s="589"/>
      <c r="AV89" s="589"/>
      <c r="AW89" s="589"/>
      <c r="AX89" s="589"/>
      <c r="AY89" s="589"/>
      <c r="AZ89" s="589"/>
      <c r="BA89" s="589"/>
      <c r="BB89" s="589"/>
      <c r="BC89" s="589"/>
      <c r="BD89" s="589"/>
      <c r="BE89" s="589"/>
      <c r="BF89" s="589"/>
      <c r="BG89" s="589"/>
      <c r="BH89" s="589"/>
      <c r="BI89" s="589"/>
      <c r="BJ89" s="589"/>
      <c r="BK89" s="589"/>
      <c r="BL89" s="589"/>
      <c r="BM89" s="589"/>
      <c r="BN89" s="589"/>
      <c r="BO89" s="589"/>
      <c r="BP89" s="589"/>
      <c r="BQ89" s="589"/>
      <c r="BR89" s="589"/>
      <c r="BS89" s="589"/>
      <c r="BT89" s="589"/>
      <c r="BU89" s="589"/>
      <c r="BV89" s="589"/>
      <c r="BW89" s="589"/>
      <c r="BX89" s="589"/>
      <c r="BY89" s="589"/>
      <c r="BZ89" s="589"/>
      <c r="CA89" s="590"/>
      <c r="CB89" s="205"/>
      <c r="CC89" s="200"/>
      <c r="CD89" s="245"/>
      <c r="GL89" s="201"/>
      <c r="GM89" s="201"/>
      <c r="GN89" s="201"/>
      <c r="GO89" s="201"/>
      <c r="GP89" s="201"/>
      <c r="GQ89" s="201"/>
      <c r="GR89" s="201"/>
      <c r="GS89" s="201"/>
      <c r="GT89" s="201"/>
      <c r="GU89" s="201"/>
      <c r="GV89" s="201"/>
      <c r="GW89" s="201"/>
      <c r="GX89" s="201"/>
      <c r="GY89" s="201"/>
      <c r="GZ89" s="201"/>
      <c r="HA89" s="201"/>
    </row>
    <row r="90" spans="1:209" ht="10.15" customHeight="1">
      <c r="D90" s="198"/>
      <c r="E90" s="204"/>
      <c r="F90" s="249"/>
      <c r="G90" s="250"/>
      <c r="H90" s="250"/>
      <c r="I90" s="250"/>
      <c r="J90" s="250"/>
      <c r="K90" s="250"/>
      <c r="L90" s="250"/>
      <c r="M90" s="250"/>
      <c r="N90" s="250"/>
      <c r="O90" s="250"/>
      <c r="P90" s="250"/>
      <c r="Q90" s="250"/>
      <c r="R90" s="250"/>
      <c r="S90" s="250"/>
      <c r="T90" s="250"/>
      <c r="U90" s="250"/>
      <c r="V90" s="250"/>
      <c r="W90" s="250"/>
      <c r="X90" s="250"/>
      <c r="Y90" s="250"/>
      <c r="Z90" s="250"/>
      <c r="AA90" s="250"/>
      <c r="AB90" s="250"/>
      <c r="AC90" s="251"/>
      <c r="AD90" s="205"/>
      <c r="AE90" s="588"/>
      <c r="AF90" s="589"/>
      <c r="AG90" s="589"/>
      <c r="AH90" s="589"/>
      <c r="AI90" s="589"/>
      <c r="AJ90" s="589"/>
      <c r="AK90" s="589"/>
      <c r="AL90" s="589"/>
      <c r="AM90" s="589"/>
      <c r="AN90" s="589"/>
      <c r="AO90" s="589"/>
      <c r="AP90" s="589"/>
      <c r="AQ90" s="589"/>
      <c r="AR90" s="589"/>
      <c r="AS90" s="589"/>
      <c r="AT90" s="589"/>
      <c r="AU90" s="589"/>
      <c r="AV90" s="589"/>
      <c r="AW90" s="589"/>
      <c r="AX90" s="589"/>
      <c r="AY90" s="589"/>
      <c r="AZ90" s="589"/>
      <c r="BA90" s="589"/>
      <c r="BB90" s="589"/>
      <c r="BC90" s="589"/>
      <c r="BD90" s="589"/>
      <c r="BE90" s="589"/>
      <c r="BF90" s="589"/>
      <c r="BG90" s="589"/>
      <c r="BH90" s="589"/>
      <c r="BI90" s="589"/>
      <c r="BJ90" s="589"/>
      <c r="BK90" s="589"/>
      <c r="BL90" s="589"/>
      <c r="BM90" s="589"/>
      <c r="BN90" s="589"/>
      <c r="BO90" s="589"/>
      <c r="BP90" s="589"/>
      <c r="BQ90" s="589"/>
      <c r="BR90" s="589"/>
      <c r="BS90" s="589"/>
      <c r="BT90" s="589"/>
      <c r="BU90" s="589"/>
      <c r="BV90" s="589"/>
      <c r="BW90" s="589"/>
      <c r="BX90" s="589"/>
      <c r="BY90" s="589"/>
      <c r="BZ90" s="589"/>
      <c r="CA90" s="590"/>
      <c r="CB90" s="205"/>
      <c r="CC90" s="200"/>
      <c r="CD90" s="245"/>
      <c r="GL90" s="201"/>
      <c r="GM90" s="201"/>
      <c r="GN90" s="201"/>
      <c r="GO90" s="201"/>
      <c r="GP90" s="201"/>
      <c r="GQ90" s="201"/>
      <c r="GR90" s="201"/>
      <c r="GS90" s="201"/>
      <c r="GT90" s="201"/>
      <c r="GU90" s="201"/>
      <c r="GV90" s="201"/>
      <c r="GW90" s="201"/>
      <c r="GX90" s="201"/>
      <c r="GY90" s="201"/>
      <c r="GZ90" s="201"/>
      <c r="HA90" s="201"/>
    </row>
    <row r="91" spans="1:209" ht="10.15" customHeight="1">
      <c r="D91" s="198"/>
      <c r="E91" s="204"/>
      <c r="F91" s="249"/>
      <c r="G91" s="250"/>
      <c r="H91" s="250"/>
      <c r="I91" s="250"/>
      <c r="J91" s="250"/>
      <c r="K91" s="250"/>
      <c r="L91" s="250"/>
      <c r="M91" s="250"/>
      <c r="N91" s="250"/>
      <c r="O91" s="250"/>
      <c r="P91" s="250"/>
      <c r="Q91" s="250"/>
      <c r="R91" s="250"/>
      <c r="S91" s="250"/>
      <c r="T91" s="250"/>
      <c r="U91" s="250"/>
      <c r="V91" s="250"/>
      <c r="W91" s="250"/>
      <c r="X91" s="250"/>
      <c r="Y91" s="250"/>
      <c r="Z91" s="250"/>
      <c r="AA91" s="250"/>
      <c r="AB91" s="250"/>
      <c r="AC91" s="251"/>
      <c r="AD91" s="205"/>
      <c r="AE91" s="588"/>
      <c r="AF91" s="589"/>
      <c r="AG91" s="589"/>
      <c r="AH91" s="589"/>
      <c r="AI91" s="589"/>
      <c r="AJ91" s="589"/>
      <c r="AK91" s="589"/>
      <c r="AL91" s="589"/>
      <c r="AM91" s="589"/>
      <c r="AN91" s="589"/>
      <c r="AO91" s="589"/>
      <c r="AP91" s="589"/>
      <c r="AQ91" s="589"/>
      <c r="AR91" s="589"/>
      <c r="AS91" s="589"/>
      <c r="AT91" s="589"/>
      <c r="AU91" s="589"/>
      <c r="AV91" s="589"/>
      <c r="AW91" s="589"/>
      <c r="AX91" s="589"/>
      <c r="AY91" s="589"/>
      <c r="AZ91" s="589"/>
      <c r="BA91" s="589"/>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90"/>
      <c r="CB91" s="205"/>
      <c r="CC91" s="200"/>
      <c r="CD91" s="245"/>
      <c r="GL91" s="201"/>
      <c r="GM91" s="201"/>
      <c r="GN91" s="201"/>
      <c r="GO91" s="201"/>
      <c r="GP91" s="201"/>
      <c r="GQ91" s="201"/>
      <c r="GR91" s="201"/>
      <c r="GS91" s="201"/>
      <c r="GT91" s="201"/>
      <c r="GU91" s="201"/>
      <c r="GV91" s="201"/>
      <c r="GW91" s="201"/>
      <c r="GX91" s="201"/>
      <c r="GY91" s="201"/>
      <c r="GZ91" s="201"/>
      <c r="HA91" s="201"/>
    </row>
    <row r="92" spans="1:209" ht="10.15" customHeight="1">
      <c r="D92" s="198"/>
      <c r="E92" s="204"/>
      <c r="F92" s="249"/>
      <c r="G92" s="250"/>
      <c r="H92" s="250"/>
      <c r="I92" s="250"/>
      <c r="J92" s="250"/>
      <c r="K92" s="250"/>
      <c r="L92" s="250"/>
      <c r="M92" s="250"/>
      <c r="N92" s="250"/>
      <c r="O92" s="250"/>
      <c r="P92" s="250"/>
      <c r="Q92" s="250"/>
      <c r="R92" s="250"/>
      <c r="S92" s="250"/>
      <c r="T92" s="250"/>
      <c r="U92" s="250"/>
      <c r="V92" s="250"/>
      <c r="W92" s="250"/>
      <c r="X92" s="250"/>
      <c r="Y92" s="250"/>
      <c r="Z92" s="250"/>
      <c r="AA92" s="250"/>
      <c r="AB92" s="250"/>
      <c r="AC92" s="251"/>
      <c r="AD92" s="205"/>
      <c r="AE92" s="588"/>
      <c r="AF92" s="589"/>
      <c r="AG92" s="589"/>
      <c r="AH92" s="589"/>
      <c r="AI92" s="589"/>
      <c r="AJ92" s="589"/>
      <c r="AK92" s="589"/>
      <c r="AL92" s="589"/>
      <c r="AM92" s="589"/>
      <c r="AN92" s="589"/>
      <c r="AO92" s="589"/>
      <c r="AP92" s="589"/>
      <c r="AQ92" s="589"/>
      <c r="AR92" s="589"/>
      <c r="AS92" s="589"/>
      <c r="AT92" s="589"/>
      <c r="AU92" s="589"/>
      <c r="AV92" s="589"/>
      <c r="AW92" s="589"/>
      <c r="AX92" s="589"/>
      <c r="AY92" s="589"/>
      <c r="AZ92" s="589"/>
      <c r="BA92" s="589"/>
      <c r="BB92" s="589"/>
      <c r="BC92" s="589"/>
      <c r="BD92" s="589"/>
      <c r="BE92" s="589"/>
      <c r="BF92" s="589"/>
      <c r="BG92" s="589"/>
      <c r="BH92" s="589"/>
      <c r="BI92" s="589"/>
      <c r="BJ92" s="589"/>
      <c r="BK92" s="589"/>
      <c r="BL92" s="589"/>
      <c r="BM92" s="589"/>
      <c r="BN92" s="589"/>
      <c r="BO92" s="589"/>
      <c r="BP92" s="589"/>
      <c r="BQ92" s="589"/>
      <c r="BR92" s="589"/>
      <c r="BS92" s="589"/>
      <c r="BT92" s="589"/>
      <c r="BU92" s="589"/>
      <c r="BV92" s="589"/>
      <c r="BW92" s="589"/>
      <c r="BX92" s="589"/>
      <c r="BY92" s="589"/>
      <c r="BZ92" s="589"/>
      <c r="CA92" s="590"/>
      <c r="CB92" s="205"/>
      <c r="CC92" s="200"/>
      <c r="CD92" s="245"/>
      <c r="GL92" s="201"/>
      <c r="GM92" s="201"/>
      <c r="GN92" s="201"/>
      <c r="GO92" s="201"/>
      <c r="GP92" s="201"/>
      <c r="GQ92" s="201"/>
      <c r="GR92" s="201"/>
      <c r="GS92" s="201"/>
      <c r="GT92" s="201"/>
      <c r="GU92" s="201"/>
      <c r="GV92" s="201"/>
      <c r="GW92" s="201"/>
      <c r="GX92" s="201"/>
      <c r="GY92" s="201"/>
      <c r="GZ92" s="201"/>
      <c r="HA92" s="201"/>
    </row>
    <row r="93" spans="1:209" ht="10.15" customHeight="1">
      <c r="D93" s="198"/>
      <c r="E93" s="204"/>
      <c r="F93" s="579" t="str">
        <f>HYPERLINK(CONCATENATE("#'IR Batching for ",BL14," min RPO'!A1"),"View each batch details")</f>
        <v>View each batch details</v>
      </c>
      <c r="G93" s="580"/>
      <c r="H93" s="580"/>
      <c r="I93" s="580"/>
      <c r="J93" s="580"/>
      <c r="K93" s="580"/>
      <c r="L93" s="580"/>
      <c r="M93" s="580"/>
      <c r="N93" s="580"/>
      <c r="O93" s="580"/>
      <c r="P93" s="580"/>
      <c r="Q93" s="580"/>
      <c r="R93" s="580"/>
      <c r="S93" s="580"/>
      <c r="T93" s="580"/>
      <c r="U93" s="580"/>
      <c r="V93" s="580"/>
      <c r="W93" s="580"/>
      <c r="X93" s="580"/>
      <c r="Y93" s="580"/>
      <c r="Z93" s="580"/>
      <c r="AA93" s="580"/>
      <c r="AB93" s="580"/>
      <c r="AC93" s="581"/>
      <c r="AD93" s="205"/>
      <c r="AE93" s="588"/>
      <c r="AF93" s="589"/>
      <c r="AG93" s="589"/>
      <c r="AH93" s="589"/>
      <c r="AI93" s="589"/>
      <c r="AJ93" s="589"/>
      <c r="AK93" s="589"/>
      <c r="AL93" s="589"/>
      <c r="AM93" s="589"/>
      <c r="AN93" s="589"/>
      <c r="AO93" s="589"/>
      <c r="AP93" s="589"/>
      <c r="AQ93" s="589"/>
      <c r="AR93" s="589"/>
      <c r="AS93" s="589"/>
      <c r="AT93" s="589"/>
      <c r="AU93" s="589"/>
      <c r="AV93" s="589"/>
      <c r="AW93" s="589"/>
      <c r="AX93" s="589"/>
      <c r="AY93" s="589"/>
      <c r="AZ93" s="589"/>
      <c r="BA93" s="589"/>
      <c r="BB93" s="589"/>
      <c r="BC93" s="589"/>
      <c r="BD93" s="589"/>
      <c r="BE93" s="589"/>
      <c r="BF93" s="589"/>
      <c r="BG93" s="589"/>
      <c r="BH93" s="589"/>
      <c r="BI93" s="589"/>
      <c r="BJ93" s="589"/>
      <c r="BK93" s="589"/>
      <c r="BL93" s="589"/>
      <c r="BM93" s="589"/>
      <c r="BN93" s="589"/>
      <c r="BO93" s="589"/>
      <c r="BP93" s="589"/>
      <c r="BQ93" s="589"/>
      <c r="BR93" s="589"/>
      <c r="BS93" s="589"/>
      <c r="BT93" s="589"/>
      <c r="BU93" s="589"/>
      <c r="BV93" s="589"/>
      <c r="BW93" s="589"/>
      <c r="BX93" s="589"/>
      <c r="BY93" s="589"/>
      <c r="BZ93" s="589"/>
      <c r="CA93" s="590"/>
      <c r="CB93" s="205"/>
      <c r="CC93" s="200"/>
      <c r="CD93" s="245"/>
      <c r="GL93" s="201"/>
      <c r="GM93" s="201"/>
      <c r="GN93" s="201"/>
      <c r="GO93" s="201"/>
      <c r="GP93" s="201"/>
      <c r="GQ93" s="201"/>
      <c r="GR93" s="201"/>
      <c r="GS93" s="201"/>
      <c r="GT93" s="201"/>
      <c r="GU93" s="201"/>
      <c r="GV93" s="201"/>
      <c r="GW93" s="201"/>
      <c r="GX93" s="201"/>
      <c r="GY93" s="201"/>
      <c r="GZ93" s="201"/>
      <c r="HA93" s="201"/>
    </row>
    <row r="94" spans="1:209" ht="10.15" customHeight="1">
      <c r="D94" s="198"/>
      <c r="E94" s="204"/>
      <c r="F94" s="582"/>
      <c r="G94" s="583"/>
      <c r="H94" s="583"/>
      <c r="I94" s="583"/>
      <c r="J94" s="583"/>
      <c r="K94" s="583"/>
      <c r="L94" s="583"/>
      <c r="M94" s="583"/>
      <c r="N94" s="583"/>
      <c r="O94" s="583"/>
      <c r="P94" s="583"/>
      <c r="Q94" s="583"/>
      <c r="R94" s="583"/>
      <c r="S94" s="583"/>
      <c r="T94" s="583"/>
      <c r="U94" s="583"/>
      <c r="V94" s="583"/>
      <c r="W94" s="583"/>
      <c r="X94" s="583"/>
      <c r="Y94" s="583"/>
      <c r="Z94" s="583"/>
      <c r="AA94" s="583"/>
      <c r="AB94" s="583"/>
      <c r="AC94" s="584"/>
      <c r="AD94" s="205"/>
      <c r="AE94" s="591"/>
      <c r="AF94" s="592"/>
      <c r="AG94" s="592"/>
      <c r="AH94" s="592"/>
      <c r="AI94" s="592"/>
      <c r="AJ94" s="592"/>
      <c r="AK94" s="592"/>
      <c r="AL94" s="592"/>
      <c r="AM94" s="592"/>
      <c r="AN94" s="592"/>
      <c r="AO94" s="592"/>
      <c r="AP94" s="592"/>
      <c r="AQ94" s="592"/>
      <c r="AR94" s="592"/>
      <c r="AS94" s="592"/>
      <c r="AT94" s="592"/>
      <c r="AU94" s="592"/>
      <c r="AV94" s="592"/>
      <c r="AW94" s="592"/>
      <c r="AX94" s="592"/>
      <c r="AY94" s="592"/>
      <c r="AZ94" s="592"/>
      <c r="BA94" s="592"/>
      <c r="BB94" s="592"/>
      <c r="BC94" s="592"/>
      <c r="BD94" s="592"/>
      <c r="BE94" s="592"/>
      <c r="BF94" s="592"/>
      <c r="BG94" s="592"/>
      <c r="BH94" s="592"/>
      <c r="BI94" s="592"/>
      <c r="BJ94" s="592"/>
      <c r="BK94" s="592"/>
      <c r="BL94" s="592"/>
      <c r="BM94" s="592"/>
      <c r="BN94" s="592"/>
      <c r="BO94" s="592"/>
      <c r="BP94" s="592"/>
      <c r="BQ94" s="592"/>
      <c r="BR94" s="592"/>
      <c r="BS94" s="592"/>
      <c r="BT94" s="592"/>
      <c r="BU94" s="592"/>
      <c r="BV94" s="592"/>
      <c r="BW94" s="592"/>
      <c r="BX94" s="592"/>
      <c r="BY94" s="592"/>
      <c r="BZ94" s="592"/>
      <c r="CA94" s="593"/>
      <c r="CB94" s="205"/>
      <c r="CC94" s="200"/>
      <c r="CD94" s="245"/>
      <c r="GL94" s="201"/>
      <c r="GM94" s="201"/>
      <c r="GN94" s="201"/>
      <c r="GO94" s="201"/>
      <c r="GP94" s="201"/>
      <c r="GQ94" s="201"/>
      <c r="GR94" s="201"/>
      <c r="GS94" s="201"/>
      <c r="GT94" s="201"/>
      <c r="GU94" s="201"/>
      <c r="GV94" s="201"/>
      <c r="GW94" s="201"/>
      <c r="GX94" s="201"/>
      <c r="GY94" s="201"/>
      <c r="GZ94" s="201"/>
      <c r="HA94" s="201"/>
    </row>
    <row r="95" spans="1:209" ht="10.15" customHeight="1">
      <c r="D95" s="198"/>
      <c r="E95" s="204"/>
      <c r="F95" s="205"/>
      <c r="G95" s="205"/>
      <c r="H95" s="205"/>
      <c r="I95" s="205"/>
      <c r="J95" s="205"/>
      <c r="K95" s="205"/>
      <c r="L95" s="205"/>
      <c r="M95" s="205"/>
      <c r="N95" s="205"/>
      <c r="O95" s="205"/>
      <c r="P95" s="205"/>
      <c r="Q95" s="205"/>
      <c r="R95" s="205"/>
      <c r="S95" s="205"/>
      <c r="T95" s="205"/>
      <c r="U95" s="205"/>
      <c r="V95" s="205"/>
      <c r="W95" s="205"/>
      <c r="X95" s="205"/>
      <c r="Y95" s="205"/>
      <c r="Z95" s="205"/>
      <c r="AA95" s="205"/>
      <c r="AB95" s="205"/>
      <c r="AC95" s="205"/>
      <c r="AD95" s="205"/>
      <c r="AE95" s="205"/>
      <c r="AF95" s="205"/>
      <c r="AG95" s="205"/>
      <c r="AH95" s="205"/>
      <c r="AI95" s="205"/>
      <c r="AJ95" s="205"/>
      <c r="AK95" s="205"/>
      <c r="AL95" s="205"/>
      <c r="AM95" s="205"/>
      <c r="AN95" s="205"/>
      <c r="AO95" s="205"/>
      <c r="AP95" s="205"/>
      <c r="AQ95" s="205"/>
      <c r="AR95" s="205"/>
      <c r="AS95" s="205"/>
      <c r="AT95" s="205"/>
      <c r="AU95" s="205"/>
      <c r="AV95" s="205"/>
      <c r="AW95" s="205"/>
      <c r="AX95" s="205"/>
      <c r="AY95" s="205"/>
      <c r="AZ95" s="205"/>
      <c r="BA95" s="205"/>
      <c r="BB95" s="205"/>
      <c r="BC95" s="205"/>
      <c r="BD95" s="205"/>
      <c r="BE95" s="205"/>
      <c r="BF95" s="205"/>
      <c r="BG95" s="205"/>
      <c r="BH95" s="205"/>
      <c r="BI95" s="205"/>
      <c r="BJ95" s="205"/>
      <c r="BK95" s="205"/>
      <c r="BL95" s="205"/>
      <c r="BM95" s="205"/>
      <c r="BN95" s="205"/>
      <c r="BO95" s="205"/>
      <c r="BP95" s="205"/>
      <c r="BQ95" s="205"/>
      <c r="BR95" s="205"/>
      <c r="BS95" s="205"/>
      <c r="BT95" s="205"/>
      <c r="BU95" s="205"/>
      <c r="BV95" s="205"/>
      <c r="BW95" s="205"/>
      <c r="BX95" s="205"/>
      <c r="BY95" s="205"/>
      <c r="BZ95" s="205"/>
      <c r="CA95" s="205"/>
      <c r="CB95" s="205"/>
      <c r="CC95" s="200"/>
      <c r="CD95" s="245"/>
      <c r="GL95" s="201"/>
      <c r="GM95" s="201"/>
      <c r="GN95" s="201"/>
      <c r="GO95" s="201"/>
      <c r="GP95" s="201"/>
      <c r="GQ95" s="201"/>
      <c r="GR95" s="201"/>
      <c r="GS95" s="201"/>
      <c r="GT95" s="201"/>
      <c r="GU95" s="201"/>
      <c r="GV95" s="201"/>
      <c r="GW95" s="201"/>
      <c r="GX95" s="201"/>
      <c r="GY95" s="201"/>
      <c r="GZ95" s="201"/>
      <c r="HA95" s="201"/>
    </row>
    <row r="96" spans="1:209" ht="10.15" customHeight="1">
      <c r="A96"/>
      <c r="B96"/>
      <c r="D96" s="198"/>
      <c r="E96" s="203"/>
      <c r="F96" s="609" t="s">
        <v>545</v>
      </c>
      <c r="G96" s="610"/>
      <c r="H96" s="610"/>
      <c r="I96" s="610"/>
      <c r="J96" s="610"/>
      <c r="K96" s="610"/>
      <c r="L96" s="610"/>
      <c r="M96" s="610"/>
      <c r="N96" s="610"/>
      <c r="O96" s="613" t="str">
        <f>_xlfn.CONCAT("Target region -  ",Prices!T3)</f>
        <v>Target region -  WestUS2</v>
      </c>
      <c r="P96" s="613"/>
      <c r="Q96" s="613"/>
      <c r="R96" s="613"/>
      <c r="S96" s="613"/>
      <c r="T96" s="613"/>
      <c r="U96" s="613"/>
      <c r="V96" s="613"/>
      <c r="W96" s="613"/>
      <c r="X96" s="613"/>
      <c r="Y96" s="613"/>
      <c r="Z96" s="613"/>
      <c r="AA96" s="613"/>
      <c r="AB96" s="613"/>
      <c r="AC96" s="613"/>
      <c r="AD96" s="613"/>
      <c r="AE96" s="613"/>
      <c r="AF96" s="613"/>
      <c r="AG96" s="613"/>
      <c r="AH96" s="613"/>
      <c r="AI96" s="613"/>
      <c r="AJ96" s="613"/>
      <c r="AK96" s="613"/>
      <c r="AL96" s="613"/>
      <c r="AM96" s="613"/>
      <c r="AN96" s="613"/>
      <c r="AO96" s="613"/>
      <c r="AP96" s="613"/>
      <c r="AQ96" s="613"/>
      <c r="AR96" s="613"/>
      <c r="AS96" s="613"/>
      <c r="AT96" s="613"/>
      <c r="AU96" s="613"/>
      <c r="AV96" s="613"/>
      <c r="AW96" s="613"/>
      <c r="AX96" s="613"/>
      <c r="AY96" s="613"/>
      <c r="AZ96" s="613"/>
      <c r="BA96" s="613"/>
      <c r="BB96" s="613"/>
      <c r="BC96" s="613"/>
      <c r="BD96" s="613"/>
      <c r="BE96" s="613"/>
      <c r="BF96" s="425"/>
      <c r="BG96" s="425"/>
      <c r="BH96" s="425"/>
      <c r="BI96" s="425"/>
      <c r="BJ96" s="425"/>
      <c r="BK96" s="425"/>
      <c r="BL96" s="425"/>
      <c r="BM96" s="425"/>
      <c r="BN96" s="425"/>
      <c r="BO96" s="425"/>
      <c r="BP96" s="599" t="s">
        <v>250</v>
      </c>
      <c r="BQ96" s="599"/>
      <c r="BR96" s="599"/>
      <c r="BS96" s="599"/>
      <c r="BT96" s="599"/>
      <c r="BU96" s="599"/>
      <c r="BV96" s="252"/>
      <c r="BW96" s="252"/>
      <c r="BX96" s="252"/>
      <c r="BY96" s="252"/>
      <c r="BZ96" s="252"/>
      <c r="CA96" s="253"/>
      <c r="CB96" s="205"/>
      <c r="CC96" s="200"/>
      <c r="CD96" s="245"/>
      <c r="GL96" s="201"/>
      <c r="GM96" s="201"/>
      <c r="GN96" s="201"/>
      <c r="GO96" s="201"/>
      <c r="GP96" s="201"/>
      <c r="GQ96" s="201"/>
      <c r="GR96" s="201"/>
      <c r="GS96" s="201"/>
      <c r="GT96" s="201"/>
      <c r="GU96" s="201"/>
      <c r="GV96" s="201"/>
      <c r="GW96" s="201"/>
      <c r="GX96" s="201"/>
      <c r="GY96" s="201"/>
      <c r="GZ96" s="201"/>
      <c r="HA96" s="201"/>
    </row>
    <row r="97" spans="1:209" ht="10.15" customHeight="1">
      <c r="A97"/>
      <c r="B97"/>
      <c r="D97" s="198"/>
      <c r="E97" s="203"/>
      <c r="F97" s="611"/>
      <c r="G97" s="612"/>
      <c r="H97" s="612"/>
      <c r="I97" s="612"/>
      <c r="J97" s="612"/>
      <c r="K97" s="612"/>
      <c r="L97" s="612"/>
      <c r="M97" s="612"/>
      <c r="N97" s="612"/>
      <c r="O97" s="614"/>
      <c r="P97" s="614"/>
      <c r="Q97" s="614"/>
      <c r="R97" s="614"/>
      <c r="S97" s="614"/>
      <c r="T97" s="614"/>
      <c r="U97" s="614"/>
      <c r="V97" s="614"/>
      <c r="W97" s="614"/>
      <c r="X97" s="614"/>
      <c r="Y97" s="614"/>
      <c r="Z97" s="614"/>
      <c r="AA97" s="614"/>
      <c r="AB97" s="614"/>
      <c r="AC97" s="614"/>
      <c r="AD97" s="614"/>
      <c r="AE97" s="614"/>
      <c r="AF97" s="614"/>
      <c r="AG97" s="614"/>
      <c r="AH97" s="614"/>
      <c r="AI97" s="614"/>
      <c r="AJ97" s="614"/>
      <c r="AK97" s="614"/>
      <c r="AL97" s="614"/>
      <c r="AM97" s="614"/>
      <c r="AN97" s="614"/>
      <c r="AO97" s="614"/>
      <c r="AP97" s="614"/>
      <c r="AQ97" s="614"/>
      <c r="AR97" s="614"/>
      <c r="AS97" s="614"/>
      <c r="AT97" s="614"/>
      <c r="AU97" s="614"/>
      <c r="AV97" s="614"/>
      <c r="AW97" s="614"/>
      <c r="AX97" s="614"/>
      <c r="AY97" s="614"/>
      <c r="AZ97" s="614"/>
      <c r="BA97" s="614"/>
      <c r="BB97" s="614"/>
      <c r="BC97" s="614"/>
      <c r="BD97" s="614"/>
      <c r="BE97" s="614"/>
      <c r="BF97" s="426"/>
      <c r="BG97" s="426"/>
      <c r="BH97" s="426"/>
      <c r="BI97" s="426"/>
      <c r="BJ97" s="426"/>
      <c r="BK97" s="426"/>
      <c r="BL97" s="426"/>
      <c r="BM97" s="426"/>
      <c r="BN97" s="426"/>
      <c r="BO97" s="426"/>
      <c r="BP97" s="600"/>
      <c r="BQ97" s="600"/>
      <c r="BR97" s="600"/>
      <c r="BS97" s="600"/>
      <c r="BT97" s="600"/>
      <c r="BU97" s="600"/>
      <c r="BV97" s="254"/>
      <c r="BW97" s="254"/>
      <c r="BX97" s="254"/>
      <c r="BY97" s="254"/>
      <c r="BZ97" s="254"/>
      <c r="CA97" s="255"/>
      <c r="CB97" s="205"/>
      <c r="CC97" s="200"/>
      <c r="CD97" s="245"/>
      <c r="GL97" s="201"/>
      <c r="GM97" s="201"/>
      <c r="GN97" s="201"/>
      <c r="GO97" s="201"/>
      <c r="GP97" s="201"/>
      <c r="GQ97" s="201"/>
      <c r="GR97" s="201"/>
      <c r="GS97" s="201"/>
      <c r="GT97" s="201"/>
      <c r="GU97" s="201"/>
      <c r="GV97" s="201"/>
      <c r="GW97" s="201"/>
      <c r="GX97" s="201"/>
      <c r="GY97" s="201"/>
      <c r="GZ97" s="201"/>
      <c r="HA97" s="201"/>
    </row>
    <row r="98" spans="1:209" ht="10.15" customHeight="1">
      <c r="A98"/>
      <c r="B98"/>
      <c r="D98" s="198"/>
      <c r="E98" s="203"/>
      <c r="F98" s="156"/>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9"/>
      <c r="AE98" s="159"/>
      <c r="AF98" s="159"/>
      <c r="AG98" s="159"/>
      <c r="AH98" s="159"/>
      <c r="AI98" s="159"/>
      <c r="AJ98" s="159"/>
      <c r="AK98" s="159"/>
      <c r="AL98" s="159"/>
      <c r="AM98" s="159"/>
      <c r="AN98" s="159"/>
      <c r="AO98" s="159"/>
      <c r="AP98" s="159"/>
      <c r="AQ98" s="159"/>
      <c r="AR98" s="159"/>
      <c r="AS98" s="155"/>
      <c r="AT98" s="157"/>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5"/>
      <c r="BS98" s="155"/>
      <c r="BT98" s="155"/>
      <c r="BU98" s="155"/>
      <c r="BV98" s="157"/>
      <c r="BW98" s="157"/>
      <c r="BX98" s="157"/>
      <c r="BY98" s="157"/>
      <c r="BZ98" s="157"/>
      <c r="CA98" s="158"/>
      <c r="CB98" s="205"/>
      <c r="CC98" s="200"/>
      <c r="CD98" s="245"/>
      <c r="GL98" s="201"/>
      <c r="GM98" s="201"/>
      <c r="GN98" s="201"/>
      <c r="GO98" s="201"/>
      <c r="GP98" s="201"/>
      <c r="GQ98" s="201"/>
      <c r="GR98" s="201"/>
      <c r="GS98" s="201"/>
      <c r="GT98" s="201"/>
      <c r="GU98" s="201"/>
      <c r="GV98" s="201"/>
      <c r="GW98" s="201"/>
      <c r="GX98" s="201"/>
      <c r="GY98" s="201"/>
      <c r="GZ98" s="201"/>
      <c r="HA98" s="201"/>
    </row>
    <row r="99" spans="1:209" ht="12.4" customHeight="1">
      <c r="A99"/>
      <c r="B99"/>
      <c r="D99" s="198"/>
      <c r="E99" s="279"/>
      <c r="F99" s="280"/>
      <c r="G99" s="601"/>
      <c r="H99" s="602"/>
      <c r="I99" s="602"/>
      <c r="J99" s="602"/>
      <c r="K99" s="602"/>
      <c r="L99" s="602"/>
      <c r="M99" s="602"/>
      <c r="N99" s="602"/>
      <c r="O99" s="602"/>
      <c r="P99" s="602"/>
      <c r="Q99" s="602"/>
      <c r="R99" s="602"/>
      <c r="S99" s="602"/>
      <c r="T99" s="602"/>
      <c r="U99" s="602"/>
      <c r="V99" s="602"/>
      <c r="W99" s="602"/>
      <c r="X99" s="602"/>
      <c r="Y99" s="602"/>
      <c r="Z99" s="602"/>
      <c r="AA99" s="602"/>
      <c r="AB99" s="602"/>
      <c r="AC99" s="602"/>
      <c r="AD99" s="602"/>
      <c r="AE99" s="602"/>
      <c r="AF99" s="603"/>
      <c r="AG99" s="603"/>
      <c r="AH99" s="603"/>
      <c r="AI99" s="603"/>
      <c r="AJ99" s="603"/>
      <c r="AK99" s="603"/>
      <c r="AL99" s="603"/>
      <c r="AM99" s="603"/>
      <c r="AN99" s="603"/>
      <c r="AO99" s="603"/>
      <c r="AP99" s="603"/>
      <c r="AQ99" s="603"/>
      <c r="AR99" s="603"/>
      <c r="AS99" s="603"/>
      <c r="AT99" s="603"/>
      <c r="AU99" s="603"/>
      <c r="AV99" s="603"/>
      <c r="AW99" s="603"/>
      <c r="AX99" s="603"/>
      <c r="AY99" s="603"/>
      <c r="AZ99" s="603"/>
      <c r="BA99" s="603"/>
      <c r="BB99" s="604"/>
      <c r="BC99" s="284"/>
      <c r="BD99" s="160"/>
      <c r="BE99" s="160"/>
      <c r="BF99" s="160"/>
      <c r="BG99" s="160"/>
      <c r="BH99" s="160"/>
      <c r="BI99" s="160"/>
      <c r="BJ99" s="160"/>
      <c r="BK99" s="160"/>
      <c r="BL99" s="160"/>
      <c r="BM99" s="160"/>
      <c r="BN99" s="160"/>
      <c r="BO99" s="160"/>
      <c r="BP99" s="160"/>
      <c r="BQ99" s="160"/>
      <c r="BR99" s="160"/>
      <c r="BS99" s="160"/>
      <c r="BT99" s="160"/>
      <c r="BU99" s="160"/>
      <c r="BV99" s="160"/>
      <c r="BW99" s="160"/>
      <c r="BX99" s="160"/>
      <c r="BY99" s="160"/>
      <c r="BZ99" s="160"/>
      <c r="CA99" s="158"/>
      <c r="CB99" s="205"/>
      <c r="CC99" s="200"/>
      <c r="GL99" s="201"/>
      <c r="GM99" s="201"/>
      <c r="GN99" s="201"/>
      <c r="GO99" s="201"/>
      <c r="GP99" s="201"/>
      <c r="GQ99" s="201"/>
      <c r="GR99" s="201"/>
      <c r="GS99" s="201"/>
      <c r="GT99" s="201"/>
      <c r="GU99" s="201"/>
      <c r="GV99" s="201"/>
      <c r="GW99" s="201"/>
      <c r="GX99" s="201"/>
      <c r="GY99" s="201"/>
      <c r="GZ99" s="201"/>
      <c r="HA99" s="201"/>
    </row>
    <row r="100" spans="1:209" ht="10.5" customHeight="1">
      <c r="A100"/>
      <c r="B100"/>
      <c r="D100" s="198"/>
      <c r="E100" s="279"/>
      <c r="F100" s="280"/>
      <c r="G100" s="605" t="str">
        <f>TotalDRCostPerMonthOrYear</f>
        <v>Total DR Cost per Year In</v>
      </c>
      <c r="H100" s="606"/>
      <c r="I100" s="606"/>
      <c r="J100" s="606"/>
      <c r="K100" s="606"/>
      <c r="L100" s="606"/>
      <c r="M100" s="606"/>
      <c r="N100" s="606"/>
      <c r="O100" s="606"/>
      <c r="P100" s="606"/>
      <c r="Q100" s="606"/>
      <c r="R100" s="606"/>
      <c r="S100" s="606"/>
      <c r="T100" s="606"/>
      <c r="U100" s="606"/>
      <c r="V100" s="606"/>
      <c r="W100" s="606"/>
      <c r="X100" s="606"/>
      <c r="Y100" s="606"/>
      <c r="Z100" s="606"/>
      <c r="AA100" s="606"/>
      <c r="AB100" s="606"/>
      <c r="AC100" s="606"/>
      <c r="AD100" s="606"/>
      <c r="AE100" s="606"/>
      <c r="AF100" s="607" t="str">
        <f>Prices!AM3</f>
        <v>US Dollar ($)</v>
      </c>
      <c r="AG100" s="607"/>
      <c r="AH100" s="607"/>
      <c r="AI100" s="607"/>
      <c r="AJ100" s="607"/>
      <c r="AK100" s="607"/>
      <c r="AL100" s="607"/>
      <c r="AM100" s="607"/>
      <c r="AN100" s="607"/>
      <c r="AO100" s="607"/>
      <c r="AP100" s="607"/>
      <c r="AQ100" s="607"/>
      <c r="AR100" s="607"/>
      <c r="AS100" s="607"/>
      <c r="AT100" s="607"/>
      <c r="AU100" s="607"/>
      <c r="AV100" s="607"/>
      <c r="AW100" s="607"/>
      <c r="AX100" s="607"/>
      <c r="AY100" s="607"/>
      <c r="AZ100" s="607"/>
      <c r="BA100" s="607"/>
      <c r="BB100" s="608"/>
      <c r="BC100" s="284"/>
      <c r="BD100" s="160"/>
      <c r="BE100" s="160"/>
      <c r="BF100" s="160"/>
      <c r="BG100" s="160"/>
      <c r="BH100" s="160"/>
      <c r="BI100" s="160"/>
      <c r="BJ100" s="160"/>
      <c r="BK100" s="160"/>
      <c r="BL100" s="160"/>
      <c r="BM100" s="160"/>
      <c r="BN100" s="160"/>
      <c r="BO100" s="160"/>
      <c r="BP100" s="160"/>
      <c r="BQ100" s="160"/>
      <c r="BR100" s="160"/>
      <c r="BS100" s="160"/>
      <c r="BT100" s="160"/>
      <c r="BU100" s="160"/>
      <c r="BV100" s="160"/>
      <c r="BW100" s="160"/>
      <c r="BX100" s="160"/>
      <c r="BY100" s="160"/>
      <c r="BZ100" s="160"/>
      <c r="CA100" s="158"/>
      <c r="CB100" s="205"/>
      <c r="CC100" s="200"/>
      <c r="GL100" s="201"/>
      <c r="GM100" s="201"/>
      <c r="GN100" s="201"/>
      <c r="GO100" s="201"/>
      <c r="GP100" s="201"/>
      <c r="GQ100" s="201"/>
      <c r="GR100" s="201"/>
      <c r="GS100" s="201"/>
      <c r="GT100" s="201"/>
      <c r="GU100" s="201"/>
      <c r="GV100" s="201"/>
      <c r="GW100" s="201"/>
      <c r="GX100" s="201"/>
      <c r="GY100" s="201"/>
      <c r="GZ100" s="201"/>
      <c r="HA100" s="201"/>
    </row>
    <row r="101" spans="1:209" ht="12" customHeight="1">
      <c r="A101"/>
      <c r="B101"/>
      <c r="D101" s="198"/>
      <c r="E101" s="279"/>
      <c r="F101" s="280"/>
      <c r="G101" s="594">
        <f>TotalDRCost</f>
        <v>145937.16299999991</v>
      </c>
      <c r="H101" s="595"/>
      <c r="I101" s="595"/>
      <c r="J101" s="595"/>
      <c r="K101" s="595"/>
      <c r="L101" s="595"/>
      <c r="M101" s="595"/>
      <c r="N101" s="595"/>
      <c r="O101" s="595"/>
      <c r="P101" s="595"/>
      <c r="Q101" s="595"/>
      <c r="R101" s="595"/>
      <c r="S101" s="595"/>
      <c r="T101" s="595"/>
      <c r="U101" s="595"/>
      <c r="V101" s="595"/>
      <c r="W101" s="595"/>
      <c r="X101" s="595"/>
      <c r="Y101" s="595"/>
      <c r="Z101" s="595"/>
      <c r="AA101" s="595"/>
      <c r="AB101" s="595"/>
      <c r="AC101" s="595"/>
      <c r="AD101" s="595"/>
      <c r="AE101" s="595"/>
      <c r="AF101" s="595"/>
      <c r="AG101" s="595"/>
      <c r="AH101" s="595"/>
      <c r="AI101" s="595"/>
      <c r="AJ101" s="595"/>
      <c r="AK101" s="595"/>
      <c r="AL101" s="595"/>
      <c r="AM101" s="595"/>
      <c r="AN101" s="595"/>
      <c r="AO101" s="595"/>
      <c r="AP101" s="595"/>
      <c r="AQ101" s="595"/>
      <c r="AR101" s="595"/>
      <c r="AS101" s="595"/>
      <c r="AT101" s="595"/>
      <c r="AU101" s="595"/>
      <c r="AV101" s="595"/>
      <c r="AW101" s="595"/>
      <c r="AX101" s="595"/>
      <c r="AY101" s="595"/>
      <c r="AZ101" s="595"/>
      <c r="BA101" s="595"/>
      <c r="BB101" s="596"/>
      <c r="BC101" s="284"/>
      <c r="BD101" s="160"/>
      <c r="BE101" s="160"/>
      <c r="BF101" s="160"/>
      <c r="BG101" s="160"/>
      <c r="BH101" s="160"/>
      <c r="BI101" s="160"/>
      <c r="BJ101" s="160"/>
      <c r="BK101" s="160"/>
      <c r="BL101" s="160"/>
      <c r="BM101" s="160"/>
      <c r="BN101" s="160"/>
      <c r="BO101" s="160"/>
      <c r="BP101" s="160"/>
      <c r="BQ101" s="160"/>
      <c r="BR101" s="160"/>
      <c r="BS101" s="160"/>
      <c r="BT101" s="160"/>
      <c r="BU101" s="160"/>
      <c r="BV101" s="160"/>
      <c r="BW101" s="160"/>
      <c r="BX101" s="160"/>
      <c r="BY101" s="160"/>
      <c r="BZ101" s="160"/>
      <c r="CA101" s="158"/>
      <c r="CB101" s="205"/>
      <c r="CC101" s="200"/>
      <c r="GL101" s="201"/>
      <c r="GM101" s="201"/>
      <c r="GN101" s="201"/>
      <c r="GO101" s="201"/>
      <c r="GP101" s="201"/>
      <c r="GQ101" s="201"/>
      <c r="GR101" s="201"/>
      <c r="GS101" s="201"/>
      <c r="GT101" s="201"/>
      <c r="GU101" s="201"/>
      <c r="GV101" s="201"/>
      <c r="GW101" s="201"/>
      <c r="GX101" s="201"/>
      <c r="GY101" s="201"/>
      <c r="GZ101" s="201"/>
      <c r="HA101" s="201"/>
    </row>
    <row r="102" spans="1:209" ht="10.15" customHeight="1">
      <c r="A102"/>
      <c r="B102"/>
      <c r="D102" s="198"/>
      <c r="E102" s="279"/>
      <c r="F102" s="280"/>
      <c r="G102" s="594"/>
      <c r="H102" s="595"/>
      <c r="I102" s="595"/>
      <c r="J102" s="595"/>
      <c r="K102" s="595"/>
      <c r="L102" s="595"/>
      <c r="M102" s="595"/>
      <c r="N102" s="595"/>
      <c r="O102" s="595"/>
      <c r="P102" s="595"/>
      <c r="Q102" s="595"/>
      <c r="R102" s="595"/>
      <c r="S102" s="595"/>
      <c r="T102" s="595"/>
      <c r="U102" s="595"/>
      <c r="V102" s="595"/>
      <c r="W102" s="595"/>
      <c r="X102" s="595"/>
      <c r="Y102" s="595"/>
      <c r="Z102" s="595"/>
      <c r="AA102" s="595"/>
      <c r="AB102" s="595"/>
      <c r="AC102" s="595"/>
      <c r="AD102" s="595"/>
      <c r="AE102" s="595"/>
      <c r="AF102" s="595"/>
      <c r="AG102" s="595"/>
      <c r="AH102" s="595"/>
      <c r="AI102" s="595"/>
      <c r="AJ102" s="595"/>
      <c r="AK102" s="595"/>
      <c r="AL102" s="595"/>
      <c r="AM102" s="595"/>
      <c r="AN102" s="595"/>
      <c r="AO102" s="595"/>
      <c r="AP102" s="595"/>
      <c r="AQ102" s="595"/>
      <c r="AR102" s="595"/>
      <c r="AS102" s="595"/>
      <c r="AT102" s="595"/>
      <c r="AU102" s="595"/>
      <c r="AV102" s="595"/>
      <c r="AW102" s="595"/>
      <c r="AX102" s="595"/>
      <c r="AY102" s="595"/>
      <c r="AZ102" s="595"/>
      <c r="BA102" s="595"/>
      <c r="BB102" s="596"/>
      <c r="BC102" s="284"/>
      <c r="BD102" s="160"/>
      <c r="BE102" s="160"/>
      <c r="BF102" s="160"/>
      <c r="BG102" s="160"/>
      <c r="BH102" s="160"/>
      <c r="BI102" s="160"/>
      <c r="BJ102" s="160"/>
      <c r="BK102" s="160"/>
      <c r="BL102" s="160"/>
      <c r="BM102" s="160"/>
      <c r="BN102" s="160"/>
      <c r="BO102" s="160"/>
      <c r="BP102" s="160"/>
      <c r="BQ102" s="160"/>
      <c r="BR102" s="160"/>
      <c r="BS102" s="160"/>
      <c r="BT102" s="160"/>
      <c r="BU102" s="160"/>
      <c r="BV102" s="160"/>
      <c r="BW102" s="160"/>
      <c r="BX102" s="160"/>
      <c r="BY102" s="160"/>
      <c r="BZ102" s="160"/>
      <c r="CA102" s="158"/>
      <c r="CB102" s="205"/>
      <c r="CC102" s="200"/>
      <c r="GL102" s="201"/>
      <c r="GM102" s="201"/>
      <c r="GN102" s="201"/>
      <c r="GO102" s="201"/>
      <c r="GP102" s="201"/>
      <c r="GQ102" s="201"/>
      <c r="GR102" s="201"/>
      <c r="GS102" s="201"/>
      <c r="GT102" s="201"/>
      <c r="GU102" s="201"/>
      <c r="GV102" s="201"/>
      <c r="GW102" s="201"/>
      <c r="GX102" s="201"/>
      <c r="GY102" s="201"/>
      <c r="GZ102" s="201"/>
      <c r="HA102" s="201"/>
    </row>
    <row r="103" spans="1:209" ht="10.15" customHeight="1">
      <c r="A103"/>
      <c r="B103"/>
      <c r="D103" s="198"/>
      <c r="E103" s="279"/>
      <c r="F103" s="280"/>
      <c r="G103" s="597"/>
      <c r="H103" s="598"/>
      <c r="I103" s="598"/>
      <c r="J103" s="598"/>
      <c r="K103" s="598"/>
      <c r="L103" s="281"/>
      <c r="M103" s="281"/>
      <c r="N103" s="281"/>
      <c r="O103" s="281"/>
      <c r="P103" s="281"/>
      <c r="Q103" s="281"/>
      <c r="R103" s="281"/>
      <c r="S103" s="281"/>
      <c r="T103" s="281"/>
      <c r="U103" s="281"/>
      <c r="V103" s="281"/>
      <c r="W103" s="281"/>
      <c r="X103" s="281"/>
      <c r="Y103" s="281"/>
      <c r="Z103" s="281"/>
      <c r="AA103" s="281"/>
      <c r="AB103" s="281"/>
      <c r="AC103" s="281"/>
      <c r="AD103" s="284"/>
      <c r="AE103" s="284"/>
      <c r="AF103" s="284"/>
      <c r="AG103" s="284"/>
      <c r="AH103" s="284"/>
      <c r="AI103" s="284"/>
      <c r="AJ103" s="284"/>
      <c r="AK103" s="284"/>
      <c r="AL103" s="284"/>
      <c r="AM103" s="284"/>
      <c r="AN103" s="284"/>
      <c r="AO103" s="284"/>
      <c r="AP103" s="284"/>
      <c r="AQ103" s="284"/>
      <c r="AR103" s="284"/>
      <c r="AS103" s="279"/>
      <c r="AT103" s="281"/>
      <c r="AU103" s="284"/>
      <c r="AV103" s="284"/>
      <c r="AW103" s="284"/>
      <c r="AX103" s="284"/>
      <c r="AY103" s="284"/>
      <c r="AZ103" s="284"/>
      <c r="BA103" s="284"/>
      <c r="BB103" s="285"/>
      <c r="BC103" s="284"/>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58"/>
      <c r="CB103" s="205"/>
      <c r="CC103" s="200"/>
      <c r="GL103" s="201"/>
      <c r="GM103" s="201"/>
      <c r="GN103" s="201"/>
      <c r="GO103" s="201"/>
      <c r="GP103" s="201"/>
      <c r="GQ103" s="201"/>
      <c r="GR103" s="201"/>
      <c r="GS103" s="201"/>
      <c r="GT103" s="201"/>
      <c r="GU103" s="201"/>
      <c r="GV103" s="201"/>
      <c r="GW103" s="201"/>
      <c r="GX103" s="201"/>
      <c r="GY103" s="201"/>
      <c r="GZ103" s="201"/>
      <c r="HA103" s="201"/>
    </row>
    <row r="104" spans="1:209" ht="10.15" customHeight="1">
      <c r="A104"/>
      <c r="B104"/>
      <c r="D104" s="198"/>
      <c r="E104" s="279"/>
      <c r="F104" s="280"/>
      <c r="G104" s="597"/>
      <c r="H104" s="598"/>
      <c r="I104" s="598"/>
      <c r="J104" s="598"/>
      <c r="K104" s="598"/>
      <c r="L104" s="281"/>
      <c r="M104" s="281"/>
      <c r="N104" s="281"/>
      <c r="O104" s="281"/>
      <c r="P104" s="281"/>
      <c r="Q104" s="281"/>
      <c r="R104" s="281"/>
      <c r="S104" s="281"/>
      <c r="T104" s="281"/>
      <c r="U104" s="281"/>
      <c r="V104" s="281"/>
      <c r="W104" s="281"/>
      <c r="X104" s="281"/>
      <c r="Y104" s="281"/>
      <c r="Z104" s="281"/>
      <c r="AA104" s="281"/>
      <c r="AB104" s="281"/>
      <c r="AC104" s="281"/>
      <c r="AD104" s="284"/>
      <c r="AE104" s="284"/>
      <c r="AF104" s="284"/>
      <c r="AG104" s="284"/>
      <c r="AH104" s="284"/>
      <c r="AI104" s="284"/>
      <c r="AJ104" s="284"/>
      <c r="AK104" s="284"/>
      <c r="AL104" s="284"/>
      <c r="AM104" s="284"/>
      <c r="AN104" s="284"/>
      <c r="AO104" s="284"/>
      <c r="AP104" s="284"/>
      <c r="AQ104" s="284"/>
      <c r="AR104" s="284"/>
      <c r="AS104" s="279"/>
      <c r="AT104" s="281"/>
      <c r="AU104" s="284"/>
      <c r="AV104" s="284"/>
      <c r="AW104" s="284"/>
      <c r="AX104" s="284"/>
      <c r="AY104" s="284"/>
      <c r="AZ104" s="284"/>
      <c r="BA104" s="284"/>
      <c r="BB104" s="285"/>
      <c r="BC104" s="284"/>
      <c r="BD104" s="160"/>
      <c r="BE104" s="160"/>
      <c r="BF104" s="160"/>
      <c r="BG104" s="160"/>
      <c r="BH104" s="160"/>
      <c r="BI104" s="160"/>
      <c r="BJ104" s="160"/>
      <c r="BK104" s="160"/>
      <c r="BL104" s="160"/>
      <c r="BM104" s="160"/>
      <c r="BN104" s="160"/>
      <c r="BO104" s="160"/>
      <c r="BP104" s="160"/>
      <c r="BQ104" s="160"/>
      <c r="BR104" s="160"/>
      <c r="BS104" s="160"/>
      <c r="BT104" s="160"/>
      <c r="BU104" s="160"/>
      <c r="BV104" s="160"/>
      <c r="BW104" s="160"/>
      <c r="BX104" s="160"/>
      <c r="BY104" s="160"/>
      <c r="BZ104" s="160"/>
      <c r="CA104" s="158"/>
      <c r="CB104" s="205"/>
      <c r="CC104" s="200"/>
      <c r="GL104" s="201"/>
      <c r="GM104" s="201"/>
      <c r="GN104" s="201"/>
      <c r="GO104" s="201"/>
      <c r="GP104" s="201"/>
      <c r="GQ104" s="201"/>
      <c r="GR104" s="201"/>
      <c r="GS104" s="201"/>
      <c r="GT104" s="201"/>
      <c r="GU104" s="201"/>
      <c r="GV104" s="201"/>
      <c r="GW104" s="201"/>
      <c r="GX104" s="201"/>
      <c r="GY104" s="201"/>
      <c r="GZ104" s="201"/>
      <c r="HA104" s="201"/>
    </row>
    <row r="105" spans="1:209" ht="10.15" customHeight="1">
      <c r="A105"/>
      <c r="B105"/>
      <c r="D105" s="198"/>
      <c r="E105" s="279"/>
      <c r="F105" s="280"/>
      <c r="G105" s="280"/>
      <c r="H105" s="281"/>
      <c r="I105" s="281"/>
      <c r="J105" s="281"/>
      <c r="K105" s="281"/>
      <c r="L105" s="281"/>
      <c r="M105" s="281"/>
      <c r="N105" s="281"/>
      <c r="O105" s="281"/>
      <c r="P105" s="281"/>
      <c r="Q105" s="281"/>
      <c r="R105" s="281"/>
      <c r="S105" s="281"/>
      <c r="T105" s="281"/>
      <c r="U105" s="281"/>
      <c r="V105" s="281"/>
      <c r="W105" s="281"/>
      <c r="X105" s="281"/>
      <c r="Y105" s="281"/>
      <c r="Z105" s="281"/>
      <c r="AA105" s="281"/>
      <c r="AB105" s="281"/>
      <c r="AC105" s="281"/>
      <c r="AD105" s="284"/>
      <c r="AE105" s="284"/>
      <c r="AF105" s="284"/>
      <c r="AG105" s="284"/>
      <c r="AH105" s="284"/>
      <c r="AI105" s="284"/>
      <c r="AJ105" s="284"/>
      <c r="AK105" s="284"/>
      <c r="AL105" s="284"/>
      <c r="AM105" s="284"/>
      <c r="AN105" s="284"/>
      <c r="AO105" s="284"/>
      <c r="AP105" s="284"/>
      <c r="AQ105" s="284"/>
      <c r="AR105" s="284"/>
      <c r="AS105" s="279"/>
      <c r="AT105" s="281"/>
      <c r="AU105" s="284"/>
      <c r="AV105" s="284"/>
      <c r="AW105" s="284"/>
      <c r="AX105" s="284"/>
      <c r="AY105" s="284"/>
      <c r="AZ105" s="284"/>
      <c r="BA105" s="284"/>
      <c r="BB105" s="285"/>
      <c r="BC105" s="284"/>
      <c r="BD105" s="160"/>
      <c r="BE105" s="160"/>
      <c r="BF105" s="160"/>
      <c r="BG105" s="160"/>
      <c r="BH105" s="160"/>
      <c r="BI105" s="160"/>
      <c r="BJ105" s="160"/>
      <c r="BK105" s="160"/>
      <c r="BL105" s="160"/>
      <c r="BM105" s="160"/>
      <c r="BN105" s="160"/>
      <c r="BO105" s="160"/>
      <c r="BP105" s="160"/>
      <c r="BQ105" s="160"/>
      <c r="BR105" s="160"/>
      <c r="BS105" s="160"/>
      <c r="BT105" s="160"/>
      <c r="BU105" s="160"/>
      <c r="BV105" s="160"/>
      <c r="BW105" s="160"/>
      <c r="BX105" s="160"/>
      <c r="BY105" s="160"/>
      <c r="BZ105" s="160"/>
      <c r="CA105" s="158"/>
      <c r="CB105" s="205"/>
      <c r="CC105" s="200"/>
      <c r="GL105" s="201"/>
      <c r="GM105" s="201"/>
      <c r="GN105" s="201"/>
      <c r="GO105" s="201"/>
      <c r="GP105" s="201"/>
      <c r="GQ105" s="201"/>
      <c r="GR105" s="201"/>
      <c r="GS105" s="201"/>
      <c r="GT105" s="201"/>
      <c r="GU105" s="201"/>
      <c r="GV105" s="201"/>
      <c r="GW105" s="201"/>
      <c r="GX105" s="201"/>
      <c r="GY105" s="201"/>
      <c r="GZ105" s="201"/>
      <c r="HA105" s="201"/>
    </row>
    <row r="106" spans="1:209" ht="10.15" customHeight="1">
      <c r="A106"/>
      <c r="B106"/>
      <c r="D106" s="198"/>
      <c r="E106" s="279"/>
      <c r="F106" s="280"/>
      <c r="G106" s="280"/>
      <c r="H106" s="281"/>
      <c r="I106" s="281"/>
      <c r="J106" s="281"/>
      <c r="K106" s="281"/>
      <c r="L106" s="281"/>
      <c r="M106" s="281"/>
      <c r="N106" s="281"/>
      <c r="O106" s="281"/>
      <c r="P106" s="281"/>
      <c r="Q106" s="281"/>
      <c r="R106" s="281"/>
      <c r="S106" s="281"/>
      <c r="T106" s="281"/>
      <c r="U106" s="281"/>
      <c r="V106" s="281"/>
      <c r="W106" s="281"/>
      <c r="X106" s="281"/>
      <c r="Y106" s="281"/>
      <c r="Z106" s="281"/>
      <c r="AA106" s="281"/>
      <c r="AB106" s="281"/>
      <c r="AC106" s="281"/>
      <c r="AD106" s="284"/>
      <c r="AE106" s="284"/>
      <c r="AF106" s="284"/>
      <c r="AG106" s="284"/>
      <c r="AH106" s="284"/>
      <c r="AI106" s="284"/>
      <c r="AJ106" s="284"/>
      <c r="AK106" s="284"/>
      <c r="AL106" s="284"/>
      <c r="AM106" s="284"/>
      <c r="AN106" s="284"/>
      <c r="AO106" s="284"/>
      <c r="AP106" s="284"/>
      <c r="AQ106" s="284"/>
      <c r="AR106" s="284"/>
      <c r="AS106" s="279"/>
      <c r="AT106" s="281"/>
      <c r="AU106" s="284"/>
      <c r="AV106" s="284"/>
      <c r="AW106" s="284"/>
      <c r="AX106" s="284"/>
      <c r="AY106" s="284"/>
      <c r="AZ106" s="284"/>
      <c r="BA106" s="284"/>
      <c r="BB106" s="285"/>
      <c r="BC106" s="284"/>
      <c r="BD106" s="160"/>
      <c r="BE106" s="160"/>
      <c r="BF106" s="160"/>
      <c r="BG106" s="160"/>
      <c r="BH106" s="160"/>
      <c r="BI106" s="160"/>
      <c r="BJ106" s="160"/>
      <c r="BK106" s="160"/>
      <c r="BL106" s="160"/>
      <c r="BM106" s="160"/>
      <c r="BN106" s="160"/>
      <c r="BO106" s="160"/>
      <c r="BP106" s="160"/>
      <c r="BQ106" s="160"/>
      <c r="BR106" s="160"/>
      <c r="BS106" s="160"/>
      <c r="BT106" s="160"/>
      <c r="BU106" s="160"/>
      <c r="BV106" s="160"/>
      <c r="BW106" s="160"/>
      <c r="BX106" s="160"/>
      <c r="BY106" s="160"/>
      <c r="BZ106" s="160"/>
      <c r="CA106" s="158"/>
      <c r="CB106" s="205"/>
      <c r="CC106" s="200"/>
      <c r="GL106" s="201"/>
      <c r="GM106" s="201"/>
      <c r="GN106" s="201"/>
      <c r="GO106" s="201"/>
      <c r="GP106" s="201"/>
      <c r="GQ106" s="201"/>
      <c r="GR106" s="201"/>
      <c r="GS106" s="201"/>
      <c r="GT106" s="201"/>
      <c r="GU106" s="201"/>
      <c r="GV106" s="201"/>
      <c r="GW106" s="201"/>
      <c r="GX106" s="201"/>
      <c r="GY106" s="201"/>
      <c r="GZ106" s="201"/>
      <c r="HA106" s="201"/>
    </row>
    <row r="107" spans="1:209" ht="10.15" customHeight="1">
      <c r="A107"/>
      <c r="B107"/>
      <c r="D107" s="198"/>
      <c r="E107" s="279"/>
      <c r="F107" s="280"/>
      <c r="G107" s="280"/>
      <c r="H107" s="281"/>
      <c r="I107" s="281"/>
      <c r="J107" s="281"/>
      <c r="K107" s="281"/>
      <c r="L107" s="281"/>
      <c r="M107" s="281"/>
      <c r="N107" s="281"/>
      <c r="O107" s="281"/>
      <c r="P107" s="281"/>
      <c r="Q107" s="281"/>
      <c r="R107" s="281"/>
      <c r="S107" s="281"/>
      <c r="T107" s="281"/>
      <c r="U107" s="281"/>
      <c r="V107" s="281"/>
      <c r="W107" s="281"/>
      <c r="X107" s="281"/>
      <c r="Y107" s="281"/>
      <c r="Z107" s="281"/>
      <c r="AA107" s="281"/>
      <c r="AB107" s="281"/>
      <c r="AC107" s="281"/>
      <c r="AD107" s="284"/>
      <c r="AE107" s="284"/>
      <c r="AF107" s="284"/>
      <c r="AG107" s="284"/>
      <c r="AH107" s="284"/>
      <c r="AI107" s="284"/>
      <c r="AJ107" s="284"/>
      <c r="AK107" s="284"/>
      <c r="AL107" s="284"/>
      <c r="AM107" s="284"/>
      <c r="AN107" s="284"/>
      <c r="AO107" s="284"/>
      <c r="AP107" s="284"/>
      <c r="AQ107" s="284"/>
      <c r="AR107" s="284"/>
      <c r="AS107" s="279"/>
      <c r="AT107" s="281"/>
      <c r="AU107" s="284"/>
      <c r="AV107" s="284"/>
      <c r="AW107" s="284"/>
      <c r="AX107" s="284"/>
      <c r="AY107" s="284"/>
      <c r="AZ107" s="284"/>
      <c r="BA107" s="284"/>
      <c r="BB107" s="285"/>
      <c r="BC107" s="284"/>
      <c r="BD107" s="160"/>
      <c r="BE107" s="160"/>
      <c r="BF107" s="160"/>
      <c r="BG107" s="160"/>
      <c r="BH107" s="160"/>
      <c r="BI107" s="160"/>
      <c r="BJ107" s="160"/>
      <c r="BK107" s="160"/>
      <c r="BL107" s="160"/>
      <c r="BM107" s="160"/>
      <c r="BN107" s="160"/>
      <c r="BO107" s="160"/>
      <c r="BP107" s="160"/>
      <c r="BQ107" s="160"/>
      <c r="BR107" s="160"/>
      <c r="BS107" s="160"/>
      <c r="BT107" s="160"/>
      <c r="BU107" s="160"/>
      <c r="BV107" s="160"/>
      <c r="BW107" s="160"/>
      <c r="BX107" s="160"/>
      <c r="BY107" s="160"/>
      <c r="BZ107" s="160"/>
      <c r="CA107" s="158"/>
      <c r="CB107" s="205"/>
      <c r="CC107" s="200"/>
      <c r="GL107" s="201"/>
      <c r="GM107" s="201"/>
      <c r="GN107" s="201"/>
      <c r="GO107" s="201"/>
      <c r="GP107" s="201"/>
      <c r="GQ107" s="201"/>
      <c r="GR107" s="201"/>
      <c r="GS107" s="201"/>
      <c r="GT107" s="201"/>
      <c r="GU107" s="201"/>
      <c r="GV107" s="201"/>
      <c r="GW107" s="201"/>
      <c r="GX107" s="201"/>
      <c r="GY107" s="201"/>
      <c r="GZ107" s="201"/>
      <c r="HA107" s="201"/>
    </row>
    <row r="108" spans="1:209" ht="10.15" customHeight="1">
      <c r="A108"/>
      <c r="B108"/>
      <c r="D108" s="198"/>
      <c r="E108" s="279"/>
      <c r="F108" s="280"/>
      <c r="G108" s="280"/>
      <c r="H108" s="281"/>
      <c r="I108" s="281"/>
      <c r="J108" s="281"/>
      <c r="K108" s="281"/>
      <c r="L108" s="281"/>
      <c r="M108" s="281"/>
      <c r="N108" s="281"/>
      <c r="O108" s="281"/>
      <c r="P108" s="281"/>
      <c r="Q108" s="281"/>
      <c r="R108" s="281"/>
      <c r="S108" s="281"/>
      <c r="T108" s="281"/>
      <c r="U108" s="281"/>
      <c r="V108" s="281"/>
      <c r="W108" s="281"/>
      <c r="X108" s="281"/>
      <c r="Y108" s="281"/>
      <c r="Z108" s="281"/>
      <c r="AA108" s="281"/>
      <c r="AB108" s="281"/>
      <c r="AC108" s="281"/>
      <c r="AD108" s="284"/>
      <c r="AE108" s="284"/>
      <c r="AF108" s="284"/>
      <c r="AG108" s="284"/>
      <c r="AH108" s="284"/>
      <c r="AI108" s="284"/>
      <c r="AJ108" s="284"/>
      <c r="AK108" s="284"/>
      <c r="AL108" s="284"/>
      <c r="AM108" s="284"/>
      <c r="AN108" s="284"/>
      <c r="AO108" s="284"/>
      <c r="AP108" s="284"/>
      <c r="AQ108" s="284"/>
      <c r="AR108" s="284"/>
      <c r="AS108" s="279"/>
      <c r="AT108" s="281"/>
      <c r="AU108" s="284"/>
      <c r="AV108" s="284"/>
      <c r="AW108" s="284"/>
      <c r="AX108" s="284"/>
      <c r="AY108" s="284"/>
      <c r="AZ108" s="284"/>
      <c r="BA108" s="284"/>
      <c r="BB108" s="285"/>
      <c r="BC108" s="284"/>
      <c r="BD108" s="160"/>
      <c r="BE108" s="160"/>
      <c r="BF108" s="160"/>
      <c r="BG108" s="160"/>
      <c r="BH108" s="160"/>
      <c r="BI108" s="160"/>
      <c r="BJ108" s="160"/>
      <c r="BK108" s="160"/>
      <c r="BL108" s="160"/>
      <c r="BM108" s="160"/>
      <c r="BN108" s="160"/>
      <c r="BO108" s="160"/>
      <c r="BP108" s="160"/>
      <c r="BQ108" s="160"/>
      <c r="BR108" s="160"/>
      <c r="BS108" s="160"/>
      <c r="BT108" s="160"/>
      <c r="BU108" s="160"/>
      <c r="BV108" s="160"/>
      <c r="BW108" s="160"/>
      <c r="BX108" s="160"/>
      <c r="BY108" s="160"/>
      <c r="BZ108" s="160"/>
      <c r="CA108" s="158"/>
      <c r="CB108" s="205"/>
      <c r="CC108" s="200"/>
      <c r="GL108" s="201"/>
      <c r="GM108" s="201"/>
      <c r="GN108" s="201"/>
      <c r="GO108" s="201"/>
      <c r="GP108" s="201"/>
      <c r="GQ108" s="201"/>
      <c r="GR108" s="201"/>
      <c r="GS108" s="201"/>
      <c r="GT108" s="201"/>
      <c r="GU108" s="201"/>
      <c r="GV108" s="201"/>
      <c r="GW108" s="201"/>
      <c r="GX108" s="201"/>
      <c r="GY108" s="201"/>
      <c r="GZ108" s="201"/>
      <c r="HA108" s="201"/>
    </row>
    <row r="109" spans="1:209" ht="10.15" customHeight="1">
      <c r="A109"/>
      <c r="B109"/>
      <c r="D109" s="198"/>
      <c r="E109" s="279"/>
      <c r="F109" s="280"/>
      <c r="G109" s="280"/>
      <c r="H109" s="281"/>
      <c r="I109" s="281"/>
      <c r="J109" s="281"/>
      <c r="K109" s="281"/>
      <c r="L109" s="281"/>
      <c r="M109" s="281"/>
      <c r="N109" s="281"/>
      <c r="O109" s="281"/>
      <c r="P109" s="281"/>
      <c r="Q109" s="281"/>
      <c r="R109" s="281"/>
      <c r="S109" s="281"/>
      <c r="T109" s="281"/>
      <c r="U109" s="281"/>
      <c r="V109" s="281"/>
      <c r="W109" s="281"/>
      <c r="X109" s="281"/>
      <c r="Y109" s="281"/>
      <c r="Z109" s="281"/>
      <c r="AA109" s="281"/>
      <c r="AB109" s="281"/>
      <c r="AC109" s="281"/>
      <c r="AD109" s="284"/>
      <c r="AE109" s="284"/>
      <c r="AF109" s="284"/>
      <c r="AG109" s="284"/>
      <c r="AH109" s="284"/>
      <c r="AI109" s="284"/>
      <c r="AJ109" s="284"/>
      <c r="AK109" s="284"/>
      <c r="AL109" s="284"/>
      <c r="AM109" s="284"/>
      <c r="AN109" s="284"/>
      <c r="AO109" s="284"/>
      <c r="AP109" s="284"/>
      <c r="AQ109" s="284"/>
      <c r="AR109" s="284"/>
      <c r="AS109" s="279"/>
      <c r="AT109" s="281"/>
      <c r="AU109" s="284"/>
      <c r="AV109" s="284"/>
      <c r="AW109" s="284"/>
      <c r="AX109" s="284"/>
      <c r="AY109" s="284"/>
      <c r="AZ109" s="284"/>
      <c r="BA109" s="284"/>
      <c r="BB109" s="285"/>
      <c r="BC109" s="284"/>
      <c r="BD109" s="160"/>
      <c r="BE109" s="160"/>
      <c r="BF109" s="160"/>
      <c r="BG109" s="160"/>
      <c r="BH109" s="160"/>
      <c r="BI109" s="160"/>
      <c r="BJ109" s="160"/>
      <c r="BK109" s="160"/>
      <c r="BL109" s="160"/>
      <c r="BM109" s="160"/>
      <c r="BN109" s="160"/>
      <c r="BO109" s="160"/>
      <c r="BP109" s="160"/>
      <c r="BQ109" s="160"/>
      <c r="BR109" s="160"/>
      <c r="BS109" s="160"/>
      <c r="BT109" s="160"/>
      <c r="BU109" s="160"/>
      <c r="BV109" s="160"/>
      <c r="BW109" s="160"/>
      <c r="BX109" s="160"/>
      <c r="BY109" s="160"/>
      <c r="BZ109" s="160"/>
      <c r="CA109" s="158"/>
      <c r="CB109" s="205"/>
      <c r="CC109" s="200"/>
      <c r="GL109" s="201"/>
      <c r="GM109" s="201"/>
      <c r="GN109" s="201"/>
      <c r="GO109" s="201"/>
      <c r="GP109" s="201"/>
      <c r="GQ109" s="201"/>
      <c r="GR109" s="201"/>
      <c r="GS109" s="201"/>
      <c r="GT109" s="201"/>
      <c r="GU109" s="201"/>
      <c r="GV109" s="201"/>
      <c r="GW109" s="201"/>
      <c r="GX109" s="201"/>
      <c r="GY109" s="201"/>
      <c r="GZ109" s="201"/>
      <c r="HA109" s="201"/>
    </row>
    <row r="110" spans="1:209" ht="10.15" customHeight="1">
      <c r="A110"/>
      <c r="B110"/>
      <c r="D110" s="198"/>
      <c r="E110" s="279"/>
      <c r="F110" s="280"/>
      <c r="G110" s="280"/>
      <c r="H110" s="281"/>
      <c r="I110" s="281"/>
      <c r="J110" s="281"/>
      <c r="K110" s="281"/>
      <c r="L110" s="281"/>
      <c r="M110" s="281"/>
      <c r="N110" s="281"/>
      <c r="O110" s="281"/>
      <c r="P110" s="281"/>
      <c r="Q110" s="281"/>
      <c r="R110" s="281"/>
      <c r="S110" s="281"/>
      <c r="T110" s="281"/>
      <c r="U110" s="281"/>
      <c r="V110" s="281"/>
      <c r="W110" s="281"/>
      <c r="X110" s="281"/>
      <c r="Y110" s="281"/>
      <c r="Z110" s="281"/>
      <c r="AA110" s="281"/>
      <c r="AB110" s="281"/>
      <c r="AC110" s="281"/>
      <c r="AD110" s="284"/>
      <c r="AE110" s="284"/>
      <c r="AF110" s="284"/>
      <c r="AG110" s="284"/>
      <c r="AH110" s="284"/>
      <c r="AI110" s="284"/>
      <c r="AJ110" s="284"/>
      <c r="AK110" s="284"/>
      <c r="AL110" s="284"/>
      <c r="AM110" s="284"/>
      <c r="AN110" s="284"/>
      <c r="AO110" s="284"/>
      <c r="AP110" s="284"/>
      <c r="AQ110" s="284"/>
      <c r="AR110" s="284"/>
      <c r="AS110" s="279"/>
      <c r="AT110" s="281"/>
      <c r="AU110" s="284"/>
      <c r="AV110" s="284"/>
      <c r="AW110" s="284"/>
      <c r="AX110" s="284"/>
      <c r="AY110" s="284"/>
      <c r="AZ110" s="284"/>
      <c r="BA110" s="284"/>
      <c r="BB110" s="285"/>
      <c r="BC110" s="284"/>
      <c r="BD110" s="160"/>
      <c r="BE110" s="160"/>
      <c r="BF110" s="160"/>
      <c r="BG110" s="160"/>
      <c r="BH110" s="160"/>
      <c r="BI110" s="160"/>
      <c r="BJ110" s="160"/>
      <c r="BK110" s="160"/>
      <c r="BL110" s="160"/>
      <c r="BM110" s="160"/>
      <c r="BN110" s="160"/>
      <c r="BO110" s="160"/>
      <c r="BP110" s="160"/>
      <c r="BQ110" s="160"/>
      <c r="BR110" s="160"/>
      <c r="BS110" s="160"/>
      <c r="BT110" s="160"/>
      <c r="BU110" s="160"/>
      <c r="BV110" s="160"/>
      <c r="BW110" s="160"/>
      <c r="BX110" s="160"/>
      <c r="BY110" s="160"/>
      <c r="BZ110" s="160"/>
      <c r="CA110" s="158"/>
      <c r="CB110" s="205"/>
      <c r="CC110" s="200"/>
      <c r="GL110" s="201"/>
      <c r="GM110" s="201"/>
      <c r="GN110" s="201"/>
      <c r="GO110" s="201"/>
      <c r="GP110" s="201"/>
      <c r="GQ110" s="201"/>
      <c r="GR110" s="201"/>
      <c r="GS110" s="201"/>
      <c r="GT110" s="201"/>
      <c r="GU110" s="201"/>
      <c r="GV110" s="201"/>
      <c r="GW110" s="201"/>
      <c r="GX110" s="201"/>
      <c r="GY110" s="201"/>
      <c r="GZ110" s="201"/>
      <c r="HA110" s="201"/>
    </row>
    <row r="111" spans="1:209" ht="10.15" customHeight="1">
      <c r="A111"/>
      <c r="B111"/>
      <c r="D111" s="198"/>
      <c r="E111" s="279"/>
      <c r="F111" s="280"/>
      <c r="G111" s="280"/>
      <c r="H111" s="281"/>
      <c r="I111" s="281"/>
      <c r="J111" s="281"/>
      <c r="K111" s="281"/>
      <c r="L111" s="281"/>
      <c r="M111" s="281"/>
      <c r="N111" s="281"/>
      <c r="O111" s="281"/>
      <c r="P111" s="281"/>
      <c r="Q111" s="281"/>
      <c r="R111" s="281"/>
      <c r="S111" s="281"/>
      <c r="T111" s="281"/>
      <c r="U111" s="281"/>
      <c r="V111" s="281"/>
      <c r="W111" s="281"/>
      <c r="X111" s="281"/>
      <c r="Y111" s="281"/>
      <c r="Z111" s="281"/>
      <c r="AA111" s="281"/>
      <c r="AB111" s="281"/>
      <c r="AC111" s="281"/>
      <c r="AD111" s="284"/>
      <c r="AE111" s="284"/>
      <c r="AF111" s="284"/>
      <c r="AG111" s="284"/>
      <c r="AH111" s="284"/>
      <c r="AI111" s="284"/>
      <c r="AJ111" s="284"/>
      <c r="AK111" s="284"/>
      <c r="AL111" s="284"/>
      <c r="AM111" s="284"/>
      <c r="AN111" s="284"/>
      <c r="AO111" s="284"/>
      <c r="AP111" s="284"/>
      <c r="AQ111" s="284"/>
      <c r="AR111" s="284"/>
      <c r="AS111" s="279"/>
      <c r="AT111" s="281"/>
      <c r="AU111" s="284"/>
      <c r="AV111" s="284"/>
      <c r="AW111" s="284"/>
      <c r="AX111" s="284"/>
      <c r="AY111" s="284"/>
      <c r="AZ111" s="284"/>
      <c r="BA111" s="284"/>
      <c r="BB111" s="285"/>
      <c r="BC111" s="284"/>
      <c r="BD111" s="160"/>
      <c r="BE111" s="160"/>
      <c r="BF111" s="160"/>
      <c r="BG111" s="160"/>
      <c r="BH111" s="160"/>
      <c r="BI111" s="160"/>
      <c r="BJ111" s="160"/>
      <c r="BK111" s="160"/>
      <c r="BL111" s="160"/>
      <c r="BM111" s="160"/>
      <c r="BN111" s="160"/>
      <c r="BO111" s="160"/>
      <c r="BP111" s="160"/>
      <c r="BQ111" s="160"/>
      <c r="BR111" s="160"/>
      <c r="BS111" s="160"/>
      <c r="BT111" s="160"/>
      <c r="BU111" s="160"/>
      <c r="BV111" s="160"/>
      <c r="BW111" s="160"/>
      <c r="BX111" s="160"/>
      <c r="BY111" s="160"/>
      <c r="BZ111" s="160"/>
      <c r="CA111" s="158"/>
      <c r="CB111" s="205"/>
      <c r="CC111" s="200"/>
      <c r="GL111" s="201"/>
      <c r="GM111" s="201"/>
      <c r="GN111" s="201"/>
      <c r="GO111" s="201"/>
      <c r="GP111" s="201"/>
      <c r="GQ111" s="201"/>
      <c r="GR111" s="201"/>
      <c r="GS111" s="201"/>
      <c r="GT111" s="201"/>
      <c r="GU111" s="201"/>
      <c r="GV111" s="201"/>
      <c r="GW111" s="201"/>
      <c r="GX111" s="201"/>
      <c r="GY111" s="201"/>
      <c r="GZ111" s="201"/>
      <c r="HA111" s="201"/>
    </row>
    <row r="112" spans="1:209" ht="10.15" customHeight="1">
      <c r="A112"/>
      <c r="B112"/>
      <c r="D112" s="198"/>
      <c r="E112" s="279"/>
      <c r="F112" s="280"/>
      <c r="G112" s="280"/>
      <c r="H112" s="281"/>
      <c r="I112" s="281"/>
      <c r="J112" s="281"/>
      <c r="K112" s="281"/>
      <c r="L112" s="281"/>
      <c r="M112" s="281"/>
      <c r="N112" s="281"/>
      <c r="O112" s="281"/>
      <c r="P112" s="281"/>
      <c r="Q112" s="281"/>
      <c r="R112" s="281"/>
      <c r="S112" s="281"/>
      <c r="T112" s="281"/>
      <c r="U112" s="281"/>
      <c r="V112" s="281"/>
      <c r="W112" s="281"/>
      <c r="X112" s="281"/>
      <c r="Y112" s="281"/>
      <c r="Z112" s="281"/>
      <c r="AA112" s="281"/>
      <c r="AB112" s="281"/>
      <c r="AC112" s="281"/>
      <c r="AD112" s="284"/>
      <c r="AE112" s="284"/>
      <c r="AF112" s="284"/>
      <c r="AG112" s="284"/>
      <c r="AH112" s="284"/>
      <c r="AI112" s="284"/>
      <c r="AJ112" s="284"/>
      <c r="AK112" s="284"/>
      <c r="AL112" s="284"/>
      <c r="AM112" s="284"/>
      <c r="AN112" s="284"/>
      <c r="AO112" s="284"/>
      <c r="AP112" s="284"/>
      <c r="AQ112" s="284"/>
      <c r="AR112" s="284"/>
      <c r="AS112" s="279"/>
      <c r="AT112" s="281"/>
      <c r="AU112" s="284"/>
      <c r="AV112" s="284"/>
      <c r="AW112" s="284"/>
      <c r="AX112" s="284"/>
      <c r="AY112" s="284"/>
      <c r="AZ112" s="284"/>
      <c r="BA112" s="284"/>
      <c r="BB112" s="285"/>
      <c r="BC112" s="284"/>
      <c r="BD112" s="160"/>
      <c r="BE112" s="160"/>
      <c r="BF112" s="160"/>
      <c r="BG112" s="160"/>
      <c r="BH112" s="160"/>
      <c r="BI112" s="160"/>
      <c r="BJ112" s="160"/>
      <c r="BK112" s="160"/>
      <c r="BL112" s="160"/>
      <c r="BM112" s="160"/>
      <c r="BN112" s="160"/>
      <c r="BO112" s="160"/>
      <c r="BP112" s="160"/>
      <c r="BQ112" s="160"/>
      <c r="BR112" s="160"/>
      <c r="BS112" s="160"/>
      <c r="BT112" s="160"/>
      <c r="BU112" s="160"/>
      <c r="BV112" s="160"/>
      <c r="BW112" s="160"/>
      <c r="BX112" s="160"/>
      <c r="BY112" s="160"/>
      <c r="BZ112" s="160"/>
      <c r="CA112" s="158"/>
      <c r="CB112" s="205"/>
      <c r="CC112" s="200"/>
      <c r="GL112" s="201"/>
      <c r="GM112" s="201"/>
      <c r="GN112" s="201"/>
      <c r="GO112" s="201"/>
      <c r="GP112" s="201"/>
      <c r="GQ112" s="201"/>
      <c r="GR112" s="201"/>
      <c r="GS112" s="201"/>
      <c r="GT112" s="201"/>
      <c r="GU112" s="201"/>
      <c r="GV112" s="201"/>
      <c r="GW112" s="201"/>
      <c r="GX112" s="201"/>
      <c r="GY112" s="201"/>
      <c r="GZ112" s="201"/>
      <c r="HA112" s="201"/>
    </row>
    <row r="113" spans="1:209" ht="10.15" customHeight="1">
      <c r="A113"/>
      <c r="B113"/>
      <c r="D113" s="198"/>
      <c r="E113" s="279"/>
      <c r="F113" s="280"/>
      <c r="G113" s="280"/>
      <c r="H113" s="281"/>
      <c r="I113" s="281"/>
      <c r="J113" s="281"/>
      <c r="K113" s="281"/>
      <c r="L113" s="281"/>
      <c r="M113" s="281"/>
      <c r="N113" s="281"/>
      <c r="O113" s="281"/>
      <c r="P113" s="281"/>
      <c r="Q113" s="281"/>
      <c r="R113" s="281"/>
      <c r="S113" s="281"/>
      <c r="T113" s="281"/>
      <c r="U113" s="281"/>
      <c r="V113" s="281"/>
      <c r="W113" s="281"/>
      <c r="X113" s="281"/>
      <c r="Y113" s="281"/>
      <c r="Z113" s="281"/>
      <c r="AA113" s="281"/>
      <c r="AB113" s="281"/>
      <c r="AC113" s="281"/>
      <c r="AD113" s="284"/>
      <c r="AE113" s="284"/>
      <c r="AF113" s="284"/>
      <c r="AG113" s="284"/>
      <c r="AH113" s="284"/>
      <c r="AI113" s="284"/>
      <c r="AJ113" s="284"/>
      <c r="AK113" s="284"/>
      <c r="AL113" s="284"/>
      <c r="AM113" s="284"/>
      <c r="AN113" s="284"/>
      <c r="AO113" s="284"/>
      <c r="AP113" s="284"/>
      <c r="AQ113" s="284"/>
      <c r="AR113" s="284"/>
      <c r="AS113" s="279"/>
      <c r="AT113" s="281"/>
      <c r="AU113" s="284"/>
      <c r="AV113" s="284"/>
      <c r="AW113" s="284"/>
      <c r="AX113" s="284"/>
      <c r="AY113" s="284"/>
      <c r="AZ113" s="284"/>
      <c r="BA113" s="284"/>
      <c r="BB113" s="285"/>
      <c r="BC113" s="284"/>
      <c r="BD113" s="160"/>
      <c r="BE113" s="160"/>
      <c r="BF113" s="160"/>
      <c r="BG113" s="160"/>
      <c r="BH113" s="160"/>
      <c r="BI113" s="160"/>
      <c r="BJ113" s="160"/>
      <c r="BK113" s="160"/>
      <c r="BL113" s="160"/>
      <c r="BM113" s="160"/>
      <c r="BN113" s="160"/>
      <c r="BO113" s="160"/>
      <c r="BP113" s="160"/>
      <c r="BQ113" s="160"/>
      <c r="BR113" s="160"/>
      <c r="BS113" s="160"/>
      <c r="BT113" s="160"/>
      <c r="BU113" s="160"/>
      <c r="BV113" s="160"/>
      <c r="BW113" s="160"/>
      <c r="BX113" s="160"/>
      <c r="BY113" s="160"/>
      <c r="BZ113" s="160"/>
      <c r="CA113" s="158"/>
      <c r="CB113" s="205"/>
      <c r="CC113" s="200"/>
      <c r="GL113" s="201"/>
      <c r="GM113" s="201"/>
      <c r="GN113" s="201"/>
      <c r="GO113" s="201"/>
      <c r="GP113" s="201"/>
      <c r="GQ113" s="201"/>
      <c r="GR113" s="201"/>
      <c r="GS113" s="201"/>
      <c r="GT113" s="201"/>
      <c r="GU113" s="201"/>
      <c r="GV113" s="201"/>
      <c r="GW113" s="201"/>
      <c r="GX113" s="201"/>
      <c r="GY113" s="201"/>
      <c r="GZ113" s="201"/>
      <c r="HA113" s="201"/>
    </row>
    <row r="114" spans="1:209" ht="10.15" customHeight="1">
      <c r="A114"/>
      <c r="B114"/>
      <c r="D114" s="198"/>
      <c r="E114" s="279"/>
      <c r="F114" s="280"/>
      <c r="G114" s="280"/>
      <c r="H114" s="281"/>
      <c r="I114" s="281"/>
      <c r="J114" s="281"/>
      <c r="K114" s="281"/>
      <c r="L114" s="281"/>
      <c r="M114" s="281"/>
      <c r="N114" s="281"/>
      <c r="O114" s="281"/>
      <c r="P114" s="281"/>
      <c r="Q114" s="281"/>
      <c r="R114" s="281"/>
      <c r="S114" s="281"/>
      <c r="T114" s="281"/>
      <c r="U114" s="281"/>
      <c r="V114" s="281"/>
      <c r="W114" s="281"/>
      <c r="X114" s="281"/>
      <c r="Y114" s="281"/>
      <c r="Z114" s="281"/>
      <c r="AA114" s="281"/>
      <c r="AB114" s="281"/>
      <c r="AC114" s="281"/>
      <c r="AD114" s="284"/>
      <c r="AE114" s="284"/>
      <c r="AF114" s="284"/>
      <c r="AG114" s="284"/>
      <c r="AH114" s="284"/>
      <c r="AI114" s="284"/>
      <c r="AJ114" s="284"/>
      <c r="AK114" s="284"/>
      <c r="AL114" s="284"/>
      <c r="AM114" s="284"/>
      <c r="AN114" s="284"/>
      <c r="AO114" s="284"/>
      <c r="AP114" s="284"/>
      <c r="AQ114" s="284"/>
      <c r="AR114" s="284"/>
      <c r="AS114" s="279"/>
      <c r="AT114" s="281"/>
      <c r="AU114" s="284"/>
      <c r="AV114" s="284"/>
      <c r="AW114" s="284"/>
      <c r="AX114" s="284"/>
      <c r="AY114" s="284"/>
      <c r="AZ114" s="284"/>
      <c r="BA114" s="284"/>
      <c r="BB114" s="285"/>
      <c r="BC114" s="284"/>
      <c r="BD114" s="160"/>
      <c r="BE114" s="160"/>
      <c r="BF114" s="160"/>
      <c r="BG114" s="160"/>
      <c r="BH114" s="160"/>
      <c r="BI114" s="160"/>
      <c r="BJ114" s="160"/>
      <c r="BK114" s="160"/>
      <c r="BL114" s="160"/>
      <c r="BM114" s="160"/>
      <c r="BN114" s="160"/>
      <c r="BO114" s="160"/>
      <c r="BP114" s="160"/>
      <c r="BQ114" s="160"/>
      <c r="BR114" s="160"/>
      <c r="BS114" s="160"/>
      <c r="BT114" s="160"/>
      <c r="BU114" s="160"/>
      <c r="BV114" s="160"/>
      <c r="BW114" s="160"/>
      <c r="BX114" s="160"/>
      <c r="BY114" s="160"/>
      <c r="BZ114" s="160"/>
      <c r="CA114" s="158"/>
      <c r="CB114" s="205"/>
      <c r="CC114" s="200"/>
      <c r="GL114" s="201"/>
      <c r="GM114" s="201"/>
      <c r="GN114" s="201"/>
      <c r="GO114" s="201"/>
      <c r="GP114" s="201"/>
      <c r="GQ114" s="201"/>
      <c r="GR114" s="201"/>
      <c r="GS114" s="201"/>
      <c r="GT114" s="201"/>
      <c r="GU114" s="201"/>
      <c r="GV114" s="201"/>
      <c r="GW114" s="201"/>
      <c r="GX114" s="201"/>
      <c r="GY114" s="201"/>
      <c r="GZ114" s="201"/>
      <c r="HA114" s="201"/>
    </row>
    <row r="115" spans="1:209" ht="10.15" customHeight="1">
      <c r="A115"/>
      <c r="B115"/>
      <c r="D115" s="198"/>
      <c r="E115" s="279"/>
      <c r="F115" s="280"/>
      <c r="G115" s="280"/>
      <c r="H115" s="281"/>
      <c r="I115" s="281"/>
      <c r="J115" s="281"/>
      <c r="K115" s="281"/>
      <c r="L115" s="281"/>
      <c r="M115" s="281"/>
      <c r="N115" s="281"/>
      <c r="O115" s="281"/>
      <c r="P115" s="281"/>
      <c r="Q115" s="281"/>
      <c r="R115" s="281"/>
      <c r="S115" s="281"/>
      <c r="T115" s="281"/>
      <c r="U115" s="281"/>
      <c r="V115" s="281"/>
      <c r="W115" s="281"/>
      <c r="X115" s="281"/>
      <c r="Y115" s="281"/>
      <c r="Z115" s="281"/>
      <c r="AA115" s="281"/>
      <c r="AB115" s="281"/>
      <c r="AC115" s="281"/>
      <c r="AD115" s="284"/>
      <c r="AE115" s="284"/>
      <c r="AF115" s="284"/>
      <c r="AG115" s="284"/>
      <c r="AH115" s="284"/>
      <c r="AI115" s="284"/>
      <c r="AJ115" s="284"/>
      <c r="AK115" s="284"/>
      <c r="AL115" s="284"/>
      <c r="AM115" s="284"/>
      <c r="AN115" s="284"/>
      <c r="AO115" s="284"/>
      <c r="AP115" s="284"/>
      <c r="AQ115" s="284"/>
      <c r="AR115" s="284"/>
      <c r="AS115" s="279"/>
      <c r="AT115" s="281"/>
      <c r="AU115" s="284"/>
      <c r="AV115" s="284"/>
      <c r="AW115" s="284"/>
      <c r="AX115" s="284"/>
      <c r="AY115" s="284"/>
      <c r="AZ115" s="284"/>
      <c r="BA115" s="284"/>
      <c r="BB115" s="285"/>
      <c r="BC115" s="284"/>
      <c r="BD115" s="160"/>
      <c r="BE115" s="160"/>
      <c r="BF115" s="160"/>
      <c r="BG115" s="160"/>
      <c r="BH115" s="160"/>
      <c r="BI115" s="160"/>
      <c r="BJ115" s="160"/>
      <c r="BK115" s="160"/>
      <c r="BL115" s="160"/>
      <c r="BM115" s="160"/>
      <c r="BN115" s="160"/>
      <c r="BO115" s="160"/>
      <c r="BP115" s="160"/>
      <c r="BQ115" s="160"/>
      <c r="BR115" s="160"/>
      <c r="BS115" s="160"/>
      <c r="BT115" s="160"/>
      <c r="BU115" s="160"/>
      <c r="BV115" s="160"/>
      <c r="BW115" s="160"/>
      <c r="BX115" s="160"/>
      <c r="BY115" s="160"/>
      <c r="BZ115" s="160"/>
      <c r="CA115" s="158"/>
      <c r="CB115" s="205"/>
      <c r="CC115" s="200"/>
      <c r="GL115" s="201"/>
      <c r="GM115" s="201"/>
      <c r="GN115" s="201"/>
      <c r="GO115" s="201"/>
      <c r="GP115" s="201"/>
      <c r="GQ115" s="201"/>
      <c r="GR115" s="201"/>
      <c r="GS115" s="201"/>
      <c r="GT115" s="201"/>
      <c r="GU115" s="201"/>
      <c r="GV115" s="201"/>
      <c r="GW115" s="201"/>
      <c r="GX115" s="201"/>
      <c r="GY115" s="201"/>
      <c r="GZ115" s="201"/>
      <c r="HA115" s="201"/>
    </row>
    <row r="116" spans="1:209" ht="10.15" customHeight="1">
      <c r="A116"/>
      <c r="B116"/>
      <c r="D116" s="198"/>
      <c r="E116" s="279"/>
      <c r="F116" s="280"/>
      <c r="G116" s="280"/>
      <c r="H116" s="281"/>
      <c r="I116" s="281"/>
      <c r="J116" s="281"/>
      <c r="K116" s="281"/>
      <c r="L116" s="281"/>
      <c r="M116" s="281"/>
      <c r="N116" s="281"/>
      <c r="O116" s="281"/>
      <c r="P116" s="281"/>
      <c r="Q116" s="281"/>
      <c r="R116" s="281"/>
      <c r="S116" s="281"/>
      <c r="T116" s="281"/>
      <c r="U116" s="281"/>
      <c r="V116" s="281"/>
      <c r="W116" s="281"/>
      <c r="X116" s="281"/>
      <c r="Y116" s="281"/>
      <c r="Z116" s="281"/>
      <c r="AA116" s="281"/>
      <c r="AB116" s="281"/>
      <c r="AC116" s="281"/>
      <c r="AD116" s="284"/>
      <c r="AE116" s="284"/>
      <c r="AF116" s="284"/>
      <c r="AG116" s="284"/>
      <c r="AH116" s="284"/>
      <c r="AI116" s="284"/>
      <c r="AJ116" s="284"/>
      <c r="AK116" s="284"/>
      <c r="AL116" s="284"/>
      <c r="AM116" s="284"/>
      <c r="AN116" s="284"/>
      <c r="AO116" s="284"/>
      <c r="AP116" s="284"/>
      <c r="AQ116" s="284"/>
      <c r="AR116" s="284"/>
      <c r="AS116" s="279"/>
      <c r="AT116" s="281"/>
      <c r="AU116" s="284"/>
      <c r="AV116" s="284"/>
      <c r="AW116" s="284"/>
      <c r="AX116" s="284"/>
      <c r="AY116" s="284"/>
      <c r="AZ116" s="284"/>
      <c r="BA116" s="284"/>
      <c r="BB116" s="285"/>
      <c r="BC116" s="284"/>
      <c r="BD116" s="160"/>
      <c r="BE116" s="160"/>
      <c r="BF116" s="160"/>
      <c r="BG116" s="160"/>
      <c r="BH116" s="160"/>
      <c r="BI116" s="160"/>
      <c r="BJ116" s="160"/>
      <c r="BK116" s="160"/>
      <c r="BL116" s="160"/>
      <c r="BM116" s="160"/>
      <c r="BN116" s="160"/>
      <c r="BO116" s="160"/>
      <c r="BP116" s="160"/>
      <c r="BQ116" s="160"/>
      <c r="BR116" s="160"/>
      <c r="BS116" s="160"/>
      <c r="BT116" s="160"/>
      <c r="BU116" s="160"/>
      <c r="BV116" s="160"/>
      <c r="BW116" s="160"/>
      <c r="BX116" s="160"/>
      <c r="BY116" s="160"/>
      <c r="BZ116" s="160"/>
      <c r="CA116" s="158"/>
      <c r="CB116" s="205"/>
      <c r="CC116" s="200"/>
      <c r="CT116" s="233"/>
      <c r="CU116" s="233"/>
      <c r="CV116" s="233"/>
      <c r="CW116" s="233"/>
      <c r="CX116" s="233"/>
      <c r="CY116" s="233"/>
      <c r="CZ116" s="233"/>
      <c r="DA116" s="233"/>
      <c r="DB116" s="233"/>
      <c r="DC116" s="233"/>
      <c r="DD116" s="233"/>
      <c r="DE116" s="233"/>
      <c r="DF116" s="233"/>
      <c r="DG116" s="233"/>
      <c r="DH116" s="233"/>
      <c r="DI116" s="233"/>
      <c r="DJ116" s="233"/>
      <c r="DK116" s="233"/>
      <c r="DL116" s="233"/>
      <c r="DM116" s="233"/>
      <c r="DN116" s="233"/>
      <c r="DO116" s="233"/>
      <c r="DP116" s="233"/>
      <c r="DQ116" s="233"/>
      <c r="DR116" s="233"/>
      <c r="DS116" s="233"/>
      <c r="DT116" s="233"/>
      <c r="DU116" s="233"/>
      <c r="DV116" s="233"/>
      <c r="DW116" s="233"/>
      <c r="DX116" s="233"/>
      <c r="DY116" s="233"/>
      <c r="DZ116" s="233"/>
      <c r="EA116" s="233"/>
      <c r="EB116" s="233"/>
      <c r="EC116" s="233"/>
      <c r="ED116" s="233"/>
      <c r="EE116" s="233"/>
      <c r="EF116" s="233"/>
      <c r="EG116" s="233"/>
      <c r="EH116" s="233"/>
      <c r="EI116" s="233"/>
      <c r="EJ116" s="233"/>
      <c r="EK116" s="233"/>
      <c r="EL116" s="233"/>
      <c r="EM116" s="233"/>
      <c r="EN116" s="233"/>
      <c r="EO116" s="233"/>
      <c r="EP116" s="233"/>
      <c r="EQ116" s="233"/>
      <c r="ER116" s="233"/>
      <c r="ES116" s="233"/>
      <c r="ET116" s="233"/>
      <c r="EU116" s="233"/>
      <c r="EV116" s="233"/>
      <c r="EW116" s="233"/>
      <c r="EX116" s="233"/>
      <c r="EY116" s="233"/>
      <c r="EZ116" s="233"/>
      <c r="FA116" s="233"/>
      <c r="FB116" s="233"/>
      <c r="FC116" s="233"/>
      <c r="FD116" s="233"/>
      <c r="FE116" s="233"/>
      <c r="FF116" s="233"/>
      <c r="FG116" s="233"/>
      <c r="FH116" s="233"/>
      <c r="FI116" s="233"/>
      <c r="FJ116" s="233"/>
      <c r="FK116" s="233"/>
      <c r="FL116" s="233"/>
      <c r="FM116" s="233"/>
      <c r="FN116" s="233"/>
      <c r="FO116" s="233"/>
      <c r="FP116" s="233"/>
      <c r="FQ116" s="233"/>
      <c r="FR116" s="233"/>
      <c r="GL116" s="201"/>
      <c r="GM116" s="201"/>
      <c r="GN116" s="201"/>
      <c r="GO116" s="201"/>
      <c r="GP116" s="201"/>
      <c r="GQ116" s="201"/>
      <c r="GR116" s="201"/>
      <c r="GS116" s="201"/>
      <c r="GT116" s="201"/>
      <c r="GU116" s="201"/>
      <c r="GV116" s="201"/>
      <c r="GW116" s="201"/>
      <c r="GX116" s="201"/>
      <c r="GY116" s="201"/>
      <c r="GZ116" s="201"/>
      <c r="HA116" s="201"/>
    </row>
    <row r="117" spans="1:209" ht="10.15" customHeight="1">
      <c r="A117"/>
      <c r="B117"/>
      <c r="D117" s="198"/>
      <c r="E117" s="279"/>
      <c r="F117" s="280"/>
      <c r="G117" s="280"/>
      <c r="H117" s="281"/>
      <c r="I117" s="281"/>
      <c r="J117" s="281"/>
      <c r="K117" s="281"/>
      <c r="L117" s="281"/>
      <c r="M117" s="281"/>
      <c r="N117" s="281"/>
      <c r="O117" s="281"/>
      <c r="P117" s="281"/>
      <c r="Q117" s="281"/>
      <c r="R117" s="281"/>
      <c r="S117" s="281"/>
      <c r="T117" s="281"/>
      <c r="U117" s="281"/>
      <c r="V117" s="281"/>
      <c r="W117" s="281"/>
      <c r="X117" s="281"/>
      <c r="Y117" s="281"/>
      <c r="Z117" s="281"/>
      <c r="AA117" s="281"/>
      <c r="AB117" s="281"/>
      <c r="AC117" s="281"/>
      <c r="AD117" s="284"/>
      <c r="AE117" s="284"/>
      <c r="AF117" s="284"/>
      <c r="AG117" s="284"/>
      <c r="AH117" s="284"/>
      <c r="AI117" s="284"/>
      <c r="AJ117" s="284"/>
      <c r="AK117" s="284"/>
      <c r="AL117" s="284"/>
      <c r="AM117" s="284"/>
      <c r="AN117" s="284"/>
      <c r="AO117" s="284"/>
      <c r="AP117" s="284"/>
      <c r="AQ117" s="284"/>
      <c r="AR117" s="284"/>
      <c r="AS117" s="279"/>
      <c r="AT117" s="281"/>
      <c r="AU117" s="284"/>
      <c r="AV117" s="284"/>
      <c r="AW117" s="284"/>
      <c r="AX117" s="284"/>
      <c r="AY117" s="284"/>
      <c r="AZ117" s="284"/>
      <c r="BA117" s="284"/>
      <c r="BB117" s="285"/>
      <c r="BC117" s="284"/>
      <c r="BD117" s="160"/>
      <c r="BE117" s="160"/>
      <c r="BF117" s="160"/>
      <c r="BG117" s="160"/>
      <c r="BH117" s="160"/>
      <c r="BI117" s="160"/>
      <c r="BJ117" s="160"/>
      <c r="BK117" s="160"/>
      <c r="BL117" s="160"/>
      <c r="BM117" s="160"/>
      <c r="BN117" s="160"/>
      <c r="BO117" s="160"/>
      <c r="BP117" s="160"/>
      <c r="BQ117" s="160"/>
      <c r="BR117" s="160"/>
      <c r="BS117" s="160"/>
      <c r="BT117" s="160"/>
      <c r="BU117" s="160"/>
      <c r="BV117" s="160"/>
      <c r="BW117" s="160"/>
      <c r="BX117" s="160"/>
      <c r="BY117" s="160"/>
      <c r="BZ117" s="160"/>
      <c r="CA117" s="158"/>
      <c r="CB117" s="205"/>
      <c r="CC117" s="200"/>
      <c r="CT117" s="233"/>
      <c r="CU117" s="233"/>
      <c r="CV117" s="233"/>
      <c r="CW117" s="233"/>
      <c r="CX117" s="233"/>
      <c r="CY117" s="233"/>
      <c r="CZ117" s="233"/>
      <c r="DA117" s="233"/>
      <c r="DB117" s="233"/>
      <c r="DC117" s="233"/>
      <c r="DD117" s="233"/>
      <c r="DE117" s="233"/>
      <c r="DF117" s="233"/>
      <c r="DG117" s="233"/>
      <c r="DH117" s="233"/>
      <c r="DI117" s="233"/>
      <c r="DJ117" s="233"/>
      <c r="DK117" s="233"/>
      <c r="DL117" s="233"/>
      <c r="DM117" s="233"/>
      <c r="DN117" s="233"/>
      <c r="DO117" s="233"/>
      <c r="DP117" s="233"/>
      <c r="DQ117" s="233"/>
      <c r="DR117" s="233"/>
      <c r="DS117" s="233"/>
      <c r="DT117" s="233"/>
      <c r="DU117" s="233"/>
      <c r="DV117" s="233"/>
      <c r="DW117" s="233"/>
      <c r="DX117" s="233"/>
      <c r="DY117" s="233"/>
      <c r="DZ117" s="233"/>
      <c r="EA117" s="233"/>
      <c r="EB117" s="233"/>
      <c r="EC117" s="233"/>
      <c r="ED117" s="233"/>
      <c r="EE117" s="233"/>
      <c r="EF117" s="233"/>
      <c r="EG117" s="233"/>
      <c r="EH117" s="233"/>
      <c r="EI117" s="233"/>
      <c r="EJ117" s="233"/>
      <c r="EK117" s="233"/>
      <c r="EL117" s="233"/>
      <c r="EM117" s="233"/>
      <c r="EN117" s="233"/>
      <c r="EO117" s="233"/>
      <c r="EP117" s="233"/>
      <c r="EQ117" s="233"/>
      <c r="ER117" s="233"/>
      <c r="ES117" s="233"/>
      <c r="ET117" s="233"/>
      <c r="EU117" s="233"/>
      <c r="EV117" s="233"/>
      <c r="EW117" s="233"/>
      <c r="EX117" s="233"/>
      <c r="EY117" s="233"/>
      <c r="EZ117" s="233"/>
      <c r="FA117" s="233"/>
      <c r="FB117" s="233"/>
      <c r="FC117" s="233"/>
      <c r="FD117" s="233"/>
      <c r="FE117" s="233"/>
      <c r="FF117" s="233"/>
      <c r="FG117" s="233"/>
      <c r="FH117" s="233"/>
      <c r="FI117" s="233"/>
      <c r="FJ117" s="233"/>
      <c r="FK117" s="233"/>
      <c r="FL117" s="233"/>
      <c r="FM117" s="233"/>
      <c r="FN117" s="233"/>
      <c r="FO117" s="233"/>
      <c r="FP117" s="233"/>
      <c r="FQ117" s="233"/>
      <c r="FR117" s="233"/>
      <c r="GL117" s="201"/>
      <c r="GM117" s="201"/>
      <c r="GN117" s="201"/>
      <c r="GO117" s="201"/>
      <c r="GP117" s="201"/>
      <c r="GQ117" s="201"/>
      <c r="GR117" s="201"/>
      <c r="GS117" s="201"/>
      <c r="GT117" s="201"/>
      <c r="GU117" s="201"/>
      <c r="GV117" s="201"/>
      <c r="GW117" s="201"/>
      <c r="GX117" s="201"/>
      <c r="GY117" s="201"/>
      <c r="GZ117" s="201"/>
      <c r="HA117" s="201"/>
    </row>
    <row r="118" spans="1:209" ht="10.15" customHeight="1">
      <c r="A118"/>
      <c r="B118"/>
      <c r="D118" s="198"/>
      <c r="E118" s="279"/>
      <c r="F118" s="280"/>
      <c r="G118" s="282"/>
      <c r="H118" s="283"/>
      <c r="I118" s="283"/>
      <c r="J118" s="283"/>
      <c r="K118" s="283"/>
      <c r="L118" s="283"/>
      <c r="M118" s="283"/>
      <c r="N118" s="283"/>
      <c r="O118" s="283"/>
      <c r="P118" s="283"/>
      <c r="Q118" s="283"/>
      <c r="R118" s="283"/>
      <c r="S118" s="283"/>
      <c r="T118" s="283"/>
      <c r="U118" s="283"/>
      <c r="V118" s="283"/>
      <c r="W118" s="283"/>
      <c r="X118" s="283"/>
      <c r="Y118" s="283"/>
      <c r="Z118" s="283"/>
      <c r="AA118" s="283"/>
      <c r="AB118" s="283"/>
      <c r="AC118" s="283"/>
      <c r="AD118" s="286"/>
      <c r="AE118" s="286"/>
      <c r="AF118" s="286"/>
      <c r="AG118" s="286"/>
      <c r="AH118" s="286"/>
      <c r="AI118" s="286"/>
      <c r="AJ118" s="286"/>
      <c r="AK118" s="286"/>
      <c r="AL118" s="286"/>
      <c r="AM118" s="286"/>
      <c r="AN118" s="286"/>
      <c r="AO118" s="286"/>
      <c r="AP118" s="286"/>
      <c r="AQ118" s="286"/>
      <c r="AR118" s="286"/>
      <c r="AS118" s="287"/>
      <c r="AT118" s="283"/>
      <c r="AU118" s="286"/>
      <c r="AV118" s="286"/>
      <c r="AW118" s="286"/>
      <c r="AX118" s="286"/>
      <c r="AY118" s="286"/>
      <c r="AZ118" s="286"/>
      <c r="BA118" s="286"/>
      <c r="BB118" s="288"/>
      <c r="BC118" s="289"/>
      <c r="BD118" s="160"/>
      <c r="BE118" s="160"/>
      <c r="BF118" s="160"/>
      <c r="BG118" s="160"/>
      <c r="BH118" s="160"/>
      <c r="BI118" s="160"/>
      <c r="BJ118" s="160"/>
      <c r="BK118" s="160"/>
      <c r="BL118" s="160"/>
      <c r="BM118" s="160"/>
      <c r="BN118" s="160"/>
      <c r="BO118" s="160"/>
      <c r="BP118" s="160"/>
      <c r="BQ118" s="160"/>
      <c r="BR118" s="160"/>
      <c r="BS118" s="160"/>
      <c r="BT118" s="160"/>
      <c r="BU118" s="160"/>
      <c r="BV118" s="160"/>
      <c r="BW118" s="160"/>
      <c r="BX118" s="160"/>
      <c r="BY118" s="160"/>
      <c r="BZ118" s="160"/>
      <c r="CA118" s="158"/>
      <c r="CB118" s="205"/>
      <c r="CC118" s="200"/>
      <c r="CT118" s="233"/>
      <c r="CU118" s="233"/>
      <c r="CV118" s="233"/>
      <c r="CW118" s="233"/>
      <c r="CX118" s="233"/>
      <c r="CY118" s="233"/>
      <c r="CZ118" s="233"/>
      <c r="DA118" s="233"/>
      <c r="DB118" s="233"/>
      <c r="DC118" s="233"/>
      <c r="DD118" s="233"/>
      <c r="DE118" s="233"/>
      <c r="DF118" s="233"/>
      <c r="DG118" s="233"/>
      <c r="DH118" s="233"/>
      <c r="DI118" s="233"/>
      <c r="DJ118" s="233"/>
      <c r="DK118" s="233"/>
      <c r="DL118" s="233"/>
      <c r="DM118" s="233"/>
      <c r="DN118" s="233"/>
      <c r="DO118" s="233"/>
      <c r="DP118" s="233"/>
      <c r="DQ118" s="233"/>
      <c r="DR118" s="233"/>
      <c r="DS118" s="233"/>
      <c r="DT118" s="233"/>
      <c r="DU118" s="233"/>
      <c r="DV118" s="233"/>
      <c r="DW118" s="233"/>
      <c r="DX118" s="233"/>
      <c r="DY118" s="233"/>
      <c r="DZ118" s="233"/>
      <c r="EA118" s="233"/>
      <c r="EB118" s="233"/>
      <c r="EC118" s="233"/>
      <c r="ED118" s="233"/>
      <c r="EE118" s="233"/>
      <c r="EF118" s="233"/>
      <c r="EG118" s="233"/>
      <c r="EH118" s="233"/>
      <c r="EI118" s="233"/>
      <c r="EJ118" s="233"/>
      <c r="EK118" s="233"/>
      <c r="EL118" s="233"/>
      <c r="EM118" s="233"/>
      <c r="EN118" s="233"/>
      <c r="EO118" s="233"/>
      <c r="EP118" s="233"/>
      <c r="EQ118" s="233"/>
      <c r="ER118" s="233"/>
      <c r="ES118" s="233"/>
      <c r="ET118" s="233"/>
      <c r="EU118" s="233"/>
      <c r="EV118" s="233"/>
      <c r="EW118" s="233"/>
      <c r="EX118" s="233"/>
      <c r="EY118" s="233"/>
      <c r="EZ118" s="233"/>
      <c r="FA118" s="233"/>
      <c r="FB118" s="233"/>
      <c r="FC118" s="233"/>
      <c r="FD118" s="233"/>
      <c r="FE118" s="233"/>
      <c r="FF118" s="233"/>
      <c r="FG118" s="233"/>
      <c r="FH118" s="233"/>
      <c r="FI118" s="233"/>
      <c r="FJ118" s="233"/>
      <c r="FK118" s="233"/>
      <c r="FL118" s="233"/>
      <c r="FM118" s="233"/>
      <c r="FN118" s="233"/>
      <c r="FO118" s="233"/>
      <c r="FP118" s="233"/>
      <c r="FQ118" s="233"/>
      <c r="FR118" s="233"/>
    </row>
    <row r="119" spans="1:209" ht="10.15" customHeight="1">
      <c r="A119"/>
      <c r="B119"/>
      <c r="C119" s="257"/>
      <c r="D119" s="198"/>
      <c r="E119" s="279"/>
      <c r="F119" s="280"/>
      <c r="G119" s="281"/>
      <c r="H119" s="281"/>
      <c r="I119" s="281"/>
      <c r="J119" s="281"/>
      <c r="K119" s="281"/>
      <c r="L119" s="281"/>
      <c r="M119" s="281"/>
      <c r="N119" s="281"/>
      <c r="O119" s="281"/>
      <c r="P119" s="281"/>
      <c r="Q119" s="281"/>
      <c r="R119" s="281"/>
      <c r="S119" s="281"/>
      <c r="T119" s="281"/>
      <c r="U119" s="281"/>
      <c r="V119" s="281"/>
      <c r="W119" s="281"/>
      <c r="X119" s="281"/>
      <c r="Y119" s="281"/>
      <c r="Z119" s="281"/>
      <c r="AA119" s="281"/>
      <c r="AB119" s="281"/>
      <c r="AC119" s="281"/>
      <c r="AD119" s="284"/>
      <c r="AE119" s="284"/>
      <c r="AF119" s="284"/>
      <c r="AG119" s="284"/>
      <c r="AH119" s="284"/>
      <c r="AI119" s="284"/>
      <c r="AJ119" s="284"/>
      <c r="AK119" s="284"/>
      <c r="AL119" s="284"/>
      <c r="AM119" s="284"/>
      <c r="AN119" s="284"/>
      <c r="AO119" s="284"/>
      <c r="AP119" s="284"/>
      <c r="AQ119" s="284"/>
      <c r="AR119" s="284"/>
      <c r="AS119" s="279"/>
      <c r="AT119" s="281"/>
      <c r="AU119" s="284"/>
      <c r="AV119" s="284"/>
      <c r="AW119" s="284"/>
      <c r="AX119" s="284"/>
      <c r="AY119" s="284"/>
      <c r="AZ119" s="284"/>
      <c r="BA119" s="284"/>
      <c r="BB119" s="284"/>
      <c r="BC119" s="284"/>
      <c r="BD119" s="159"/>
      <c r="BE119" s="159"/>
      <c r="BF119" s="159"/>
      <c r="BG119" s="159"/>
      <c r="BH119" s="159"/>
      <c r="BI119" s="159"/>
      <c r="BJ119" s="159"/>
      <c r="BK119" s="159"/>
      <c r="BL119" s="159"/>
      <c r="BM119" s="159"/>
      <c r="BN119" s="159"/>
      <c r="BO119" s="159"/>
      <c r="BP119" s="159"/>
      <c r="BQ119" s="159"/>
      <c r="BR119" s="155"/>
      <c r="BS119" s="155"/>
      <c r="BT119" s="155"/>
      <c r="BU119" s="155"/>
      <c r="BV119" s="157"/>
      <c r="BW119" s="157"/>
      <c r="BX119" s="157"/>
      <c r="BY119" s="157"/>
      <c r="BZ119" s="157"/>
      <c r="CA119" s="158"/>
      <c r="CB119" s="205"/>
      <c r="CC119" s="200"/>
      <c r="CD119" s="257"/>
      <c r="CT119" s="233"/>
      <c r="CU119" s="233"/>
      <c r="CV119" s="233"/>
      <c r="CW119" s="233"/>
      <c r="CX119" s="233"/>
      <c r="CY119" s="233"/>
      <c r="CZ119" s="233"/>
      <c r="DA119" s="233"/>
      <c r="DB119" s="233"/>
      <c r="DC119" s="233"/>
      <c r="DD119" s="233"/>
      <c r="DE119" s="233"/>
      <c r="DF119" s="233"/>
      <c r="DG119" s="233"/>
      <c r="DH119" s="233"/>
      <c r="DI119" s="233"/>
      <c r="DJ119" s="233"/>
      <c r="DK119" s="233"/>
      <c r="DL119" s="233"/>
      <c r="DM119" s="233"/>
      <c r="DN119" s="233"/>
      <c r="DO119" s="233"/>
      <c r="DP119" s="233"/>
      <c r="DQ119" s="233"/>
      <c r="DR119" s="233"/>
      <c r="DS119" s="233"/>
      <c r="DT119" s="233"/>
      <c r="DU119" s="233"/>
      <c r="DV119" s="233"/>
      <c r="DW119" s="233"/>
      <c r="DX119" s="233"/>
      <c r="DY119" s="233"/>
      <c r="DZ119" s="233"/>
      <c r="EA119" s="233"/>
      <c r="EB119" s="233"/>
      <c r="EC119" s="233"/>
      <c r="ED119" s="233"/>
      <c r="EE119" s="233"/>
      <c r="EF119" s="233"/>
      <c r="EG119" s="233"/>
      <c r="EH119" s="233"/>
      <c r="EI119" s="233"/>
      <c r="EJ119" s="233"/>
      <c r="EK119" s="233"/>
      <c r="EL119" s="233"/>
      <c r="EM119" s="233"/>
      <c r="EN119" s="233"/>
      <c r="EO119" s="233"/>
      <c r="EP119" s="233"/>
      <c r="EQ119" s="233"/>
      <c r="ER119" s="233"/>
      <c r="ES119" s="233"/>
      <c r="ET119" s="233"/>
      <c r="EU119" s="233"/>
      <c r="EV119" s="233"/>
      <c r="EW119" s="233"/>
      <c r="EX119" s="233"/>
      <c r="EY119" s="233"/>
      <c r="EZ119" s="233"/>
      <c r="FA119" s="233"/>
      <c r="FB119" s="233"/>
      <c r="FC119" s="233"/>
      <c r="FD119" s="233"/>
      <c r="FE119" s="233"/>
      <c r="FF119" s="233"/>
      <c r="FG119" s="233"/>
      <c r="FH119" s="233"/>
      <c r="FI119" s="233"/>
      <c r="FJ119" s="233"/>
      <c r="FK119" s="233"/>
      <c r="FL119" s="233"/>
      <c r="FM119" s="233"/>
      <c r="FN119" s="233"/>
      <c r="FO119" s="233"/>
      <c r="FP119" s="233"/>
      <c r="FQ119" s="233"/>
      <c r="FR119" s="233"/>
    </row>
    <row r="120" spans="1:209" ht="10.15" customHeight="1">
      <c r="A120"/>
      <c r="B120"/>
      <c r="D120" s="198"/>
      <c r="E120" s="203"/>
      <c r="F120" s="563" t="s">
        <v>251</v>
      </c>
      <c r="G120" s="564"/>
      <c r="H120" s="564"/>
      <c r="I120" s="564"/>
      <c r="J120" s="564"/>
      <c r="K120" s="564"/>
      <c r="L120" s="564"/>
      <c r="M120" s="564"/>
      <c r="N120" s="564"/>
      <c r="O120" s="564"/>
      <c r="P120" s="564"/>
      <c r="Q120" s="564"/>
      <c r="R120" s="564"/>
      <c r="S120" s="564"/>
      <c r="T120" s="564"/>
      <c r="U120" s="564"/>
      <c r="V120" s="564"/>
      <c r="W120" s="564"/>
      <c r="X120" s="564"/>
      <c r="Y120" s="564"/>
      <c r="Z120" s="564"/>
      <c r="AA120" s="564"/>
      <c r="AB120" s="564"/>
      <c r="AC120" s="564"/>
      <c r="AD120" s="258"/>
      <c r="AE120" s="258"/>
      <c r="AF120" s="258"/>
      <c r="AG120" s="258"/>
      <c r="AH120" s="258"/>
      <c r="AI120" s="258"/>
      <c r="AJ120" s="258"/>
      <c r="AK120" s="258"/>
      <c r="AL120" s="258"/>
      <c r="AM120" s="258"/>
      <c r="AN120" s="258"/>
      <c r="AO120" s="258"/>
      <c r="AP120" s="258"/>
      <c r="AQ120" s="258"/>
      <c r="AR120" s="258"/>
      <c r="AS120" s="259"/>
      <c r="AT120" s="260"/>
      <c r="AU120" s="258"/>
      <c r="AV120" s="258"/>
      <c r="AW120" s="258"/>
      <c r="AX120" s="258"/>
      <c r="AY120" s="258"/>
      <c r="AZ120" s="258"/>
      <c r="BA120" s="258"/>
      <c r="BB120" s="258"/>
      <c r="BC120" s="258"/>
      <c r="BD120" s="258"/>
      <c r="BE120" s="258"/>
      <c r="BF120" s="258"/>
      <c r="BG120" s="258"/>
      <c r="BH120" s="258"/>
      <c r="BI120" s="258"/>
      <c r="BJ120" s="258"/>
      <c r="BK120" s="258"/>
      <c r="BL120" s="258"/>
      <c r="BM120" s="258"/>
      <c r="BN120" s="258"/>
      <c r="BO120" s="258"/>
      <c r="BP120" s="258"/>
      <c r="BQ120" s="258"/>
      <c r="BR120" s="259"/>
      <c r="BS120" s="259"/>
      <c r="BT120" s="259"/>
      <c r="BU120" s="259"/>
      <c r="BV120" s="260"/>
      <c r="BW120" s="260"/>
      <c r="BX120" s="260"/>
      <c r="BY120" s="260"/>
      <c r="BZ120" s="260"/>
      <c r="CA120" s="261"/>
      <c r="CB120" s="205"/>
      <c r="CC120" s="200"/>
      <c r="CT120" s="233"/>
      <c r="CU120" s="233"/>
      <c r="CV120" s="233"/>
      <c r="CW120" s="233"/>
      <c r="CX120" s="233"/>
      <c r="CY120" s="233"/>
      <c r="CZ120" s="233"/>
      <c r="DA120" s="233"/>
      <c r="DB120" s="233"/>
      <c r="DC120" s="233"/>
      <c r="DD120" s="233"/>
      <c r="DE120" s="233"/>
      <c r="DF120" s="233"/>
      <c r="DG120" s="233"/>
      <c r="DH120" s="233"/>
      <c r="DI120" s="233"/>
      <c r="DJ120" s="233"/>
      <c r="DK120" s="233"/>
      <c r="DL120" s="233"/>
      <c r="DM120" s="233"/>
      <c r="DN120" s="233"/>
      <c r="DO120" s="233"/>
      <c r="DP120" s="233"/>
      <c r="DQ120" s="233"/>
      <c r="DR120" s="233"/>
      <c r="DS120" s="233"/>
      <c r="DT120" s="233"/>
      <c r="DU120" s="233"/>
      <c r="DV120" s="233"/>
      <c r="DW120" s="233"/>
      <c r="DX120" s="233"/>
      <c r="DY120" s="233"/>
      <c r="DZ120" s="233"/>
      <c r="EA120" s="233"/>
      <c r="EB120" s="233"/>
      <c r="EC120" s="233"/>
      <c r="ED120" s="233"/>
      <c r="EE120" s="233"/>
      <c r="EF120" s="233"/>
      <c r="EG120" s="233"/>
      <c r="EH120" s="233"/>
      <c r="EI120" s="233"/>
      <c r="EJ120" s="233"/>
      <c r="EK120" s="233"/>
      <c r="EL120" s="233"/>
      <c r="EM120" s="233"/>
      <c r="EN120" s="233"/>
      <c r="EO120" s="233"/>
      <c r="EP120" s="233"/>
      <c r="EQ120" s="233"/>
      <c r="ER120" s="233"/>
      <c r="ES120" s="233"/>
      <c r="ET120" s="233"/>
      <c r="EU120" s="233"/>
      <c r="EV120" s="233"/>
      <c r="EW120" s="233"/>
      <c r="EX120" s="233"/>
      <c r="EY120" s="233"/>
      <c r="EZ120" s="233"/>
      <c r="FA120" s="233"/>
      <c r="FB120" s="233"/>
      <c r="FC120" s="233"/>
      <c r="FD120" s="233"/>
      <c r="FE120" s="233"/>
      <c r="FF120" s="233"/>
      <c r="FG120" s="233"/>
      <c r="FH120" s="233"/>
      <c r="FI120" s="233"/>
      <c r="FJ120" s="233"/>
      <c r="FK120" s="233"/>
      <c r="FL120" s="233"/>
      <c r="FM120" s="233"/>
      <c r="FN120" s="233"/>
      <c r="FO120" s="233"/>
      <c r="FP120" s="233"/>
      <c r="FQ120" s="233"/>
      <c r="FR120" s="233"/>
    </row>
    <row r="121" spans="1:209" ht="10.15" customHeight="1">
      <c r="A121"/>
      <c r="B121"/>
      <c r="D121" s="198"/>
      <c r="E121" s="203"/>
      <c r="F121" s="565"/>
      <c r="G121" s="566"/>
      <c r="H121" s="566"/>
      <c r="I121" s="566"/>
      <c r="J121" s="566"/>
      <c r="K121" s="566"/>
      <c r="L121" s="566"/>
      <c r="M121" s="566"/>
      <c r="N121" s="566"/>
      <c r="O121" s="566"/>
      <c r="P121" s="566"/>
      <c r="Q121" s="566"/>
      <c r="R121" s="566"/>
      <c r="S121" s="566"/>
      <c r="T121" s="566"/>
      <c r="U121" s="566"/>
      <c r="V121" s="566"/>
      <c r="W121" s="566"/>
      <c r="X121" s="566"/>
      <c r="Y121" s="566"/>
      <c r="Z121" s="566"/>
      <c r="AA121" s="566"/>
      <c r="AB121" s="566"/>
      <c r="AC121" s="566"/>
      <c r="AD121" s="262"/>
      <c r="AE121" s="262"/>
      <c r="AF121" s="262"/>
      <c r="AG121" s="262"/>
      <c r="AH121" s="262"/>
      <c r="AI121" s="262"/>
      <c r="AJ121" s="262"/>
      <c r="AK121" s="262"/>
      <c r="AL121" s="262"/>
      <c r="AM121" s="262"/>
      <c r="AN121" s="262"/>
      <c r="AO121" s="262"/>
      <c r="AP121" s="262"/>
      <c r="AQ121" s="262"/>
      <c r="AR121" s="262"/>
      <c r="AS121" s="263"/>
      <c r="AT121" s="264"/>
      <c r="AU121" s="262"/>
      <c r="AV121" s="262"/>
      <c r="AW121" s="262"/>
      <c r="AX121" s="262"/>
      <c r="AY121" s="262"/>
      <c r="AZ121" s="262"/>
      <c r="BA121" s="262"/>
      <c r="BB121" s="262"/>
      <c r="BC121" s="262"/>
      <c r="BD121" s="262"/>
      <c r="BE121" s="262"/>
      <c r="BF121" s="262"/>
      <c r="BG121" s="262"/>
      <c r="BH121" s="262"/>
      <c r="BI121" s="262"/>
      <c r="BJ121" s="262"/>
      <c r="BK121" s="262"/>
      <c r="BL121" s="262"/>
      <c r="BM121" s="262"/>
      <c r="BN121" s="262"/>
      <c r="BO121" s="262"/>
      <c r="BP121" s="262"/>
      <c r="BQ121" s="262"/>
      <c r="BR121" s="263"/>
      <c r="BS121" s="263"/>
      <c r="BT121" s="263"/>
      <c r="BU121" s="263"/>
      <c r="BV121" s="264"/>
      <c r="BW121" s="264"/>
      <c r="BX121" s="264"/>
      <c r="BY121" s="264"/>
      <c r="BZ121" s="264"/>
      <c r="CA121" s="265"/>
      <c r="CB121" s="205"/>
      <c r="CC121" s="200"/>
      <c r="CT121" s="233"/>
      <c r="CU121" s="233"/>
      <c r="CV121" s="233"/>
      <c r="CW121" s="233"/>
      <c r="CX121" s="233"/>
      <c r="CY121" s="233"/>
      <c r="CZ121" s="233"/>
      <c r="DA121" s="233"/>
      <c r="DB121" s="233"/>
      <c r="DC121" s="233"/>
      <c r="DD121" s="233"/>
      <c r="DE121" s="233"/>
      <c r="DF121" s="233"/>
      <c r="DG121" s="233"/>
      <c r="DH121" s="233"/>
      <c r="DI121" s="233"/>
      <c r="DJ121" s="233"/>
      <c r="DK121" s="233"/>
      <c r="DL121" s="233"/>
      <c r="DM121" s="233"/>
      <c r="DN121" s="233"/>
      <c r="DO121" s="233"/>
      <c r="DP121" s="233"/>
      <c r="DQ121" s="233"/>
      <c r="DR121" s="233"/>
      <c r="DS121" s="233"/>
      <c r="DT121" s="233"/>
      <c r="DU121" s="233"/>
      <c r="DV121" s="233"/>
      <c r="DW121" s="233"/>
      <c r="DX121" s="233"/>
      <c r="DY121" s="233"/>
      <c r="DZ121" s="233"/>
      <c r="EA121" s="233"/>
      <c r="EB121" s="233"/>
      <c r="EC121" s="233"/>
      <c r="ED121" s="233"/>
      <c r="EE121" s="233"/>
      <c r="EF121" s="233"/>
      <c r="EG121" s="233"/>
      <c r="EH121" s="233"/>
      <c r="EI121" s="233"/>
      <c r="EJ121" s="233"/>
      <c r="EK121" s="233"/>
      <c r="EL121" s="233"/>
      <c r="EM121" s="233"/>
      <c r="EN121" s="233"/>
      <c r="EO121" s="233"/>
      <c r="EP121" s="233"/>
      <c r="EQ121" s="233"/>
      <c r="ER121" s="233"/>
      <c r="ES121" s="233"/>
      <c r="ET121" s="233"/>
      <c r="EU121" s="233"/>
      <c r="EV121" s="233"/>
      <c r="EW121" s="233"/>
      <c r="EX121" s="233"/>
      <c r="EY121" s="233"/>
      <c r="EZ121" s="233"/>
      <c r="FA121" s="233"/>
      <c r="FB121" s="233"/>
      <c r="FC121" s="233"/>
      <c r="FD121" s="233"/>
      <c r="FE121" s="233"/>
      <c r="FF121" s="233"/>
      <c r="FG121" s="233"/>
      <c r="FH121" s="233"/>
      <c r="FI121" s="233"/>
      <c r="FJ121" s="233"/>
      <c r="FK121" s="233"/>
      <c r="FL121" s="233"/>
      <c r="FM121" s="233"/>
      <c r="FN121" s="233"/>
      <c r="FO121" s="233"/>
      <c r="FP121" s="233"/>
      <c r="FQ121" s="233"/>
      <c r="FR121" s="233"/>
    </row>
    <row r="122" spans="1:209" ht="10.15" customHeight="1">
      <c r="D122" s="198"/>
      <c r="E122" s="203"/>
      <c r="F122" s="209"/>
      <c r="G122" s="209"/>
      <c r="H122" s="209"/>
      <c r="I122" s="209"/>
      <c r="J122" s="209"/>
      <c r="K122" s="209"/>
      <c r="L122" s="209"/>
      <c r="M122" s="209"/>
      <c r="N122" s="209"/>
      <c r="O122" s="209"/>
      <c r="P122" s="209"/>
      <c r="Q122" s="209"/>
      <c r="R122" s="209"/>
      <c r="S122" s="209"/>
      <c r="T122" s="209"/>
      <c r="U122" s="209"/>
      <c r="V122" s="209"/>
      <c r="W122" s="209"/>
      <c r="X122" s="209"/>
      <c r="Y122" s="209"/>
      <c r="Z122" s="209"/>
      <c r="AA122" s="209"/>
      <c r="AB122" s="209"/>
      <c r="AC122" s="209"/>
      <c r="AD122" s="256"/>
      <c r="AE122" s="256"/>
      <c r="AF122" s="256"/>
      <c r="AG122" s="256"/>
      <c r="AH122" s="256"/>
      <c r="AI122" s="256"/>
      <c r="AJ122" s="256"/>
      <c r="AK122" s="256"/>
      <c r="AL122" s="256"/>
      <c r="AM122" s="256"/>
      <c r="AN122" s="256"/>
      <c r="AO122" s="256"/>
      <c r="AP122" s="256"/>
      <c r="AQ122" s="256"/>
      <c r="AR122" s="256"/>
      <c r="AS122" s="203"/>
      <c r="AT122" s="209"/>
      <c r="AU122" s="256"/>
      <c r="AV122" s="256"/>
      <c r="AW122" s="256"/>
      <c r="AX122" s="256"/>
      <c r="AY122" s="256"/>
      <c r="AZ122" s="256"/>
      <c r="BA122" s="256"/>
      <c r="BB122" s="256"/>
      <c r="BC122" s="256"/>
      <c r="BD122" s="256"/>
      <c r="BE122" s="256"/>
      <c r="BF122" s="256"/>
      <c r="BG122" s="256"/>
      <c r="BH122" s="256"/>
      <c r="BI122" s="256"/>
      <c r="BJ122" s="256"/>
      <c r="BK122" s="256"/>
      <c r="BL122" s="256"/>
      <c r="BM122" s="256"/>
      <c r="BN122" s="256"/>
      <c r="BO122" s="256"/>
      <c r="BP122" s="256"/>
      <c r="BQ122" s="256"/>
      <c r="BR122" s="203"/>
      <c r="BS122" s="203"/>
      <c r="BT122" s="204"/>
      <c r="BU122" s="204"/>
      <c r="BV122" s="205"/>
      <c r="BW122" s="205"/>
      <c r="BX122" s="205"/>
      <c r="BY122" s="205"/>
      <c r="BZ122" s="205"/>
      <c r="CA122" s="205"/>
      <c r="CB122" s="205"/>
      <c r="CC122" s="200"/>
      <c r="CT122" s="233"/>
      <c r="CU122" s="233"/>
      <c r="CV122" s="233"/>
      <c r="CW122" s="233"/>
      <c r="CX122" s="233"/>
      <c r="CY122" s="233"/>
      <c r="CZ122" s="233"/>
      <c r="DA122" s="233"/>
      <c r="DB122" s="233"/>
      <c r="DC122" s="233"/>
      <c r="DD122" s="233"/>
      <c r="DE122" s="233"/>
      <c r="DF122" s="233"/>
      <c r="DG122" s="233"/>
      <c r="DH122" s="233"/>
      <c r="DI122" s="233"/>
      <c r="DJ122" s="233"/>
      <c r="DK122" s="233"/>
      <c r="DL122" s="233"/>
      <c r="DM122" s="233"/>
      <c r="DN122" s="233"/>
      <c r="DO122" s="233"/>
      <c r="DP122" s="233"/>
      <c r="DQ122" s="233"/>
      <c r="DR122" s="233"/>
      <c r="DS122" s="233"/>
      <c r="DT122" s="233"/>
      <c r="DU122" s="233"/>
      <c r="DV122" s="233"/>
      <c r="DW122" s="233"/>
      <c r="DX122" s="233"/>
      <c r="DY122" s="233"/>
      <c r="DZ122" s="233"/>
      <c r="EA122" s="233"/>
      <c r="EB122" s="233"/>
      <c r="EC122" s="233"/>
      <c r="ED122" s="233"/>
      <c r="EE122" s="233"/>
      <c r="EF122" s="233"/>
      <c r="EG122" s="233"/>
      <c r="EH122" s="233"/>
      <c r="EI122" s="233"/>
      <c r="EJ122" s="233"/>
      <c r="EK122" s="233"/>
      <c r="EL122" s="233"/>
      <c r="EM122" s="233"/>
      <c r="EN122" s="233"/>
      <c r="EO122" s="233"/>
      <c r="EP122" s="233"/>
      <c r="EQ122" s="233"/>
      <c r="ER122" s="233"/>
      <c r="ES122" s="233"/>
      <c r="ET122" s="233"/>
      <c r="EU122" s="233"/>
      <c r="EV122" s="233"/>
      <c r="EW122" s="233"/>
      <c r="EX122" s="233"/>
      <c r="EY122" s="233"/>
      <c r="EZ122" s="233"/>
      <c r="FA122" s="233"/>
      <c r="FB122" s="233"/>
      <c r="FC122" s="233"/>
      <c r="FD122" s="233"/>
      <c r="FE122" s="233"/>
      <c r="FF122" s="233"/>
      <c r="FG122" s="233"/>
      <c r="FH122" s="233"/>
      <c r="FI122" s="233"/>
      <c r="FJ122" s="233"/>
      <c r="FK122" s="233"/>
      <c r="FL122" s="233"/>
      <c r="FM122" s="233"/>
      <c r="FN122" s="233"/>
      <c r="FO122" s="233"/>
      <c r="FP122" s="233"/>
      <c r="FQ122" s="233"/>
      <c r="FR122" s="233"/>
    </row>
    <row r="123" spans="1:209" ht="10.15" customHeight="1">
      <c r="D123" s="266"/>
      <c r="E123" s="266"/>
      <c r="F123" s="266"/>
      <c r="G123" s="266"/>
      <c r="H123" s="266"/>
      <c r="I123" s="266"/>
      <c r="J123" s="266"/>
      <c r="K123" s="266"/>
      <c r="L123" s="266"/>
      <c r="M123" s="266"/>
      <c r="N123" s="266"/>
      <c r="O123" s="266"/>
      <c r="P123" s="266"/>
      <c r="Q123" s="266"/>
      <c r="R123" s="266"/>
      <c r="S123" s="266"/>
      <c r="T123" s="266"/>
      <c r="U123" s="266"/>
      <c r="V123" s="266"/>
      <c r="W123" s="266"/>
      <c r="X123" s="266"/>
      <c r="Y123" s="266"/>
      <c r="Z123" s="266"/>
      <c r="AA123" s="266"/>
      <c r="AB123" s="266"/>
      <c r="AC123" s="266"/>
      <c r="AD123" s="266"/>
      <c r="AE123" s="266"/>
      <c r="AF123" s="266"/>
      <c r="AG123" s="266"/>
      <c r="AH123" s="266"/>
      <c r="AI123" s="266"/>
      <c r="AJ123" s="266"/>
      <c r="AK123" s="266"/>
      <c r="AL123" s="266"/>
      <c r="AM123" s="266"/>
      <c r="AN123" s="266"/>
      <c r="AO123" s="266"/>
      <c r="AP123" s="266"/>
      <c r="AQ123" s="266"/>
      <c r="AR123" s="266"/>
      <c r="AS123" s="266"/>
      <c r="AT123" s="266"/>
      <c r="AU123" s="266"/>
      <c r="AV123" s="266"/>
      <c r="AW123" s="266"/>
      <c r="AX123" s="266"/>
      <c r="AY123" s="266"/>
      <c r="AZ123" s="266"/>
      <c r="BA123" s="266"/>
      <c r="BB123" s="266"/>
      <c r="BC123" s="266"/>
      <c r="BD123" s="266"/>
      <c r="BE123" s="266"/>
      <c r="BF123" s="266"/>
      <c r="BG123" s="266"/>
      <c r="BH123" s="266"/>
      <c r="BI123" s="266"/>
      <c r="BJ123" s="266"/>
      <c r="BK123" s="266"/>
      <c r="BL123" s="266"/>
      <c r="BM123" s="266"/>
      <c r="BN123" s="266"/>
      <c r="BO123" s="266"/>
      <c r="BP123" s="266"/>
      <c r="BQ123" s="266"/>
      <c r="BR123" s="266"/>
      <c r="BS123" s="266"/>
      <c r="BT123" s="266"/>
      <c r="BU123" s="266"/>
      <c r="BV123" s="267"/>
      <c r="BW123" s="267"/>
      <c r="BX123" s="267"/>
      <c r="BY123" s="267"/>
      <c r="BZ123" s="267"/>
      <c r="CA123" s="267"/>
      <c r="CB123" s="267"/>
      <c r="CC123" s="267"/>
      <c r="CT123" s="233"/>
      <c r="CU123" s="233"/>
      <c r="CV123" s="233"/>
      <c r="CW123" s="233"/>
      <c r="CX123" s="233"/>
      <c r="CY123" s="233"/>
      <c r="CZ123" s="233"/>
      <c r="DA123" s="233"/>
      <c r="DB123" s="233"/>
      <c r="DC123" s="233"/>
      <c r="DD123" s="233"/>
      <c r="DE123" s="233"/>
      <c r="DF123" s="233"/>
      <c r="DG123" s="233"/>
      <c r="DH123" s="233"/>
      <c r="DI123" s="233"/>
      <c r="DJ123" s="233"/>
      <c r="DK123" s="233"/>
      <c r="DL123" s="233"/>
      <c r="DM123" s="233"/>
      <c r="DN123" s="233"/>
      <c r="DO123" s="233"/>
      <c r="DP123" s="233"/>
      <c r="DQ123" s="233"/>
      <c r="DR123" s="233"/>
      <c r="DS123" s="233"/>
      <c r="DT123" s="233"/>
      <c r="DU123" s="233"/>
      <c r="DV123" s="233"/>
      <c r="DW123" s="233"/>
      <c r="DX123" s="233"/>
      <c r="DY123" s="233"/>
      <c r="DZ123" s="233"/>
      <c r="EA123" s="233"/>
      <c r="EB123" s="233"/>
      <c r="EC123" s="233"/>
      <c r="ED123" s="233"/>
      <c r="EE123" s="233"/>
      <c r="EF123" s="233"/>
      <c r="EG123" s="233"/>
      <c r="EH123" s="233"/>
      <c r="EI123" s="233"/>
      <c r="EJ123" s="233"/>
      <c r="EK123" s="233"/>
      <c r="EL123" s="233"/>
      <c r="EM123" s="233"/>
      <c r="EN123" s="233"/>
      <c r="EO123" s="233"/>
      <c r="EP123" s="233"/>
      <c r="EQ123" s="233"/>
      <c r="ER123" s="233"/>
      <c r="ES123" s="233"/>
      <c r="ET123" s="233"/>
      <c r="EU123" s="233"/>
      <c r="EV123" s="233"/>
      <c r="EW123" s="233"/>
      <c r="EX123" s="233"/>
      <c r="EY123" s="233"/>
      <c r="EZ123" s="233"/>
      <c r="FA123" s="233"/>
      <c r="FB123" s="233"/>
      <c r="FC123" s="233"/>
      <c r="FD123" s="233"/>
      <c r="FE123" s="233"/>
      <c r="FF123" s="233"/>
      <c r="FG123" s="233"/>
      <c r="FH123" s="233"/>
      <c r="FI123" s="233"/>
      <c r="FJ123" s="233"/>
      <c r="FK123" s="233"/>
      <c r="FL123" s="233"/>
      <c r="FM123" s="233"/>
      <c r="FN123" s="233"/>
      <c r="FO123" s="233"/>
      <c r="FP123" s="233"/>
      <c r="FQ123" s="233"/>
      <c r="FR123" s="233"/>
    </row>
    <row r="124" spans="1:209" ht="10.15" customHeight="1">
      <c r="D124" s="567" t="s">
        <v>141</v>
      </c>
      <c r="E124" s="567"/>
      <c r="F124" s="567"/>
      <c r="G124" s="567"/>
      <c r="H124" s="567"/>
      <c r="I124" s="567"/>
      <c r="J124" s="567"/>
      <c r="K124" s="567"/>
      <c r="L124" s="567"/>
      <c r="M124" s="567"/>
      <c r="N124" s="567"/>
      <c r="O124" s="567"/>
      <c r="P124" s="567"/>
      <c r="Q124" s="567"/>
      <c r="R124" s="567"/>
      <c r="S124" s="567"/>
      <c r="T124" s="567"/>
      <c r="U124" s="567"/>
      <c r="V124" s="567"/>
      <c r="W124" s="567"/>
      <c r="X124" s="567"/>
      <c r="Y124" s="567"/>
      <c r="Z124" s="567"/>
      <c r="AA124" s="567"/>
      <c r="AB124" s="567"/>
      <c r="AC124" s="567"/>
      <c r="AD124" s="568">
        <f>Data!B51</f>
        <v>30</v>
      </c>
      <c r="AE124" s="568"/>
      <c r="AF124" s="568"/>
      <c r="AG124" s="568"/>
      <c r="AH124" s="568"/>
      <c r="AI124" s="569" t="s">
        <v>100</v>
      </c>
      <c r="AJ124" s="569"/>
      <c r="AK124" s="569"/>
      <c r="AL124" s="569"/>
      <c r="AM124" s="569"/>
      <c r="AN124" s="569"/>
      <c r="AO124" s="569"/>
      <c r="AP124" s="569"/>
      <c r="AQ124" s="569"/>
      <c r="AR124" s="569"/>
      <c r="AS124" s="569"/>
      <c r="AT124" s="569"/>
      <c r="AU124" s="268"/>
      <c r="AV124" s="268"/>
      <c r="AW124" s="268"/>
      <c r="AX124" s="266"/>
      <c r="AY124" s="266"/>
      <c r="AZ124" s="266"/>
      <c r="BA124" s="266"/>
      <c r="BB124" s="266"/>
      <c r="BC124" s="266"/>
      <c r="BD124" s="266"/>
      <c r="BE124" s="266"/>
      <c r="BF124" s="266"/>
      <c r="BG124" s="266"/>
      <c r="BH124" s="266"/>
      <c r="BI124" s="266"/>
      <c r="BJ124" s="266"/>
      <c r="BK124" s="266"/>
      <c r="BL124" s="266"/>
      <c r="BM124" s="266"/>
      <c r="BN124" s="266"/>
      <c r="BO124" s="266"/>
      <c r="BP124" s="266"/>
      <c r="BQ124" s="266"/>
      <c r="BR124" s="398"/>
      <c r="BS124" s="266"/>
      <c r="BT124" s="266"/>
      <c r="BU124" s="266"/>
      <c r="BV124" s="267"/>
      <c r="BW124" s="267"/>
      <c r="BX124" s="267"/>
      <c r="BY124" s="267"/>
      <c r="BZ124" s="267"/>
      <c r="CA124" s="267"/>
      <c r="CB124" s="267"/>
      <c r="CC124" s="267"/>
      <c r="CT124" s="233"/>
      <c r="CU124" s="233"/>
      <c r="CV124" s="233"/>
      <c r="CW124" s="233"/>
      <c r="CX124" s="233"/>
      <c r="CY124" s="233"/>
      <c r="CZ124" s="233"/>
      <c r="DA124" s="233"/>
      <c r="DB124" s="233"/>
      <c r="DC124" s="233"/>
      <c r="DD124" s="233"/>
      <c r="DE124" s="233"/>
      <c r="DF124" s="233"/>
      <c r="DG124" s="233"/>
      <c r="DH124" s="233"/>
      <c r="DI124" s="233"/>
      <c r="DJ124" s="233"/>
      <c r="DK124" s="233"/>
      <c r="DL124" s="233"/>
      <c r="DM124" s="233"/>
      <c r="DN124" s="233"/>
      <c r="DO124" s="233"/>
      <c r="DP124" s="233"/>
      <c r="DQ124" s="233"/>
      <c r="DR124" s="233"/>
      <c r="DS124" s="233"/>
      <c r="DT124" s="233"/>
      <c r="DU124" s="233"/>
      <c r="DV124" s="233"/>
      <c r="DW124" s="233"/>
      <c r="DX124" s="233"/>
      <c r="DY124" s="233"/>
      <c r="DZ124" s="233"/>
      <c r="EA124" s="233"/>
      <c r="EB124" s="233"/>
      <c r="EC124" s="233"/>
      <c r="ED124" s="233"/>
      <c r="EE124" s="233"/>
      <c r="EF124" s="233"/>
      <c r="EG124" s="233"/>
      <c r="EH124" s="233"/>
      <c r="EI124" s="233"/>
      <c r="EJ124" s="233"/>
      <c r="EK124" s="233"/>
      <c r="EL124" s="233"/>
      <c r="EM124" s="233"/>
      <c r="EN124" s="233"/>
      <c r="EO124" s="233"/>
      <c r="EP124" s="233"/>
      <c r="EQ124" s="233"/>
      <c r="ER124" s="233"/>
      <c r="ES124" s="233"/>
      <c r="ET124" s="233"/>
      <c r="EU124" s="233"/>
      <c r="EV124" s="233"/>
      <c r="EW124" s="233"/>
      <c r="EX124" s="233"/>
      <c r="EY124" s="233"/>
      <c r="EZ124" s="233"/>
      <c r="FA124" s="233"/>
      <c r="FB124" s="233"/>
      <c r="FC124" s="233"/>
      <c r="FD124" s="233"/>
      <c r="FE124" s="233"/>
      <c r="FF124" s="233"/>
      <c r="FG124" s="233"/>
      <c r="FH124" s="233"/>
      <c r="FI124" s="233"/>
      <c r="FJ124" s="233"/>
      <c r="FK124" s="233"/>
      <c r="FL124" s="233"/>
      <c r="FM124" s="233"/>
      <c r="FN124" s="233"/>
      <c r="FO124" s="233"/>
      <c r="FP124" s="233"/>
      <c r="FQ124" s="233"/>
      <c r="FR124" s="233"/>
    </row>
    <row r="125" spans="1:209" ht="10.15" customHeight="1">
      <c r="D125" s="567"/>
      <c r="E125" s="567"/>
      <c r="F125" s="567"/>
      <c r="G125" s="567"/>
      <c r="H125" s="567"/>
      <c r="I125" s="567"/>
      <c r="J125" s="567"/>
      <c r="K125" s="567"/>
      <c r="L125" s="567"/>
      <c r="M125" s="567"/>
      <c r="N125" s="567"/>
      <c r="O125" s="567"/>
      <c r="P125" s="567"/>
      <c r="Q125" s="567"/>
      <c r="R125" s="567"/>
      <c r="S125" s="567"/>
      <c r="T125" s="567"/>
      <c r="U125" s="567"/>
      <c r="V125" s="567"/>
      <c r="W125" s="567"/>
      <c r="X125" s="567"/>
      <c r="Y125" s="567"/>
      <c r="Z125" s="567"/>
      <c r="AA125" s="567"/>
      <c r="AB125" s="567"/>
      <c r="AC125" s="567"/>
      <c r="AD125" s="568"/>
      <c r="AE125" s="568"/>
      <c r="AF125" s="568"/>
      <c r="AG125" s="568"/>
      <c r="AH125" s="568"/>
      <c r="AI125" s="569"/>
      <c r="AJ125" s="569"/>
      <c r="AK125" s="569"/>
      <c r="AL125" s="569"/>
      <c r="AM125" s="569"/>
      <c r="AN125" s="569"/>
      <c r="AO125" s="569"/>
      <c r="AP125" s="569"/>
      <c r="AQ125" s="569"/>
      <c r="AR125" s="569"/>
      <c r="AS125" s="569"/>
      <c r="AT125" s="569"/>
      <c r="AU125" s="268"/>
      <c r="AV125" s="268"/>
      <c r="AW125" s="268"/>
      <c r="AX125" s="266"/>
      <c r="AY125" s="266"/>
      <c r="AZ125" s="266"/>
      <c r="BA125" s="266"/>
      <c r="BB125" s="266"/>
      <c r="BC125" s="266"/>
      <c r="BD125" s="266"/>
      <c r="BE125" s="266"/>
      <c r="BF125" s="266"/>
      <c r="BG125" s="266"/>
      <c r="BH125" s="266"/>
      <c r="BI125" s="266"/>
      <c r="BJ125" s="266"/>
      <c r="BK125" s="266"/>
      <c r="BL125" s="266"/>
      <c r="BM125" s="266"/>
      <c r="BN125" s="266"/>
      <c r="BO125" s="266"/>
      <c r="BP125" s="266"/>
      <c r="BQ125" s="266"/>
      <c r="BR125" s="266"/>
      <c r="BS125" s="266"/>
      <c r="BT125" s="266"/>
      <c r="BU125" s="266"/>
      <c r="BV125" s="267"/>
      <c r="BW125" s="267"/>
      <c r="BX125" s="267"/>
      <c r="BY125" s="267"/>
      <c r="BZ125" s="267"/>
      <c r="CA125" s="267"/>
      <c r="CB125" s="267"/>
      <c r="CC125" s="267"/>
      <c r="CT125" s="233"/>
      <c r="CU125" s="233"/>
      <c r="CV125" s="233"/>
      <c r="CW125" s="233"/>
      <c r="CX125" s="233"/>
      <c r="CY125" s="233"/>
      <c r="CZ125" s="233"/>
      <c r="DA125" s="233"/>
      <c r="DB125" s="233"/>
      <c r="DC125" s="233"/>
      <c r="DD125" s="233"/>
      <c r="DE125" s="233"/>
      <c r="DF125" s="233"/>
      <c r="DG125" s="233"/>
      <c r="DH125" s="233"/>
      <c r="DI125" s="233"/>
      <c r="DJ125" s="233"/>
      <c r="DK125" s="233"/>
      <c r="DL125" s="233"/>
      <c r="DM125" s="233"/>
      <c r="DN125" s="233"/>
      <c r="DO125" s="233"/>
      <c r="DP125" s="233"/>
      <c r="DQ125" s="233"/>
      <c r="DR125" s="233"/>
      <c r="DS125" s="233"/>
      <c r="DT125" s="233"/>
      <c r="DU125" s="233"/>
      <c r="DV125" s="233"/>
      <c r="DW125" s="233"/>
      <c r="DX125" s="233"/>
      <c r="DY125" s="233"/>
      <c r="DZ125" s="233"/>
      <c r="EA125" s="233"/>
      <c r="EB125" s="233"/>
      <c r="EC125" s="233"/>
      <c r="ED125" s="233"/>
      <c r="EE125" s="233"/>
      <c r="EF125" s="233"/>
      <c r="EG125" s="233"/>
      <c r="EH125" s="233"/>
      <c r="EI125" s="233"/>
      <c r="EJ125" s="233"/>
      <c r="EK125" s="233"/>
      <c r="EL125" s="233"/>
      <c r="EM125" s="233"/>
      <c r="EN125" s="233"/>
      <c r="EO125" s="233"/>
      <c r="EP125" s="233"/>
      <c r="EQ125" s="233"/>
      <c r="ER125" s="233"/>
      <c r="ES125" s="233"/>
      <c r="ET125" s="233"/>
      <c r="EU125" s="233"/>
      <c r="EV125" s="233"/>
      <c r="EW125" s="233"/>
      <c r="EX125" s="233"/>
      <c r="EY125" s="233"/>
      <c r="EZ125" s="233"/>
      <c r="FA125" s="233"/>
      <c r="FB125" s="233"/>
      <c r="FC125" s="233"/>
      <c r="FD125" s="233"/>
      <c r="FE125" s="233"/>
      <c r="FF125" s="233"/>
      <c r="FG125" s="233"/>
      <c r="FH125" s="233"/>
      <c r="FI125" s="233"/>
      <c r="FJ125" s="233"/>
      <c r="FK125" s="233"/>
      <c r="FL125" s="233"/>
      <c r="FM125" s="233"/>
      <c r="FN125" s="233"/>
      <c r="FO125" s="233"/>
      <c r="FP125" s="233"/>
      <c r="FQ125" s="233"/>
      <c r="FR125" s="233"/>
    </row>
    <row r="126" spans="1:209" ht="10.15" customHeight="1">
      <c r="D126" s="572" t="s">
        <v>99</v>
      </c>
      <c r="E126" s="572"/>
      <c r="F126" s="572"/>
      <c r="G126" s="572"/>
      <c r="H126" s="572"/>
      <c r="I126" s="572"/>
      <c r="J126" s="572"/>
      <c r="K126" s="572"/>
      <c r="L126" s="572"/>
      <c r="M126" s="572"/>
      <c r="N126" s="572"/>
      <c r="O126" s="572"/>
      <c r="P126" s="572"/>
      <c r="Q126" s="572"/>
      <c r="R126" s="572"/>
      <c r="S126" s="572"/>
      <c r="T126" s="572"/>
      <c r="U126" s="572"/>
      <c r="V126" s="572"/>
      <c r="W126" s="572"/>
      <c r="X126" s="572"/>
      <c r="Y126" s="572"/>
      <c r="Z126" s="572"/>
      <c r="AA126" s="572"/>
      <c r="AB126" s="572"/>
      <c r="AC126" s="572"/>
      <c r="AD126" s="572"/>
      <c r="AE126" s="572"/>
      <c r="AF126" s="572"/>
      <c r="AG126" s="572"/>
      <c r="AH126" s="572"/>
      <c r="AI126" s="572"/>
      <c r="AJ126" s="572"/>
      <c r="AK126" s="572"/>
      <c r="AL126" s="572"/>
      <c r="AM126" s="572"/>
      <c r="AN126" s="572"/>
      <c r="AO126" s="572"/>
      <c r="AP126" s="572"/>
      <c r="AQ126" s="572"/>
      <c r="AR126" s="572"/>
      <c r="AS126" s="572"/>
      <c r="AT126" s="572"/>
      <c r="AU126" s="572"/>
      <c r="AV126" s="572"/>
      <c r="AW126" s="572"/>
      <c r="AX126" s="572"/>
      <c r="AY126" s="572"/>
      <c r="AZ126" s="572"/>
      <c r="BA126" s="572"/>
      <c r="BB126" s="572"/>
      <c r="BC126" s="572"/>
      <c r="BD126" s="572"/>
      <c r="BE126" s="572"/>
      <c r="BF126" s="572"/>
      <c r="BG126" s="572"/>
      <c r="BH126" s="569" t="s">
        <v>100</v>
      </c>
      <c r="BI126" s="569"/>
      <c r="BJ126" s="569"/>
      <c r="BK126" s="569"/>
      <c r="BL126" s="569"/>
      <c r="BM126" s="569"/>
      <c r="BN126" s="569"/>
      <c r="BO126" s="569"/>
      <c r="BP126" s="569"/>
      <c r="BQ126" s="569"/>
      <c r="BR126" s="569"/>
      <c r="BS126" s="569"/>
      <c r="BT126" s="569"/>
      <c r="BU126" s="569"/>
      <c r="BV126" s="569"/>
      <c r="BW126" s="569"/>
      <c r="BX126" s="569"/>
      <c r="BY126" s="569"/>
      <c r="BZ126" s="569"/>
      <c r="CA126" s="569"/>
      <c r="CB126" s="569"/>
      <c r="CC126" s="269"/>
      <c r="CT126" s="233"/>
      <c r="CU126" s="233"/>
      <c r="CV126" s="233"/>
      <c r="CW126" s="233"/>
      <c r="CX126" s="233"/>
      <c r="CY126" s="233"/>
      <c r="CZ126" s="233"/>
      <c r="DA126" s="233"/>
      <c r="DB126" s="233"/>
      <c r="DC126" s="233"/>
      <c r="DD126" s="233"/>
      <c r="DE126" s="233"/>
      <c r="DF126" s="233"/>
      <c r="DG126" s="233"/>
      <c r="DH126" s="233"/>
      <c r="DI126" s="233"/>
      <c r="DJ126" s="233"/>
      <c r="DK126" s="233"/>
      <c r="DL126" s="233"/>
      <c r="DM126" s="233"/>
      <c r="DN126" s="233"/>
      <c r="DO126" s="233"/>
      <c r="DP126" s="233"/>
      <c r="DQ126" s="233"/>
      <c r="DR126" s="233"/>
      <c r="DS126" s="233"/>
      <c r="DT126" s="233"/>
      <c r="DU126" s="233"/>
      <c r="DV126" s="233"/>
      <c r="DW126" s="233"/>
      <c r="DX126" s="233"/>
      <c r="DY126" s="233"/>
      <c r="DZ126" s="233"/>
      <c r="EA126" s="233"/>
      <c r="EB126" s="233"/>
      <c r="EC126" s="233"/>
      <c r="ED126" s="233"/>
      <c r="EE126" s="233"/>
      <c r="EF126" s="233"/>
      <c r="EG126" s="233"/>
      <c r="EH126" s="233"/>
      <c r="EI126" s="233"/>
      <c r="EJ126" s="233"/>
      <c r="EK126" s="233"/>
      <c r="EL126" s="233"/>
      <c r="EM126" s="233"/>
      <c r="EN126" s="233"/>
      <c r="EO126" s="233"/>
      <c r="EP126" s="233"/>
      <c r="EQ126" s="233"/>
      <c r="ER126" s="233"/>
      <c r="ES126" s="233"/>
      <c r="ET126" s="233"/>
      <c r="EU126" s="233"/>
      <c r="EV126" s="233"/>
      <c r="EW126" s="233"/>
      <c r="EX126" s="233"/>
      <c r="EY126" s="233"/>
      <c r="EZ126" s="233"/>
      <c r="FA126" s="233"/>
      <c r="FB126" s="233"/>
      <c r="FC126" s="233"/>
      <c r="FD126" s="233"/>
      <c r="FE126" s="233"/>
      <c r="FF126" s="233"/>
      <c r="FG126" s="233"/>
      <c r="FH126" s="233"/>
      <c r="FI126" s="233"/>
      <c r="FJ126" s="233"/>
      <c r="FK126" s="233"/>
      <c r="FL126" s="233"/>
      <c r="FM126" s="233"/>
      <c r="FN126" s="233"/>
      <c r="FO126" s="233"/>
      <c r="FP126" s="233"/>
      <c r="FQ126" s="233"/>
      <c r="FR126" s="233"/>
    </row>
    <row r="127" spans="1:209" ht="10.15" customHeight="1">
      <c r="D127" s="572"/>
      <c r="E127" s="572"/>
      <c r="F127" s="572"/>
      <c r="G127" s="572"/>
      <c r="H127" s="572"/>
      <c r="I127" s="572"/>
      <c r="J127" s="572"/>
      <c r="K127" s="572"/>
      <c r="L127" s="572"/>
      <c r="M127" s="572"/>
      <c r="N127" s="572"/>
      <c r="O127" s="572"/>
      <c r="P127" s="572"/>
      <c r="Q127" s="572"/>
      <c r="R127" s="572"/>
      <c r="S127" s="572"/>
      <c r="T127" s="572"/>
      <c r="U127" s="572"/>
      <c r="V127" s="572"/>
      <c r="W127" s="572"/>
      <c r="X127" s="572"/>
      <c r="Y127" s="572"/>
      <c r="Z127" s="572"/>
      <c r="AA127" s="572"/>
      <c r="AB127" s="572"/>
      <c r="AC127" s="572"/>
      <c r="AD127" s="572"/>
      <c r="AE127" s="572"/>
      <c r="AF127" s="572"/>
      <c r="AG127" s="572"/>
      <c r="AH127" s="572"/>
      <c r="AI127" s="572"/>
      <c r="AJ127" s="572"/>
      <c r="AK127" s="572"/>
      <c r="AL127" s="572"/>
      <c r="AM127" s="572"/>
      <c r="AN127" s="572"/>
      <c r="AO127" s="572"/>
      <c r="AP127" s="572"/>
      <c r="AQ127" s="572"/>
      <c r="AR127" s="572"/>
      <c r="AS127" s="572"/>
      <c r="AT127" s="572"/>
      <c r="AU127" s="572"/>
      <c r="AV127" s="572"/>
      <c r="AW127" s="572"/>
      <c r="AX127" s="572"/>
      <c r="AY127" s="572"/>
      <c r="AZ127" s="572"/>
      <c r="BA127" s="572"/>
      <c r="BB127" s="572"/>
      <c r="BC127" s="572"/>
      <c r="BD127" s="572"/>
      <c r="BE127" s="572"/>
      <c r="BF127" s="572"/>
      <c r="BG127" s="572"/>
      <c r="BH127" s="569"/>
      <c r="BI127" s="569"/>
      <c r="BJ127" s="569"/>
      <c r="BK127" s="569"/>
      <c r="BL127" s="569"/>
      <c r="BM127" s="569"/>
      <c r="BN127" s="569"/>
      <c r="BO127" s="569"/>
      <c r="BP127" s="569"/>
      <c r="BQ127" s="569"/>
      <c r="BR127" s="569"/>
      <c r="BS127" s="569"/>
      <c r="BT127" s="569"/>
      <c r="BU127" s="569"/>
      <c r="BV127" s="569"/>
      <c r="BW127" s="569"/>
      <c r="BX127" s="569"/>
      <c r="BY127" s="569"/>
      <c r="BZ127" s="569"/>
      <c r="CA127" s="569"/>
      <c r="CB127" s="569"/>
      <c r="CC127" s="269"/>
      <c r="CT127" s="233"/>
      <c r="CU127" s="233"/>
      <c r="CV127" s="233"/>
      <c r="CW127" s="233"/>
      <c r="CX127" s="233"/>
      <c r="CY127" s="233"/>
      <c r="CZ127" s="233"/>
      <c r="DA127" s="233"/>
      <c r="DB127" s="233"/>
      <c r="DC127" s="233"/>
      <c r="DD127" s="233"/>
      <c r="DE127" s="233"/>
      <c r="DF127" s="233"/>
      <c r="DG127" s="233"/>
      <c r="DH127" s="233"/>
      <c r="DI127" s="233"/>
      <c r="DJ127" s="233"/>
      <c r="DK127" s="233"/>
      <c r="DL127" s="233"/>
      <c r="DM127" s="233"/>
      <c r="DN127" s="233"/>
      <c r="DO127" s="233"/>
      <c r="DP127" s="233"/>
      <c r="DQ127" s="233"/>
      <c r="DR127" s="233"/>
      <c r="DS127" s="233"/>
      <c r="DT127" s="233"/>
      <c r="DU127" s="233"/>
      <c r="DV127" s="233"/>
      <c r="DW127" s="233"/>
      <c r="DX127" s="233"/>
      <c r="DY127" s="233"/>
      <c r="DZ127" s="233"/>
      <c r="EA127" s="233"/>
      <c r="EB127" s="233"/>
      <c r="EC127" s="233"/>
      <c r="ED127" s="233"/>
      <c r="EE127" s="233"/>
      <c r="EF127" s="233"/>
      <c r="EG127" s="233"/>
      <c r="EH127" s="233"/>
      <c r="EI127" s="233"/>
      <c r="EJ127" s="233"/>
      <c r="EK127" s="233"/>
      <c r="EL127" s="233"/>
      <c r="EM127" s="233"/>
      <c r="EN127" s="233"/>
      <c r="EO127" s="233"/>
      <c r="EP127" s="233"/>
      <c r="EQ127" s="233"/>
      <c r="ER127" s="233"/>
      <c r="ES127" s="233"/>
      <c r="ET127" s="233"/>
      <c r="EU127" s="233"/>
      <c r="EV127" s="233"/>
      <c r="EW127" s="233"/>
      <c r="EX127" s="233"/>
      <c r="EY127" s="233"/>
      <c r="EZ127" s="233"/>
      <c r="FA127" s="233"/>
      <c r="FB127" s="233"/>
      <c r="FC127" s="233"/>
      <c r="FD127" s="233"/>
      <c r="FE127" s="233"/>
      <c r="FF127" s="233"/>
      <c r="FG127" s="233"/>
      <c r="FH127" s="233"/>
      <c r="FI127" s="233"/>
      <c r="FJ127" s="233"/>
      <c r="FK127" s="233"/>
      <c r="FL127" s="233"/>
      <c r="FM127" s="233"/>
      <c r="FN127" s="233"/>
      <c r="FO127" s="233"/>
      <c r="FP127" s="233"/>
      <c r="FQ127" s="233"/>
      <c r="FR127" s="233"/>
    </row>
    <row r="128" spans="1:209" ht="10.15" customHeight="1">
      <c r="D128" s="615" t="s">
        <v>91</v>
      </c>
      <c r="E128" s="615"/>
      <c r="F128" s="615"/>
      <c r="G128" s="615"/>
      <c r="H128" s="615"/>
      <c r="I128" s="615"/>
      <c r="J128" s="615"/>
      <c r="K128" s="615"/>
      <c r="L128" s="615"/>
      <c r="M128" s="615"/>
      <c r="N128" s="615"/>
      <c r="O128" s="615"/>
      <c r="P128" s="615"/>
      <c r="Q128" s="615"/>
      <c r="R128" s="616">
        <f>Data!B57</f>
        <v>95</v>
      </c>
      <c r="S128" s="616"/>
      <c r="T128" s="616"/>
      <c r="U128" s="616"/>
      <c r="V128" s="616"/>
      <c r="W128" s="616"/>
      <c r="X128" s="270"/>
      <c r="Y128" s="269"/>
      <c r="Z128" s="269"/>
      <c r="AA128" s="269"/>
      <c r="AB128" s="269"/>
      <c r="AC128" s="269"/>
      <c r="AD128" s="269"/>
      <c r="AE128" s="269"/>
      <c r="AF128" s="269"/>
      <c r="AG128" s="271"/>
      <c r="AH128" s="271"/>
      <c r="AI128" s="271"/>
      <c r="AJ128" s="271"/>
      <c r="AK128" s="271"/>
      <c r="AL128" s="271"/>
      <c r="AM128" s="271"/>
      <c r="AN128" s="271"/>
      <c r="AO128" s="271"/>
      <c r="AP128" s="271"/>
      <c r="AQ128" s="271"/>
      <c r="AR128" s="271"/>
      <c r="AS128" s="271"/>
      <c r="AT128" s="271"/>
      <c r="AU128" s="271"/>
      <c r="AV128" s="271"/>
      <c r="AW128" s="271"/>
      <c r="AX128" s="271"/>
      <c r="AY128" s="271"/>
      <c r="AZ128" s="271"/>
      <c r="BA128" s="271"/>
      <c r="BB128" s="269"/>
      <c r="BC128" s="269"/>
      <c r="BD128" s="269"/>
      <c r="BE128" s="269"/>
      <c r="BF128" s="269"/>
      <c r="BG128" s="269"/>
      <c r="BH128" s="269"/>
      <c r="BI128" s="269"/>
      <c r="BJ128" s="269"/>
      <c r="BK128" s="269"/>
      <c r="BL128" s="269"/>
      <c r="BM128" s="267"/>
      <c r="BN128" s="267"/>
      <c r="BO128" s="267"/>
      <c r="BP128" s="267"/>
      <c r="BQ128" s="267"/>
      <c r="BR128" s="267"/>
      <c r="BS128" s="267"/>
      <c r="BT128" s="267"/>
      <c r="BU128" s="267"/>
      <c r="BV128" s="267"/>
      <c r="BW128" s="267"/>
      <c r="BX128" s="267"/>
      <c r="BY128" s="267"/>
      <c r="BZ128" s="267"/>
      <c r="CA128" s="267"/>
      <c r="CB128" s="267"/>
      <c r="CC128" s="267"/>
      <c r="CT128" s="233"/>
      <c r="CU128" s="233"/>
      <c r="CV128" s="233"/>
      <c r="CW128" s="233"/>
      <c r="CX128" s="233"/>
      <c r="CY128" s="233"/>
      <c r="CZ128" s="233"/>
      <c r="DA128" s="233"/>
      <c r="DB128" s="233"/>
      <c r="DC128" s="233"/>
      <c r="DD128" s="233"/>
      <c r="DE128" s="233"/>
      <c r="DF128" s="233"/>
      <c r="DG128" s="233"/>
      <c r="DH128" s="233"/>
      <c r="DI128" s="233"/>
      <c r="DJ128" s="233"/>
      <c r="DK128" s="233"/>
      <c r="DL128" s="233"/>
      <c r="DM128" s="233"/>
      <c r="DN128" s="233"/>
      <c r="DO128" s="233"/>
      <c r="DP128" s="233"/>
      <c r="DQ128" s="233"/>
      <c r="DR128" s="233"/>
      <c r="DS128" s="233"/>
      <c r="DT128" s="233"/>
      <c r="DU128" s="233"/>
      <c r="DV128" s="233"/>
      <c r="DW128" s="233"/>
      <c r="DX128" s="233"/>
      <c r="DY128" s="233"/>
      <c r="DZ128" s="233"/>
      <c r="EA128" s="233"/>
      <c r="EB128" s="233"/>
      <c r="EC128" s="233"/>
      <c r="ED128" s="233"/>
      <c r="EE128" s="233"/>
      <c r="EF128" s="233"/>
      <c r="EG128" s="233"/>
      <c r="EH128" s="233"/>
      <c r="EI128" s="233"/>
      <c r="EJ128" s="233"/>
      <c r="EK128" s="233"/>
      <c r="EL128" s="233"/>
      <c r="EM128" s="233"/>
      <c r="EN128" s="233"/>
      <c r="EO128" s="233"/>
      <c r="EP128" s="233"/>
      <c r="EQ128" s="233"/>
      <c r="ER128" s="233"/>
      <c r="ES128" s="233"/>
      <c r="ET128" s="233"/>
      <c r="EU128" s="233"/>
      <c r="EV128" s="233"/>
      <c r="EW128" s="233"/>
      <c r="EX128" s="233"/>
      <c r="EY128" s="233"/>
      <c r="EZ128" s="233"/>
      <c r="FA128" s="233"/>
      <c r="FB128" s="233"/>
      <c r="FC128" s="233"/>
      <c r="FD128" s="233"/>
      <c r="FE128" s="233"/>
      <c r="FF128" s="233"/>
      <c r="FG128" s="233"/>
      <c r="FH128" s="233"/>
      <c r="FI128" s="233"/>
      <c r="FJ128" s="233"/>
      <c r="FK128" s="233"/>
      <c r="FL128" s="233"/>
      <c r="FM128" s="233"/>
      <c r="FN128" s="233"/>
      <c r="FO128" s="233"/>
      <c r="FP128" s="233"/>
      <c r="FQ128" s="233"/>
      <c r="FR128" s="233"/>
    </row>
    <row r="129" spans="4:174" ht="10.15" customHeight="1">
      <c r="D129" s="615"/>
      <c r="E129" s="615"/>
      <c r="F129" s="615"/>
      <c r="G129" s="615"/>
      <c r="H129" s="615"/>
      <c r="I129" s="615"/>
      <c r="J129" s="615"/>
      <c r="K129" s="615"/>
      <c r="L129" s="615"/>
      <c r="M129" s="615"/>
      <c r="N129" s="615"/>
      <c r="O129" s="615"/>
      <c r="P129" s="615"/>
      <c r="Q129" s="615"/>
      <c r="R129" s="616"/>
      <c r="S129" s="616"/>
      <c r="T129" s="616"/>
      <c r="U129" s="616"/>
      <c r="V129" s="616"/>
      <c r="W129" s="616"/>
      <c r="X129" s="270"/>
      <c r="Y129" s="269"/>
      <c r="Z129" s="269"/>
      <c r="AA129" s="269"/>
      <c r="AB129" s="269"/>
      <c r="AC129" s="269"/>
      <c r="AD129" s="269"/>
      <c r="AE129" s="269"/>
      <c r="AF129" s="269"/>
      <c r="AG129" s="271"/>
      <c r="AH129" s="271"/>
      <c r="AI129" s="271"/>
      <c r="AJ129" s="271"/>
      <c r="AK129" s="271"/>
      <c r="AL129" s="271"/>
      <c r="AM129" s="271"/>
      <c r="AN129" s="271"/>
      <c r="AO129" s="271"/>
      <c r="AP129" s="271"/>
      <c r="AQ129" s="271"/>
      <c r="AR129" s="271"/>
      <c r="AS129" s="271"/>
      <c r="AT129" s="271"/>
      <c r="AU129" s="271"/>
      <c r="AV129" s="271"/>
      <c r="AW129" s="271"/>
      <c r="AX129" s="271"/>
      <c r="AY129" s="271"/>
      <c r="AZ129" s="271"/>
      <c r="BA129" s="271"/>
      <c r="BB129" s="269"/>
      <c r="BC129" s="269"/>
      <c r="BD129" s="269"/>
      <c r="BE129" s="269"/>
      <c r="BF129" s="269"/>
      <c r="BG129" s="269"/>
      <c r="BH129" s="269"/>
      <c r="BI129" s="269"/>
      <c r="BJ129" s="269"/>
      <c r="BK129" s="269"/>
      <c r="BL129" s="269"/>
      <c r="BM129" s="267"/>
      <c r="BN129" s="267"/>
      <c r="BO129" s="267"/>
      <c r="BP129" s="267"/>
      <c r="BQ129" s="267"/>
      <c r="BR129" s="267"/>
      <c r="BS129" s="267"/>
      <c r="BT129" s="267"/>
      <c r="BU129" s="267"/>
      <c r="BV129" s="267"/>
      <c r="BW129" s="267"/>
      <c r="BX129" s="267"/>
      <c r="BY129" s="267"/>
      <c r="BZ129" s="267"/>
      <c r="CA129" s="267"/>
      <c r="CB129" s="267"/>
      <c r="CC129" s="267"/>
      <c r="CT129" s="233"/>
      <c r="CU129" s="233"/>
      <c r="CV129" s="233"/>
      <c r="CW129" s="233"/>
      <c r="CX129" s="233"/>
      <c r="CY129" s="233"/>
      <c r="CZ129" s="233"/>
      <c r="DA129" s="233"/>
      <c r="DB129" s="233"/>
      <c r="DC129" s="233"/>
      <c r="DD129" s="233"/>
      <c r="DE129" s="233"/>
      <c r="DF129" s="233"/>
      <c r="DG129" s="233"/>
      <c r="DH129" s="233"/>
      <c r="DI129" s="233"/>
      <c r="DJ129" s="233"/>
      <c r="DK129" s="233"/>
      <c r="DL129" s="233"/>
      <c r="DM129" s="233"/>
      <c r="DN129" s="233"/>
      <c r="DO129" s="233"/>
      <c r="DP129" s="233"/>
      <c r="DQ129" s="233"/>
      <c r="DR129" s="233"/>
      <c r="DS129" s="233"/>
      <c r="DT129" s="233"/>
      <c r="DU129" s="233"/>
      <c r="DV129" s="233"/>
      <c r="DW129" s="233"/>
      <c r="DX129" s="233"/>
      <c r="DY129" s="233"/>
      <c r="DZ129" s="233"/>
      <c r="EA129" s="233"/>
      <c r="EB129" s="233"/>
      <c r="EC129" s="233"/>
      <c r="ED129" s="233"/>
      <c r="EE129" s="233"/>
      <c r="EF129" s="233"/>
      <c r="EG129" s="233"/>
      <c r="EH129" s="233"/>
      <c r="EI129" s="233"/>
      <c r="EJ129" s="233"/>
      <c r="EK129" s="233"/>
      <c r="EL129" s="233"/>
      <c r="EM129" s="233"/>
      <c r="EN129" s="233"/>
      <c r="EO129" s="233"/>
      <c r="EP129" s="233"/>
      <c r="EQ129" s="233"/>
      <c r="ER129" s="233"/>
      <c r="ES129" s="233"/>
      <c r="ET129" s="233"/>
      <c r="EU129" s="233"/>
      <c r="EV129" s="233"/>
      <c r="EW129" s="233"/>
      <c r="EX129" s="233"/>
      <c r="EY129" s="233"/>
      <c r="EZ129" s="233"/>
      <c r="FA129" s="233"/>
      <c r="FB129" s="233"/>
      <c r="FC129" s="233"/>
      <c r="FD129" s="233"/>
      <c r="FE129" s="233"/>
      <c r="FF129" s="233"/>
      <c r="FG129" s="233"/>
      <c r="FH129" s="233"/>
      <c r="FI129" s="233"/>
      <c r="FJ129" s="233"/>
      <c r="FK129" s="233"/>
      <c r="FL129" s="233"/>
      <c r="FM129" s="233"/>
      <c r="FN129" s="233"/>
      <c r="FO129" s="233"/>
      <c r="FP129" s="233"/>
      <c r="FQ129" s="233"/>
      <c r="FR129" s="233"/>
    </row>
    <row r="130" spans="4:174" ht="10.15" customHeight="1">
      <c r="D130" s="570" t="s">
        <v>90</v>
      </c>
      <c r="E130" s="570"/>
      <c r="F130" s="570"/>
      <c r="G130" s="570"/>
      <c r="H130" s="570"/>
      <c r="I130" s="570"/>
      <c r="J130" s="570"/>
      <c r="K130" s="570"/>
      <c r="L130" s="570"/>
      <c r="M130" s="570"/>
      <c r="N130" s="570"/>
      <c r="O130" s="570"/>
      <c r="P130" s="570"/>
      <c r="Q130" s="570"/>
      <c r="R130" s="571">
        <f>Data!B58</f>
        <v>95</v>
      </c>
      <c r="S130" s="571"/>
      <c r="T130" s="571"/>
      <c r="U130" s="571"/>
      <c r="V130" s="571"/>
      <c r="W130" s="571"/>
      <c r="X130" s="272"/>
      <c r="Y130" s="269"/>
      <c r="Z130" s="269"/>
      <c r="AA130" s="269"/>
      <c r="AB130" s="269"/>
      <c r="AC130" s="269"/>
      <c r="AD130" s="269"/>
      <c r="AE130" s="269"/>
      <c r="AF130" s="269"/>
      <c r="AG130" s="271"/>
      <c r="AH130" s="271"/>
      <c r="AI130" s="271"/>
      <c r="AJ130" s="271"/>
      <c r="AK130" s="271"/>
      <c r="AL130" s="271"/>
      <c r="AM130" s="271"/>
      <c r="AN130" s="271"/>
      <c r="AO130" s="271"/>
      <c r="AP130" s="271"/>
      <c r="AQ130" s="271"/>
      <c r="AR130" s="271"/>
      <c r="AS130" s="271"/>
      <c r="AT130" s="271"/>
      <c r="AU130" s="271"/>
      <c r="AV130" s="271"/>
      <c r="AW130" s="271"/>
      <c r="AX130" s="271"/>
      <c r="AY130" s="271"/>
      <c r="AZ130" s="271"/>
      <c r="BA130" s="271"/>
      <c r="BB130" s="269"/>
      <c r="BC130" s="269"/>
      <c r="BD130" s="269"/>
      <c r="BE130" s="269"/>
      <c r="BF130" s="269"/>
      <c r="BG130" s="269"/>
      <c r="BH130" s="269"/>
      <c r="BI130" s="269"/>
      <c r="BJ130" s="269"/>
      <c r="BK130" s="269"/>
      <c r="BL130" s="269"/>
      <c r="BM130" s="267"/>
      <c r="BN130" s="267"/>
      <c r="BO130" s="267"/>
      <c r="BP130" s="267"/>
      <c r="BQ130" s="267"/>
      <c r="BR130" s="267"/>
      <c r="BS130" s="267"/>
      <c r="BT130" s="267"/>
      <c r="BU130" s="267"/>
      <c r="BV130" s="267"/>
      <c r="BW130" s="267"/>
      <c r="BX130" s="267"/>
      <c r="BY130" s="267"/>
      <c r="BZ130" s="267"/>
      <c r="CA130" s="267"/>
      <c r="CB130" s="267"/>
      <c r="CC130" s="267"/>
      <c r="CT130" s="233"/>
      <c r="CU130" s="233"/>
      <c r="CV130" s="233"/>
      <c r="CW130" s="233"/>
      <c r="CX130" s="233"/>
      <c r="CY130" s="233"/>
      <c r="CZ130" s="233"/>
      <c r="DA130" s="233"/>
      <c r="DB130" s="233"/>
      <c r="DC130" s="233"/>
      <c r="DD130" s="233"/>
      <c r="DE130" s="233"/>
      <c r="DF130" s="233"/>
      <c r="DG130" s="233"/>
      <c r="DH130" s="233"/>
      <c r="DI130" s="233"/>
      <c r="DJ130" s="233"/>
      <c r="DK130" s="233"/>
      <c r="DL130" s="233"/>
      <c r="DM130" s="233"/>
      <c r="DN130" s="233"/>
      <c r="DO130" s="233"/>
      <c r="DP130" s="233"/>
      <c r="DQ130" s="233"/>
      <c r="DR130" s="233"/>
      <c r="DS130" s="233"/>
      <c r="DT130" s="233"/>
      <c r="DU130" s="233"/>
      <c r="DV130" s="233"/>
      <c r="DW130" s="233"/>
      <c r="DX130" s="233"/>
      <c r="DY130" s="233"/>
      <c r="DZ130" s="233"/>
      <c r="EA130" s="233"/>
      <c r="EB130" s="233"/>
      <c r="EC130" s="233"/>
      <c r="ED130" s="233"/>
      <c r="EE130" s="233"/>
      <c r="EF130" s="233"/>
      <c r="EG130" s="233"/>
      <c r="EH130" s="233"/>
      <c r="EI130" s="233"/>
      <c r="EJ130" s="233"/>
      <c r="EK130" s="233"/>
      <c r="EL130" s="233"/>
      <c r="EM130" s="233"/>
      <c r="EN130" s="233"/>
      <c r="EO130" s="233"/>
      <c r="EP130" s="233"/>
      <c r="EQ130" s="233"/>
      <c r="ER130" s="233"/>
      <c r="ES130" s="233"/>
      <c r="ET130" s="233"/>
      <c r="EU130" s="233"/>
      <c r="EV130" s="233"/>
      <c r="EW130" s="233"/>
      <c r="EX130" s="233"/>
      <c r="EY130" s="233"/>
      <c r="EZ130" s="233"/>
      <c r="FA130" s="233"/>
      <c r="FB130" s="233"/>
      <c r="FC130" s="233"/>
      <c r="FD130" s="233"/>
      <c r="FE130" s="233"/>
      <c r="FF130" s="233"/>
      <c r="FG130" s="233"/>
      <c r="FH130" s="233"/>
      <c r="FI130" s="233"/>
      <c r="FJ130" s="233"/>
      <c r="FK130" s="233"/>
      <c r="FL130" s="233"/>
      <c r="FM130" s="233"/>
      <c r="FN130" s="233"/>
      <c r="FO130" s="233"/>
      <c r="FP130" s="233"/>
      <c r="FQ130" s="233"/>
      <c r="FR130" s="233"/>
    </row>
    <row r="131" spans="4:174" ht="10.15" customHeight="1">
      <c r="D131" s="570"/>
      <c r="E131" s="570"/>
      <c r="F131" s="570"/>
      <c r="G131" s="570"/>
      <c r="H131" s="570"/>
      <c r="I131" s="570"/>
      <c r="J131" s="570"/>
      <c r="K131" s="570"/>
      <c r="L131" s="570"/>
      <c r="M131" s="570"/>
      <c r="N131" s="570"/>
      <c r="O131" s="570"/>
      <c r="P131" s="570"/>
      <c r="Q131" s="570"/>
      <c r="R131" s="571"/>
      <c r="S131" s="571"/>
      <c r="T131" s="571"/>
      <c r="U131" s="571"/>
      <c r="V131" s="571"/>
      <c r="W131" s="571"/>
      <c r="X131" s="272"/>
      <c r="Y131" s="269"/>
      <c r="Z131" s="269"/>
      <c r="AA131" s="269"/>
      <c r="AB131" s="269"/>
      <c r="AC131" s="269"/>
      <c r="AD131" s="269"/>
      <c r="AE131" s="269"/>
      <c r="AF131" s="269"/>
      <c r="AG131" s="271"/>
      <c r="AH131" s="271"/>
      <c r="AI131" s="271"/>
      <c r="AJ131" s="271"/>
      <c r="AK131" s="271"/>
      <c r="AL131" s="271"/>
      <c r="AM131" s="271"/>
      <c r="AN131" s="271"/>
      <c r="AO131" s="271"/>
      <c r="AP131" s="271"/>
      <c r="AQ131" s="271"/>
      <c r="AR131" s="271"/>
      <c r="AS131" s="271"/>
      <c r="AT131" s="271"/>
      <c r="AU131" s="271"/>
      <c r="AV131" s="271"/>
      <c r="AW131" s="271"/>
      <c r="AX131" s="271"/>
      <c r="AY131" s="271"/>
      <c r="AZ131" s="271"/>
      <c r="BA131" s="271"/>
      <c r="BB131" s="269"/>
      <c r="BC131" s="269"/>
      <c r="BD131" s="269"/>
      <c r="BE131" s="269"/>
      <c r="BF131" s="269"/>
      <c r="BG131" s="269"/>
      <c r="BH131" s="269"/>
      <c r="BI131" s="269"/>
      <c r="BJ131" s="269"/>
      <c r="BK131" s="269"/>
      <c r="BL131" s="269"/>
      <c r="BM131" s="267"/>
      <c r="BN131" s="267"/>
      <c r="BO131" s="267"/>
      <c r="BP131" s="267"/>
      <c r="BQ131" s="267"/>
      <c r="BR131" s="267"/>
      <c r="BS131" s="267"/>
      <c r="BT131" s="267"/>
      <c r="BU131" s="267"/>
      <c r="BV131" s="267"/>
      <c r="BW131" s="267"/>
      <c r="BX131" s="267"/>
      <c r="BY131" s="267"/>
      <c r="BZ131" s="267"/>
      <c r="CA131" s="267"/>
      <c r="CB131" s="267"/>
      <c r="CC131" s="267"/>
      <c r="CT131" s="233"/>
      <c r="CU131" s="233"/>
      <c r="CV131" s="233"/>
      <c r="CW131" s="233"/>
      <c r="CX131" s="233"/>
      <c r="CY131" s="233"/>
      <c r="CZ131" s="233"/>
      <c r="DA131" s="233"/>
      <c r="DB131" s="233"/>
      <c r="DC131" s="233"/>
      <c r="DD131" s="233"/>
      <c r="DE131" s="233"/>
      <c r="DF131" s="233"/>
      <c r="DG131" s="233"/>
      <c r="DH131" s="233"/>
      <c r="DI131" s="233"/>
      <c r="DJ131" s="233"/>
      <c r="DK131" s="233"/>
      <c r="DL131" s="233"/>
      <c r="DM131" s="233"/>
      <c r="DN131" s="233"/>
      <c r="DO131" s="233"/>
      <c r="DP131" s="233"/>
      <c r="DQ131" s="233"/>
      <c r="DR131" s="233"/>
      <c r="DS131" s="233"/>
      <c r="DT131" s="233"/>
      <c r="DU131" s="233"/>
      <c r="DV131" s="233"/>
      <c r="DW131" s="233"/>
      <c r="DX131" s="233"/>
      <c r="DY131" s="233"/>
      <c r="DZ131" s="233"/>
      <c r="EA131" s="233"/>
      <c r="EB131" s="233"/>
      <c r="EC131" s="233"/>
      <c r="ED131" s="233"/>
      <c r="EE131" s="233"/>
      <c r="EF131" s="233"/>
      <c r="EG131" s="233"/>
      <c r="EH131" s="233"/>
      <c r="EI131" s="233"/>
      <c r="EJ131" s="233"/>
      <c r="EK131" s="233"/>
      <c r="EL131" s="233"/>
      <c r="EM131" s="233"/>
      <c r="EN131" s="233"/>
      <c r="EO131" s="233"/>
      <c r="EP131" s="233"/>
      <c r="EQ131" s="233"/>
      <c r="ER131" s="233"/>
      <c r="ES131" s="233"/>
      <c r="ET131" s="233"/>
      <c r="EU131" s="233"/>
      <c r="EV131" s="233"/>
      <c r="EW131" s="233"/>
      <c r="EX131" s="233"/>
      <c r="EY131" s="233"/>
      <c r="EZ131" s="233"/>
      <c r="FA131" s="233"/>
      <c r="FB131" s="233"/>
      <c r="FC131" s="233"/>
      <c r="FD131" s="233"/>
      <c r="FE131" s="233"/>
      <c r="FF131" s="233"/>
      <c r="FG131" s="233"/>
      <c r="FH131" s="233"/>
      <c r="FI131" s="233"/>
      <c r="FJ131" s="233"/>
      <c r="FK131" s="233"/>
      <c r="FL131" s="233"/>
      <c r="FM131" s="233"/>
      <c r="FN131" s="233"/>
      <c r="FO131" s="233"/>
      <c r="FP131" s="233"/>
      <c r="FQ131" s="233"/>
      <c r="FR131" s="233"/>
    </row>
    <row r="132" spans="4:174" ht="10.15" customHeight="1">
      <c r="D132" s="570" t="s">
        <v>92</v>
      </c>
      <c r="E132" s="570"/>
      <c r="F132" s="570"/>
      <c r="G132" s="570"/>
      <c r="H132" s="570"/>
      <c r="I132" s="570"/>
      <c r="J132" s="570"/>
      <c r="K132" s="570"/>
      <c r="L132" s="570"/>
      <c r="M132" s="570"/>
      <c r="N132" s="570"/>
      <c r="O132" s="570"/>
      <c r="P132" s="570"/>
      <c r="Q132" s="570"/>
      <c r="R132" s="571">
        <f>Data!B59</f>
        <v>95</v>
      </c>
      <c r="S132" s="571"/>
      <c r="T132" s="571"/>
      <c r="U132" s="571"/>
      <c r="V132" s="571"/>
      <c r="W132" s="571"/>
      <c r="X132" s="272"/>
      <c r="Y132" s="269"/>
      <c r="Z132" s="269"/>
      <c r="AA132" s="269"/>
      <c r="AB132" s="269"/>
      <c r="AC132" s="269"/>
      <c r="AD132" s="269"/>
      <c r="AE132" s="269"/>
      <c r="AF132" s="269"/>
      <c r="AG132" s="271"/>
      <c r="AH132" s="271"/>
      <c r="AI132" s="271"/>
      <c r="AJ132" s="271"/>
      <c r="AK132" s="271"/>
      <c r="AL132" s="271"/>
      <c r="AM132" s="271"/>
      <c r="AN132" s="271"/>
      <c r="AO132" s="271"/>
      <c r="AP132" s="271"/>
      <c r="AQ132" s="271"/>
      <c r="AR132" s="271"/>
      <c r="AS132" s="271"/>
      <c r="AT132" s="271"/>
      <c r="AU132" s="271"/>
      <c r="AV132" s="271"/>
      <c r="AW132" s="271"/>
      <c r="AX132" s="271"/>
      <c r="AY132" s="271"/>
      <c r="AZ132" s="271"/>
      <c r="BA132" s="271"/>
      <c r="BB132" s="269"/>
      <c r="BC132" s="269"/>
      <c r="BD132" s="269"/>
      <c r="BE132" s="269"/>
      <c r="BF132" s="269"/>
      <c r="BG132" s="269"/>
      <c r="BH132" s="269"/>
      <c r="BI132" s="269"/>
      <c r="BJ132" s="269"/>
      <c r="BK132" s="269"/>
      <c r="BL132" s="269"/>
      <c r="BM132" s="267"/>
      <c r="BN132" s="267"/>
      <c r="BO132" s="267"/>
      <c r="BP132" s="267"/>
      <c r="BQ132" s="267"/>
      <c r="BR132" s="267"/>
      <c r="BS132" s="267"/>
      <c r="BT132" s="267"/>
      <c r="BU132" s="267"/>
      <c r="BV132" s="267"/>
      <c r="BW132" s="267"/>
      <c r="BX132" s="267"/>
      <c r="BY132" s="267"/>
      <c r="BZ132" s="267"/>
      <c r="CA132" s="267"/>
      <c r="CB132" s="267"/>
      <c r="CC132" s="267"/>
      <c r="CT132" s="233"/>
      <c r="CU132" s="233"/>
      <c r="CV132" s="233"/>
      <c r="CW132" s="233"/>
      <c r="CX132" s="233"/>
      <c r="CY132" s="233"/>
      <c r="CZ132" s="233"/>
      <c r="DA132" s="233"/>
      <c r="DB132" s="233"/>
      <c r="DC132" s="233"/>
      <c r="DD132" s="233"/>
      <c r="DE132" s="233"/>
      <c r="DF132" s="233"/>
      <c r="DG132" s="233"/>
      <c r="DH132" s="233"/>
      <c r="DI132" s="233"/>
      <c r="DJ132" s="233"/>
      <c r="DK132" s="233"/>
      <c r="DL132" s="233"/>
      <c r="DM132" s="233"/>
      <c r="DN132" s="233"/>
      <c r="DO132" s="233"/>
      <c r="DP132" s="233"/>
      <c r="DQ132" s="233"/>
      <c r="DR132" s="233"/>
      <c r="DS132" s="233"/>
      <c r="DT132" s="233"/>
      <c r="DU132" s="233"/>
      <c r="DV132" s="233"/>
      <c r="DW132" s="233"/>
      <c r="DX132" s="233"/>
      <c r="DY132" s="233"/>
      <c r="DZ132" s="233"/>
      <c r="EA132" s="233"/>
      <c r="EB132" s="233"/>
      <c r="EC132" s="233"/>
      <c r="ED132" s="233"/>
      <c r="EE132" s="233"/>
      <c r="EF132" s="233"/>
      <c r="EG132" s="233"/>
      <c r="EH132" s="233"/>
      <c r="EI132" s="233"/>
      <c r="EJ132" s="233"/>
      <c r="EK132" s="233"/>
      <c r="EL132" s="233"/>
      <c r="EM132" s="233"/>
      <c r="EN132" s="233"/>
      <c r="EO132" s="233"/>
      <c r="EP132" s="233"/>
      <c r="EQ132" s="233"/>
      <c r="ER132" s="233"/>
      <c r="ES132" s="233"/>
      <c r="ET132" s="233"/>
      <c r="EU132" s="233"/>
      <c r="EV132" s="233"/>
      <c r="EW132" s="233"/>
      <c r="EX132" s="233"/>
      <c r="EY132" s="233"/>
      <c r="EZ132" s="233"/>
      <c r="FA132" s="233"/>
      <c r="FB132" s="233"/>
      <c r="FC132" s="233"/>
      <c r="FD132" s="233"/>
      <c r="FE132" s="233"/>
      <c r="FF132" s="233"/>
      <c r="FG132" s="233"/>
      <c r="FH132" s="233"/>
      <c r="FI132" s="233"/>
      <c r="FJ132" s="233"/>
      <c r="FK132" s="233"/>
      <c r="FL132" s="233"/>
      <c r="FM132" s="233"/>
      <c r="FN132" s="233"/>
      <c r="FO132" s="233"/>
      <c r="FP132" s="233"/>
      <c r="FQ132" s="233"/>
      <c r="FR132" s="233"/>
    </row>
    <row r="133" spans="4:174" ht="10.15" customHeight="1">
      <c r="D133" s="570"/>
      <c r="E133" s="570"/>
      <c r="F133" s="570"/>
      <c r="G133" s="570"/>
      <c r="H133" s="570"/>
      <c r="I133" s="570"/>
      <c r="J133" s="570"/>
      <c r="K133" s="570"/>
      <c r="L133" s="570"/>
      <c r="M133" s="570"/>
      <c r="N133" s="570"/>
      <c r="O133" s="570"/>
      <c r="P133" s="570"/>
      <c r="Q133" s="570"/>
      <c r="R133" s="571"/>
      <c r="S133" s="571"/>
      <c r="T133" s="571"/>
      <c r="U133" s="571"/>
      <c r="V133" s="571"/>
      <c r="W133" s="571"/>
      <c r="X133" s="272"/>
      <c r="Y133" s="269"/>
      <c r="Z133" s="269"/>
      <c r="AA133" s="269"/>
      <c r="AB133" s="269"/>
      <c r="AC133" s="269"/>
      <c r="AD133" s="269"/>
      <c r="AE133" s="269"/>
      <c r="AF133" s="269"/>
      <c r="AG133" s="269"/>
      <c r="AH133" s="269"/>
      <c r="AI133" s="269"/>
      <c r="AJ133" s="269"/>
      <c r="AK133" s="269"/>
      <c r="AL133" s="269"/>
      <c r="AM133" s="269"/>
      <c r="AN133" s="269"/>
      <c r="AO133" s="269"/>
      <c r="AP133" s="269"/>
      <c r="AQ133" s="269"/>
      <c r="AR133" s="269"/>
      <c r="AS133" s="269"/>
      <c r="AT133" s="269"/>
      <c r="AU133" s="269"/>
      <c r="AV133" s="269"/>
      <c r="AW133" s="269"/>
      <c r="AX133" s="269"/>
      <c r="AY133" s="269"/>
      <c r="AZ133" s="269"/>
      <c r="BA133" s="269"/>
      <c r="BB133" s="269"/>
      <c r="BC133" s="269"/>
      <c r="BD133" s="269"/>
      <c r="BE133" s="269"/>
      <c r="BF133" s="269"/>
      <c r="BG133" s="269"/>
      <c r="BH133" s="269"/>
      <c r="BI133" s="269"/>
      <c r="BJ133" s="269"/>
      <c r="BK133" s="269"/>
      <c r="BL133" s="269"/>
      <c r="BM133" s="267"/>
      <c r="BN133" s="267"/>
      <c r="BO133" s="267"/>
      <c r="BP133" s="267"/>
      <c r="BQ133" s="267"/>
      <c r="BR133" s="267"/>
      <c r="BS133" s="267"/>
      <c r="BT133" s="267"/>
      <c r="BU133" s="267"/>
      <c r="BV133" s="267"/>
      <c r="BW133" s="267"/>
      <c r="BX133" s="267"/>
      <c r="BY133" s="267"/>
      <c r="BZ133" s="267"/>
      <c r="CA133" s="267"/>
      <c r="CB133" s="267"/>
      <c r="CC133" s="267"/>
      <c r="CT133" s="233"/>
      <c r="CU133" s="233"/>
      <c r="CV133" s="233"/>
      <c r="CW133" s="233"/>
      <c r="CX133" s="233"/>
      <c r="CY133" s="233"/>
      <c r="CZ133" s="233"/>
      <c r="DA133" s="233"/>
      <c r="DB133" s="233"/>
      <c r="DC133" s="233"/>
      <c r="DD133" s="233"/>
      <c r="DE133" s="233"/>
      <c r="DF133" s="233"/>
      <c r="DG133" s="233"/>
      <c r="DH133" s="233"/>
      <c r="DI133" s="233"/>
      <c r="DJ133" s="233"/>
      <c r="DK133" s="233"/>
      <c r="DL133" s="233"/>
      <c r="DM133" s="233"/>
      <c r="DN133" s="233"/>
      <c r="DO133" s="233"/>
      <c r="DP133" s="233"/>
      <c r="DQ133" s="233"/>
      <c r="DR133" s="233"/>
      <c r="DS133" s="233"/>
      <c r="DT133" s="233"/>
      <c r="DU133" s="233"/>
      <c r="DV133" s="233"/>
      <c r="DW133" s="233"/>
      <c r="DX133" s="233"/>
      <c r="DY133" s="233"/>
      <c r="DZ133" s="233"/>
      <c r="EA133" s="233"/>
      <c r="EB133" s="233"/>
      <c r="EC133" s="233"/>
      <c r="ED133" s="233"/>
      <c r="EE133" s="233"/>
      <c r="EF133" s="233"/>
      <c r="EG133" s="233"/>
      <c r="EH133" s="233"/>
      <c r="EI133" s="233"/>
      <c r="EJ133" s="233"/>
      <c r="EK133" s="233"/>
      <c r="EL133" s="233"/>
      <c r="EM133" s="233"/>
      <c r="EN133" s="233"/>
      <c r="EO133" s="233"/>
      <c r="EP133" s="233"/>
      <c r="EQ133" s="233"/>
      <c r="ER133" s="233"/>
      <c r="ES133" s="233"/>
      <c r="ET133" s="233"/>
      <c r="EU133" s="233"/>
      <c r="EV133" s="233"/>
      <c r="EW133" s="233"/>
      <c r="EX133" s="233"/>
      <c r="EY133" s="233"/>
      <c r="EZ133" s="233"/>
      <c r="FA133" s="233"/>
      <c r="FB133" s="233"/>
      <c r="FC133" s="233"/>
      <c r="FD133" s="233"/>
      <c r="FE133" s="233"/>
      <c r="FF133" s="233"/>
      <c r="FG133" s="233"/>
      <c r="FH133" s="233"/>
      <c r="FI133" s="233"/>
      <c r="FJ133" s="233"/>
      <c r="FK133" s="233"/>
      <c r="FL133" s="233"/>
      <c r="FM133" s="233"/>
      <c r="FN133" s="233"/>
      <c r="FO133" s="233"/>
      <c r="FP133" s="233"/>
      <c r="FQ133" s="233"/>
      <c r="FR133" s="233"/>
    </row>
    <row r="134" spans="4:174" ht="10.15" customHeight="1">
      <c r="D134" s="273"/>
      <c r="E134" s="273"/>
      <c r="F134" s="273"/>
      <c r="G134" s="273"/>
      <c r="H134" s="273"/>
      <c r="I134" s="273"/>
      <c r="J134" s="273"/>
      <c r="K134" s="273"/>
      <c r="L134" s="273"/>
      <c r="M134" s="273"/>
      <c r="N134" s="273"/>
      <c r="O134" s="273"/>
      <c r="P134" s="273"/>
      <c r="Q134" s="273"/>
      <c r="R134" s="274"/>
      <c r="S134" s="274"/>
      <c r="T134" s="274"/>
      <c r="U134" s="274"/>
      <c r="V134" s="274"/>
      <c r="W134" s="274"/>
      <c r="X134" s="272"/>
      <c r="Y134" s="269"/>
      <c r="Z134" s="269"/>
      <c r="AA134" s="269"/>
      <c r="AB134" s="269"/>
      <c r="AC134" s="269"/>
      <c r="AD134" s="269"/>
      <c r="AE134" s="269"/>
      <c r="AF134" s="269"/>
      <c r="AG134" s="269"/>
      <c r="AH134" s="269"/>
      <c r="AI134" s="269"/>
      <c r="AJ134" s="269"/>
      <c r="AK134" s="269"/>
      <c r="AL134" s="269"/>
      <c r="AM134" s="269"/>
      <c r="AN134" s="269"/>
      <c r="AO134" s="269"/>
      <c r="AP134" s="269"/>
      <c r="AQ134" s="269"/>
      <c r="AR134" s="269"/>
      <c r="AS134" s="269"/>
      <c r="AT134" s="269"/>
      <c r="AU134" s="269"/>
      <c r="AV134" s="269"/>
      <c r="AW134" s="269"/>
      <c r="AX134" s="269"/>
      <c r="AY134" s="269"/>
      <c r="AZ134" s="269"/>
      <c r="BA134" s="269"/>
      <c r="BB134" s="269"/>
      <c r="BC134" s="269"/>
      <c r="BD134" s="269"/>
      <c r="BE134" s="269"/>
      <c r="BF134" s="269"/>
      <c r="BG134" s="269"/>
      <c r="BH134" s="269"/>
      <c r="BI134" s="269"/>
      <c r="BJ134" s="269"/>
      <c r="BK134" s="269"/>
      <c r="BL134" s="269"/>
      <c r="BM134" s="267"/>
      <c r="BN134" s="267"/>
      <c r="BO134" s="267"/>
      <c r="BP134" s="267"/>
      <c r="BQ134" s="267"/>
      <c r="BR134" s="267"/>
      <c r="BS134" s="267"/>
      <c r="BT134" s="267"/>
      <c r="BU134" s="267"/>
      <c r="BV134" s="267"/>
      <c r="BW134" s="267"/>
      <c r="BX134" s="267"/>
      <c r="BY134" s="267"/>
      <c r="BZ134" s="267"/>
      <c r="CA134" s="267"/>
      <c r="CB134" s="267"/>
      <c r="CC134" s="267"/>
      <c r="CT134" s="233"/>
      <c r="CU134" s="233"/>
      <c r="CV134" s="233"/>
      <c r="CW134" s="233"/>
      <c r="CX134" s="233"/>
      <c r="CY134" s="233"/>
      <c r="CZ134" s="233"/>
      <c r="DA134" s="233"/>
      <c r="DB134" s="233"/>
      <c r="DC134" s="233"/>
      <c r="DD134" s="233"/>
      <c r="DE134" s="233"/>
      <c r="DF134" s="233"/>
      <c r="DG134" s="233"/>
      <c r="DH134" s="233"/>
      <c r="DI134" s="233"/>
      <c r="DJ134" s="233"/>
      <c r="DK134" s="233"/>
      <c r="DL134" s="233"/>
      <c r="DM134" s="233"/>
      <c r="DN134" s="233"/>
      <c r="DO134" s="233"/>
      <c r="DP134" s="233"/>
      <c r="DQ134" s="233"/>
      <c r="DR134" s="233"/>
      <c r="DS134" s="233"/>
      <c r="DT134" s="233"/>
      <c r="DU134" s="233"/>
      <c r="DV134" s="233"/>
      <c r="DW134" s="233"/>
      <c r="DX134" s="233"/>
      <c r="DY134" s="233"/>
      <c r="DZ134" s="233"/>
      <c r="EA134" s="233"/>
      <c r="EB134" s="233"/>
      <c r="EC134" s="233"/>
      <c r="ED134" s="233"/>
      <c r="EE134" s="233"/>
      <c r="EF134" s="233"/>
      <c r="EG134" s="233"/>
      <c r="EH134" s="233"/>
      <c r="EI134" s="233"/>
      <c r="EJ134" s="233"/>
      <c r="EK134" s="233"/>
      <c r="EL134" s="233"/>
      <c r="EM134" s="233"/>
      <c r="EN134" s="233"/>
      <c r="EO134" s="233"/>
      <c r="EP134" s="233"/>
      <c r="EQ134" s="233"/>
      <c r="ER134" s="233"/>
      <c r="ES134" s="233"/>
      <c r="ET134" s="233"/>
      <c r="EU134" s="233"/>
      <c r="EV134" s="233"/>
      <c r="EW134" s="233"/>
      <c r="EX134" s="233"/>
      <c r="EY134" s="233"/>
      <c r="EZ134" s="233"/>
      <c r="FA134" s="233"/>
      <c r="FB134" s="233"/>
      <c r="FC134" s="233"/>
      <c r="FD134" s="233"/>
      <c r="FE134" s="233"/>
      <c r="FF134" s="233"/>
      <c r="FG134" s="233"/>
      <c r="FH134" s="233"/>
      <c r="FI134" s="233"/>
      <c r="FJ134" s="233"/>
      <c r="FK134" s="233"/>
      <c r="FL134" s="233"/>
      <c r="FM134" s="233"/>
      <c r="FN134" s="233"/>
      <c r="FO134" s="233"/>
      <c r="FP134" s="233"/>
      <c r="FQ134" s="233"/>
      <c r="FR134" s="233"/>
    </row>
    <row r="135" spans="4:174" ht="10.15" customHeight="1">
      <c r="D135" s="267"/>
      <c r="E135" s="267"/>
      <c r="F135" s="267"/>
      <c r="G135" s="267"/>
      <c r="H135" s="267"/>
      <c r="I135" s="267"/>
      <c r="J135" s="267"/>
      <c r="K135" s="267"/>
      <c r="L135" s="267"/>
      <c r="M135" s="267"/>
      <c r="N135" s="267"/>
      <c r="O135" s="267"/>
      <c r="P135" s="267"/>
      <c r="Q135" s="267"/>
      <c r="R135" s="267"/>
      <c r="S135" s="267"/>
      <c r="T135" s="267"/>
      <c r="U135" s="267"/>
      <c r="V135" s="267"/>
      <c r="W135" s="267"/>
      <c r="X135" s="267"/>
      <c r="Y135" s="267"/>
      <c r="Z135" s="267"/>
      <c r="AA135" s="267"/>
      <c r="AB135" s="267"/>
      <c r="AC135" s="267"/>
      <c r="AD135" s="267"/>
      <c r="AE135" s="267"/>
      <c r="AF135" s="267"/>
      <c r="AG135" s="267"/>
      <c r="AH135" s="267"/>
      <c r="AI135" s="267"/>
      <c r="AJ135" s="267"/>
      <c r="AK135" s="267"/>
      <c r="AL135" s="267"/>
      <c r="AM135" s="267"/>
      <c r="AN135" s="267"/>
      <c r="AO135" s="267"/>
      <c r="AP135" s="267"/>
      <c r="AQ135" s="267"/>
      <c r="AR135" s="267"/>
      <c r="AS135" s="267"/>
      <c r="AT135" s="267"/>
      <c r="AU135" s="267"/>
      <c r="AV135" s="267"/>
      <c r="AW135" s="267"/>
      <c r="AX135" s="267"/>
      <c r="AY135" s="267"/>
      <c r="AZ135" s="267"/>
      <c r="BA135" s="267"/>
      <c r="BB135" s="267"/>
      <c r="BC135" s="267"/>
      <c r="BD135" s="267"/>
      <c r="BE135" s="267"/>
      <c r="BF135" s="267"/>
      <c r="BG135" s="267"/>
      <c r="BH135" s="267"/>
      <c r="BI135" s="267"/>
      <c r="BJ135" s="267"/>
      <c r="BK135" s="267"/>
      <c r="BL135" s="267"/>
      <c r="BM135" s="267"/>
      <c r="BN135" s="267"/>
      <c r="BO135" s="267"/>
      <c r="BP135" s="267"/>
      <c r="BQ135" s="267"/>
      <c r="BR135" s="267"/>
      <c r="BS135" s="267"/>
      <c r="BT135" s="267"/>
      <c r="BU135" s="267"/>
      <c r="BV135" s="267"/>
      <c r="BW135" s="267"/>
      <c r="BX135" s="267"/>
      <c r="BY135" s="267"/>
      <c r="BZ135" s="267"/>
      <c r="CA135" s="267"/>
      <c r="CB135" s="267"/>
      <c r="CC135" s="267"/>
      <c r="CT135" s="233"/>
      <c r="CU135" s="233"/>
      <c r="CV135" s="233"/>
      <c r="CW135" s="233"/>
      <c r="CX135" s="233"/>
      <c r="CY135" s="233"/>
      <c r="CZ135" s="233"/>
      <c r="DA135" s="233"/>
      <c r="DB135" s="233"/>
      <c r="DC135" s="233"/>
      <c r="DD135" s="233"/>
      <c r="DE135" s="233"/>
      <c r="DF135" s="233"/>
      <c r="DG135" s="233"/>
      <c r="DH135" s="233"/>
      <c r="DI135" s="233"/>
      <c r="DJ135" s="233"/>
      <c r="DK135" s="233"/>
      <c r="DL135" s="233"/>
      <c r="DM135" s="233"/>
      <c r="DN135" s="233"/>
      <c r="DO135" s="233"/>
      <c r="DP135" s="233"/>
      <c r="DQ135" s="233"/>
      <c r="DR135" s="233"/>
      <c r="DS135" s="233"/>
      <c r="DT135" s="233"/>
      <c r="DU135" s="233"/>
      <c r="DV135" s="233"/>
      <c r="DW135" s="233"/>
      <c r="DX135" s="233"/>
      <c r="DY135" s="233"/>
      <c r="DZ135" s="233"/>
      <c r="EA135" s="233"/>
      <c r="EB135" s="233"/>
      <c r="EC135" s="233"/>
      <c r="ED135" s="233"/>
      <c r="EE135" s="233"/>
      <c r="EF135" s="233"/>
      <c r="EG135" s="233"/>
      <c r="EH135" s="233"/>
      <c r="EI135" s="233"/>
      <c r="EJ135" s="233"/>
      <c r="EK135" s="233"/>
      <c r="EL135" s="233"/>
      <c r="EM135" s="233"/>
      <c r="EN135" s="233"/>
      <c r="EO135" s="233"/>
      <c r="EP135" s="233"/>
      <c r="EQ135" s="233"/>
      <c r="ER135" s="233"/>
      <c r="ES135" s="233"/>
      <c r="ET135" s="233"/>
      <c r="EU135" s="233"/>
      <c r="EV135" s="233"/>
      <c r="EW135" s="233"/>
      <c r="EX135" s="233"/>
      <c r="EY135" s="233"/>
      <c r="EZ135" s="233"/>
      <c r="FA135" s="233"/>
      <c r="FB135" s="233"/>
      <c r="FC135" s="233"/>
      <c r="FD135" s="233"/>
      <c r="FE135" s="233"/>
      <c r="FF135" s="233"/>
      <c r="FG135" s="233"/>
      <c r="FH135" s="233"/>
      <c r="FI135" s="233"/>
      <c r="FJ135" s="233"/>
      <c r="FK135" s="233"/>
      <c r="FL135" s="233"/>
      <c r="FM135" s="233"/>
      <c r="FN135" s="233"/>
      <c r="FO135" s="233"/>
      <c r="FP135" s="233"/>
      <c r="FQ135" s="233"/>
      <c r="FR135" s="233"/>
    </row>
    <row r="136" spans="4:174" ht="10.15" customHeight="1">
      <c r="D136" s="200"/>
      <c r="E136" s="200"/>
      <c r="F136" s="200"/>
      <c r="G136" s="200"/>
      <c r="H136" s="200"/>
      <c r="I136" s="200"/>
      <c r="J136" s="200"/>
      <c r="K136" s="200"/>
      <c r="L136" s="200"/>
      <c r="M136" s="200"/>
      <c r="N136" s="200"/>
      <c r="O136" s="200"/>
      <c r="P136" s="200"/>
      <c r="Q136" s="200"/>
      <c r="R136" s="200"/>
      <c r="S136" s="200"/>
      <c r="T136" s="200"/>
      <c r="U136" s="200"/>
      <c r="V136" s="200"/>
      <c r="W136" s="200"/>
      <c r="X136" s="200"/>
      <c r="Y136" s="200"/>
      <c r="Z136" s="200"/>
      <c r="AA136" s="200"/>
      <c r="AB136" s="200"/>
      <c r="AC136" s="200"/>
      <c r="AD136" s="200"/>
      <c r="AE136" s="200"/>
      <c r="AF136" s="200"/>
      <c r="AG136" s="200"/>
      <c r="AH136" s="200"/>
      <c r="AI136" s="200"/>
      <c r="AJ136" s="200"/>
      <c r="AK136" s="200"/>
      <c r="AL136" s="200"/>
      <c r="AM136" s="200"/>
      <c r="AN136" s="200"/>
      <c r="AO136" s="200"/>
      <c r="AP136" s="200"/>
      <c r="AQ136" s="200"/>
      <c r="AR136" s="200"/>
      <c r="AS136" s="200"/>
      <c r="AT136" s="200"/>
      <c r="AU136" s="200"/>
      <c r="AV136" s="200"/>
      <c r="AW136" s="200"/>
      <c r="AX136" s="200"/>
      <c r="AY136" s="200"/>
      <c r="AZ136" s="200"/>
      <c r="BA136" s="200"/>
      <c r="BB136" s="200"/>
      <c r="BC136" s="200"/>
      <c r="BD136" s="200"/>
      <c r="BE136" s="200"/>
      <c r="BF136" s="200"/>
      <c r="BG136" s="200"/>
      <c r="BH136" s="200"/>
      <c r="BI136" s="200"/>
      <c r="BJ136" s="200"/>
      <c r="BK136" s="200"/>
      <c r="BL136" s="200"/>
      <c r="BM136" s="200"/>
      <c r="BN136" s="200"/>
      <c r="BO136" s="200"/>
      <c r="BP136" s="200"/>
      <c r="BQ136" s="200"/>
      <c r="BR136" s="200"/>
      <c r="BS136" s="200"/>
      <c r="BT136" s="200"/>
      <c r="BU136" s="200"/>
      <c r="BV136" s="200"/>
      <c r="BW136" s="200"/>
      <c r="BX136" s="200"/>
      <c r="BY136" s="200"/>
      <c r="BZ136" s="200"/>
      <c r="CA136" s="200"/>
      <c r="CB136" s="200"/>
      <c r="CC136" s="200"/>
      <c r="CT136" s="233"/>
      <c r="CU136" s="233"/>
      <c r="CV136" s="233"/>
      <c r="CW136" s="233"/>
      <c r="CX136" s="233"/>
      <c r="CY136" s="233"/>
      <c r="CZ136" s="233"/>
      <c r="DA136" s="233"/>
      <c r="DB136" s="233"/>
      <c r="DC136" s="233"/>
      <c r="DD136" s="233"/>
      <c r="DE136" s="233"/>
      <c r="DF136" s="233"/>
      <c r="DG136" s="233"/>
      <c r="DH136" s="233"/>
      <c r="DI136" s="233"/>
      <c r="DJ136" s="233"/>
      <c r="DK136" s="233"/>
      <c r="DL136" s="233"/>
      <c r="DM136" s="233"/>
      <c r="DN136" s="233"/>
      <c r="DO136" s="233"/>
      <c r="DP136" s="233"/>
      <c r="DQ136" s="233"/>
      <c r="DR136" s="233"/>
      <c r="DS136" s="233"/>
      <c r="DT136" s="233"/>
      <c r="DU136" s="233"/>
      <c r="DV136" s="233"/>
      <c r="DW136" s="233"/>
      <c r="DX136" s="233"/>
      <c r="DY136" s="233"/>
      <c r="DZ136" s="233"/>
      <c r="EA136" s="233"/>
      <c r="EB136" s="233"/>
      <c r="EC136" s="233"/>
      <c r="ED136" s="233"/>
      <c r="EE136" s="233"/>
      <c r="EF136" s="233"/>
      <c r="EG136" s="233"/>
      <c r="EH136" s="233"/>
      <c r="EI136" s="233"/>
      <c r="EJ136" s="233"/>
      <c r="EK136" s="233"/>
      <c r="EL136" s="233"/>
      <c r="EM136" s="233"/>
      <c r="EN136" s="233"/>
      <c r="EO136" s="233"/>
      <c r="EP136" s="233"/>
      <c r="EQ136" s="233"/>
      <c r="ER136" s="233"/>
      <c r="ES136" s="233"/>
      <c r="ET136" s="233"/>
      <c r="EU136" s="233"/>
      <c r="EV136" s="233"/>
      <c r="EW136" s="233"/>
      <c r="EX136" s="233"/>
      <c r="EY136" s="233"/>
      <c r="EZ136" s="233"/>
      <c r="FA136" s="233"/>
      <c r="FB136" s="233"/>
      <c r="FC136" s="233"/>
      <c r="FD136" s="233"/>
      <c r="FE136" s="233"/>
      <c r="FF136" s="233"/>
      <c r="FG136" s="233"/>
      <c r="FH136" s="233"/>
      <c r="FI136" s="233"/>
      <c r="FJ136" s="233"/>
      <c r="FK136" s="233"/>
      <c r="FL136" s="233"/>
      <c r="FM136" s="233"/>
      <c r="FN136" s="233"/>
      <c r="FO136" s="233"/>
      <c r="FP136" s="233"/>
      <c r="FQ136" s="233"/>
      <c r="FR136" s="233"/>
    </row>
    <row r="137" spans="4:174" ht="10.15" customHeight="1">
      <c r="D137" s="200"/>
      <c r="E137" s="200"/>
      <c r="F137" s="200"/>
      <c r="G137" s="200"/>
      <c r="H137" s="200"/>
      <c r="I137" s="200"/>
      <c r="J137" s="200"/>
      <c r="K137" s="200"/>
      <c r="L137" s="200"/>
      <c r="M137" s="200"/>
      <c r="N137" s="200"/>
      <c r="O137" s="200"/>
      <c r="P137" s="200"/>
      <c r="Q137" s="200"/>
      <c r="R137" s="200"/>
      <c r="S137" s="200"/>
      <c r="T137" s="200"/>
      <c r="U137" s="200"/>
      <c r="V137" s="200"/>
      <c r="W137" s="200"/>
      <c r="X137" s="200"/>
      <c r="Y137" s="200"/>
      <c r="Z137" s="200"/>
      <c r="AA137" s="200"/>
      <c r="AB137" s="200"/>
      <c r="AC137" s="200"/>
      <c r="AD137" s="200"/>
      <c r="AE137" s="200"/>
      <c r="AF137" s="200"/>
      <c r="AG137" s="200"/>
      <c r="AH137" s="200"/>
      <c r="AI137" s="200"/>
      <c r="AJ137" s="200"/>
      <c r="AK137" s="200"/>
      <c r="AL137" s="200"/>
      <c r="AM137" s="200"/>
      <c r="AN137" s="200"/>
      <c r="AO137" s="200"/>
      <c r="AP137" s="200"/>
      <c r="AQ137" s="200"/>
      <c r="AR137" s="200"/>
      <c r="AS137" s="200"/>
      <c r="AT137" s="200"/>
      <c r="AU137" s="200"/>
      <c r="AV137" s="200"/>
      <c r="AW137" s="200"/>
      <c r="AX137" s="200"/>
      <c r="AY137" s="200"/>
      <c r="AZ137" s="200"/>
      <c r="BA137" s="200"/>
      <c r="BB137" s="200"/>
      <c r="BC137" s="200"/>
      <c r="BD137" s="200"/>
      <c r="BE137" s="200"/>
      <c r="BF137" s="200"/>
      <c r="BG137" s="200"/>
      <c r="BH137" s="200"/>
      <c r="BI137" s="200"/>
      <c r="BJ137" s="200"/>
      <c r="BK137" s="200"/>
      <c r="BL137" s="200"/>
      <c r="BM137" s="200"/>
      <c r="BN137" s="200"/>
      <c r="BO137" s="200"/>
      <c r="BP137" s="200"/>
      <c r="BQ137" s="200"/>
      <c r="BR137" s="200"/>
      <c r="BS137" s="200"/>
      <c r="BT137" s="200"/>
      <c r="BU137" s="200"/>
      <c r="BV137" s="200"/>
      <c r="BW137" s="200"/>
      <c r="BX137" s="200"/>
      <c r="BY137" s="200"/>
      <c r="BZ137" s="200"/>
      <c r="CA137" s="200"/>
      <c r="CB137" s="200"/>
      <c r="CC137" s="200"/>
      <c r="CT137" s="233"/>
      <c r="CU137" s="233"/>
      <c r="CV137" s="233"/>
      <c r="CW137" s="233"/>
      <c r="CX137" s="233"/>
      <c r="CY137" s="233"/>
      <c r="CZ137" s="233"/>
      <c r="DA137" s="233"/>
      <c r="DB137" s="233"/>
      <c r="DC137" s="233"/>
      <c r="DD137" s="233"/>
      <c r="DE137" s="233"/>
      <c r="DF137" s="233"/>
      <c r="DG137" s="233"/>
      <c r="DH137" s="233"/>
      <c r="DI137" s="233"/>
      <c r="DJ137" s="233"/>
      <c r="DK137" s="233"/>
      <c r="DL137" s="233"/>
      <c r="DM137" s="233"/>
      <c r="DN137" s="233"/>
      <c r="DO137" s="233"/>
      <c r="DP137" s="233"/>
      <c r="DQ137" s="233"/>
      <c r="DR137" s="233"/>
      <c r="DS137" s="233"/>
      <c r="DT137" s="233"/>
      <c r="DU137" s="233"/>
      <c r="DV137" s="233"/>
      <c r="DW137" s="233"/>
      <c r="DX137" s="233"/>
      <c r="DY137" s="233"/>
      <c r="DZ137" s="233"/>
      <c r="EA137" s="233"/>
      <c r="EB137" s="233"/>
      <c r="EC137" s="233"/>
      <c r="ED137" s="233"/>
      <c r="EE137" s="233"/>
      <c r="EF137" s="233"/>
      <c r="EG137" s="233"/>
      <c r="EH137" s="233"/>
      <c r="EI137" s="233"/>
      <c r="EJ137" s="233"/>
      <c r="EK137" s="233"/>
      <c r="EL137" s="233"/>
      <c r="EM137" s="233"/>
      <c r="EN137" s="233"/>
      <c r="EO137" s="233"/>
      <c r="EP137" s="233"/>
      <c r="EQ137" s="233"/>
      <c r="ER137" s="233"/>
      <c r="ES137" s="233"/>
      <c r="ET137" s="233"/>
      <c r="EU137" s="233"/>
      <c r="EV137" s="233"/>
      <c r="EW137" s="233"/>
      <c r="EX137" s="233"/>
      <c r="EY137" s="233"/>
      <c r="EZ137" s="233"/>
      <c r="FA137" s="233"/>
      <c r="FB137" s="233"/>
      <c r="FC137" s="233"/>
      <c r="FD137" s="233"/>
      <c r="FE137" s="233"/>
      <c r="FF137" s="233"/>
      <c r="FG137" s="233"/>
      <c r="FH137" s="233"/>
      <c r="FI137" s="233"/>
      <c r="FJ137" s="233"/>
      <c r="FK137" s="233"/>
      <c r="FL137" s="233"/>
      <c r="FM137" s="233"/>
      <c r="FN137" s="233"/>
      <c r="FO137" s="233"/>
      <c r="FP137" s="233"/>
      <c r="FQ137" s="233"/>
      <c r="FR137" s="233"/>
    </row>
    <row r="138" spans="4:174" ht="10.15" customHeight="1">
      <c r="D138" s="200"/>
      <c r="E138" s="200"/>
      <c r="F138" s="200"/>
      <c r="G138" s="200"/>
      <c r="H138" s="200"/>
      <c r="I138" s="200"/>
      <c r="J138" s="200"/>
      <c r="K138" s="200"/>
      <c r="L138" s="200"/>
      <c r="M138" s="200"/>
      <c r="N138" s="200"/>
      <c r="O138" s="200"/>
      <c r="P138" s="200"/>
      <c r="Q138" s="200"/>
      <c r="R138" s="200"/>
      <c r="S138" s="200"/>
      <c r="T138" s="200"/>
      <c r="U138" s="200"/>
      <c r="V138" s="200"/>
      <c r="W138" s="200"/>
      <c r="X138" s="200"/>
      <c r="Y138" s="200"/>
      <c r="Z138" s="200"/>
      <c r="AA138" s="200"/>
      <c r="AB138" s="200"/>
      <c r="AC138" s="200"/>
      <c r="AD138" s="200"/>
      <c r="AE138" s="200"/>
      <c r="AF138" s="200"/>
      <c r="AG138" s="200"/>
      <c r="AH138" s="200"/>
      <c r="AI138" s="200"/>
      <c r="AJ138" s="200"/>
      <c r="AK138" s="200"/>
      <c r="AL138" s="200"/>
      <c r="AM138" s="200"/>
      <c r="AN138" s="200"/>
      <c r="AO138" s="200"/>
      <c r="AP138" s="200"/>
      <c r="AQ138" s="200"/>
      <c r="AR138" s="200"/>
      <c r="AS138" s="200"/>
      <c r="AT138" s="200"/>
      <c r="AU138" s="200"/>
      <c r="AV138" s="200"/>
      <c r="AW138" s="200"/>
      <c r="AX138" s="200"/>
      <c r="AY138" s="200"/>
      <c r="AZ138" s="200"/>
      <c r="BA138" s="200"/>
      <c r="BB138" s="200"/>
      <c r="BC138" s="200"/>
      <c r="BD138" s="200"/>
      <c r="BE138" s="200"/>
      <c r="BF138" s="200"/>
      <c r="BG138" s="200"/>
      <c r="BH138" s="200"/>
      <c r="BI138" s="200"/>
      <c r="BJ138" s="200"/>
      <c r="BK138" s="200"/>
      <c r="BL138" s="200"/>
      <c r="BM138" s="200"/>
      <c r="BN138" s="200"/>
      <c r="BO138" s="200"/>
      <c r="BP138" s="200"/>
      <c r="BQ138" s="200"/>
      <c r="BR138" s="200"/>
      <c r="BS138" s="200"/>
      <c r="BT138" s="200"/>
      <c r="BU138" s="200"/>
      <c r="BV138" s="200"/>
      <c r="BW138" s="200"/>
      <c r="BX138" s="200"/>
      <c r="BY138" s="200"/>
      <c r="BZ138" s="200"/>
      <c r="CA138" s="200"/>
      <c r="CB138" s="200"/>
      <c r="CC138" s="200"/>
      <c r="CT138" s="233"/>
      <c r="CU138" s="233"/>
      <c r="CV138" s="233"/>
      <c r="CW138" s="233"/>
      <c r="CX138" s="233"/>
      <c r="CY138" s="233"/>
      <c r="CZ138" s="233"/>
      <c r="DA138" s="233"/>
      <c r="DB138" s="233"/>
      <c r="DC138" s="233"/>
      <c r="DD138" s="233"/>
      <c r="DE138" s="233"/>
      <c r="DF138" s="233"/>
      <c r="DG138" s="233"/>
      <c r="DH138" s="233"/>
      <c r="DI138" s="233"/>
      <c r="DJ138" s="233"/>
      <c r="DK138" s="233"/>
      <c r="DL138" s="233"/>
      <c r="DM138" s="233"/>
      <c r="DN138" s="233"/>
      <c r="DO138" s="233"/>
      <c r="DP138" s="233"/>
      <c r="DQ138" s="233"/>
      <c r="DR138" s="233"/>
      <c r="DS138" s="233"/>
      <c r="DT138" s="233"/>
      <c r="DU138" s="233"/>
      <c r="DV138" s="233"/>
      <c r="DW138" s="233"/>
      <c r="DX138" s="233"/>
      <c r="DY138" s="233"/>
      <c r="DZ138" s="233"/>
      <c r="EA138" s="233"/>
      <c r="EB138" s="233"/>
      <c r="EC138" s="233"/>
      <c r="ED138" s="233"/>
      <c r="EE138" s="233"/>
      <c r="EF138" s="233"/>
      <c r="EG138" s="233"/>
      <c r="EH138" s="233"/>
      <c r="EI138" s="233"/>
      <c r="EJ138" s="233"/>
      <c r="EK138" s="233"/>
      <c r="EL138" s="233"/>
      <c r="EM138" s="233"/>
      <c r="EN138" s="233"/>
      <c r="EO138" s="233"/>
      <c r="EP138" s="233"/>
      <c r="EQ138" s="233"/>
      <c r="ER138" s="233"/>
      <c r="ES138" s="233"/>
      <c r="ET138" s="233"/>
      <c r="EU138" s="233"/>
      <c r="EV138" s="233"/>
      <c r="EW138" s="233"/>
      <c r="EX138" s="233"/>
      <c r="EY138" s="233"/>
      <c r="EZ138" s="233"/>
      <c r="FA138" s="233"/>
      <c r="FB138" s="233"/>
      <c r="FC138" s="233"/>
      <c r="FD138" s="233"/>
      <c r="FE138" s="233"/>
      <c r="FF138" s="233"/>
      <c r="FG138" s="233"/>
      <c r="FH138" s="233"/>
      <c r="FI138" s="233"/>
      <c r="FJ138" s="233"/>
      <c r="FK138" s="233"/>
      <c r="FL138" s="233"/>
      <c r="FM138" s="233"/>
      <c r="FN138" s="233"/>
      <c r="FO138" s="233"/>
      <c r="FP138" s="233"/>
      <c r="FQ138" s="233"/>
      <c r="FR138" s="233"/>
    </row>
    <row r="139" spans="4:174" ht="10.15" customHeight="1">
      <c r="D139" s="200"/>
      <c r="E139" s="200"/>
      <c r="F139" s="200"/>
      <c r="G139" s="200"/>
      <c r="H139" s="200"/>
      <c r="I139" s="200"/>
      <c r="J139" s="200"/>
      <c r="K139" s="200"/>
      <c r="L139" s="200"/>
      <c r="M139" s="200"/>
      <c r="N139" s="200"/>
      <c r="O139" s="200"/>
      <c r="P139" s="200"/>
      <c r="Q139" s="200"/>
      <c r="R139" s="200"/>
      <c r="S139" s="200"/>
      <c r="T139" s="200"/>
      <c r="U139" s="200"/>
      <c r="V139" s="200"/>
      <c r="W139" s="200"/>
      <c r="X139" s="200"/>
      <c r="Y139" s="200"/>
      <c r="Z139" s="200"/>
      <c r="AA139" s="200"/>
      <c r="AB139" s="200"/>
      <c r="AC139" s="200"/>
      <c r="AD139" s="200"/>
      <c r="AE139" s="200"/>
      <c r="AF139" s="200"/>
      <c r="AG139" s="200"/>
      <c r="AH139" s="200"/>
      <c r="AI139" s="200"/>
      <c r="AJ139" s="200"/>
      <c r="AK139" s="200"/>
      <c r="AL139" s="200"/>
      <c r="AM139" s="200"/>
      <c r="AN139" s="200"/>
      <c r="AO139" s="200"/>
      <c r="AP139" s="200"/>
      <c r="AQ139" s="200"/>
      <c r="AR139" s="200"/>
      <c r="AS139" s="200"/>
      <c r="AT139" s="200"/>
      <c r="AU139" s="200"/>
      <c r="AV139" s="200"/>
      <c r="AW139" s="200"/>
      <c r="AX139" s="200"/>
      <c r="AY139" s="200"/>
      <c r="AZ139" s="200"/>
      <c r="BA139" s="200"/>
      <c r="BB139" s="200"/>
      <c r="BC139" s="200"/>
      <c r="BD139" s="200"/>
      <c r="BE139" s="200"/>
      <c r="BF139" s="200"/>
      <c r="BG139" s="200"/>
      <c r="BH139" s="200"/>
      <c r="BI139" s="200"/>
      <c r="BJ139" s="200"/>
      <c r="BK139" s="200"/>
      <c r="BL139" s="200"/>
      <c r="BM139" s="200"/>
      <c r="BN139" s="200"/>
      <c r="BO139" s="200"/>
      <c r="BP139" s="200"/>
      <c r="BQ139" s="200"/>
      <c r="BR139" s="200"/>
      <c r="BS139" s="200"/>
      <c r="BT139" s="200"/>
      <c r="BU139" s="200"/>
      <c r="BV139" s="200"/>
      <c r="BW139" s="200"/>
      <c r="BX139" s="200"/>
      <c r="BY139" s="200"/>
      <c r="BZ139" s="200"/>
      <c r="CA139" s="200"/>
      <c r="CB139" s="200"/>
      <c r="CC139" s="200"/>
      <c r="CT139" s="233"/>
      <c r="CU139" s="233"/>
      <c r="CV139" s="233"/>
      <c r="CW139" s="233"/>
      <c r="CX139" s="233"/>
      <c r="CY139" s="233"/>
      <c r="CZ139" s="233"/>
      <c r="DA139" s="233"/>
      <c r="DB139" s="233"/>
      <c r="DC139" s="233"/>
      <c r="DD139" s="233"/>
      <c r="DE139" s="233"/>
      <c r="DF139" s="233"/>
      <c r="DG139" s="233"/>
      <c r="DH139" s="233"/>
      <c r="DI139" s="233"/>
      <c r="DJ139" s="233"/>
      <c r="DK139" s="233"/>
      <c r="DL139" s="233"/>
      <c r="DM139" s="233"/>
      <c r="DN139" s="233"/>
      <c r="DO139" s="233"/>
      <c r="DP139" s="233"/>
      <c r="DQ139" s="233"/>
      <c r="DR139" s="233"/>
      <c r="DS139" s="233"/>
      <c r="DT139" s="233"/>
      <c r="DU139" s="233"/>
      <c r="DV139" s="233"/>
      <c r="DW139" s="233"/>
      <c r="DX139" s="233"/>
      <c r="DY139" s="233"/>
      <c r="DZ139" s="233"/>
      <c r="EA139" s="233"/>
      <c r="EB139" s="233"/>
      <c r="EC139" s="233"/>
      <c r="ED139" s="233"/>
      <c r="EE139" s="233"/>
      <c r="EF139" s="233"/>
      <c r="EG139" s="233"/>
      <c r="EH139" s="233"/>
      <c r="EI139" s="233"/>
      <c r="EJ139" s="233"/>
      <c r="EK139" s="233"/>
      <c r="EL139" s="233"/>
      <c r="EM139" s="233"/>
      <c r="EN139" s="233"/>
      <c r="EO139" s="233"/>
      <c r="EP139" s="233"/>
      <c r="EQ139" s="233"/>
      <c r="ER139" s="233"/>
      <c r="ES139" s="233"/>
      <c r="ET139" s="233"/>
      <c r="EU139" s="233"/>
      <c r="EV139" s="233"/>
      <c r="EW139" s="233"/>
      <c r="EX139" s="233"/>
      <c r="EY139" s="233"/>
      <c r="EZ139" s="233"/>
      <c r="FA139" s="233"/>
      <c r="FB139" s="233"/>
      <c r="FC139" s="233"/>
      <c r="FD139" s="233"/>
      <c r="FE139" s="233"/>
      <c r="FF139" s="233"/>
      <c r="FG139" s="233"/>
      <c r="FH139" s="233"/>
      <c r="FI139" s="233"/>
      <c r="FJ139" s="233"/>
      <c r="FK139" s="233"/>
      <c r="FL139" s="233"/>
      <c r="FM139" s="233"/>
      <c r="FN139" s="233"/>
      <c r="FO139" s="233"/>
      <c r="FP139" s="233"/>
      <c r="FQ139" s="233"/>
      <c r="FR139" s="233"/>
    </row>
    <row r="140" spans="4:174" ht="10.15" customHeight="1">
      <c r="D140" s="200"/>
      <c r="E140" s="200"/>
      <c r="F140" s="200"/>
      <c r="G140" s="200"/>
      <c r="H140" s="200"/>
      <c r="I140" s="200"/>
      <c r="J140" s="200"/>
      <c r="K140" s="200"/>
      <c r="L140" s="200"/>
      <c r="M140" s="200"/>
      <c r="N140" s="200"/>
      <c r="O140" s="200"/>
      <c r="P140" s="200"/>
      <c r="Q140" s="200"/>
      <c r="R140" s="200"/>
      <c r="S140" s="200"/>
      <c r="T140" s="200"/>
      <c r="U140" s="200"/>
      <c r="V140" s="200"/>
      <c r="W140" s="200"/>
      <c r="X140" s="200"/>
      <c r="Y140" s="200"/>
      <c r="Z140" s="200"/>
      <c r="AA140" s="200"/>
      <c r="AB140" s="200"/>
      <c r="AC140" s="200"/>
      <c r="AD140" s="200"/>
      <c r="AE140" s="200"/>
      <c r="AF140" s="200"/>
      <c r="AG140" s="200"/>
      <c r="AH140" s="200"/>
      <c r="AI140" s="200"/>
      <c r="AJ140" s="200"/>
      <c r="AK140" s="200"/>
      <c r="AL140" s="200"/>
      <c r="AM140" s="200"/>
      <c r="AN140" s="200"/>
      <c r="AO140" s="200"/>
      <c r="AP140" s="200"/>
      <c r="AQ140" s="200"/>
      <c r="AR140" s="200"/>
      <c r="AS140" s="200"/>
      <c r="AT140" s="200"/>
      <c r="AU140" s="200"/>
      <c r="AV140" s="200"/>
      <c r="AW140" s="200"/>
      <c r="AX140" s="200"/>
      <c r="AY140" s="200"/>
      <c r="AZ140" s="200"/>
      <c r="BA140" s="200"/>
      <c r="BB140" s="200"/>
      <c r="BC140" s="200"/>
      <c r="BD140" s="200"/>
      <c r="BE140" s="200"/>
      <c r="BF140" s="200"/>
      <c r="BG140" s="200"/>
      <c r="BH140" s="200"/>
      <c r="BI140" s="200"/>
      <c r="BJ140" s="200"/>
      <c r="BK140" s="200"/>
      <c r="BL140" s="200"/>
      <c r="BM140" s="200"/>
      <c r="BN140" s="200"/>
      <c r="BO140" s="200"/>
      <c r="BP140" s="200"/>
      <c r="BQ140" s="200"/>
      <c r="BR140" s="200"/>
      <c r="BS140" s="200"/>
      <c r="BT140" s="200"/>
      <c r="BU140" s="200"/>
      <c r="BV140" s="200"/>
      <c r="BW140" s="200"/>
      <c r="BX140" s="200"/>
      <c r="BY140" s="200"/>
      <c r="BZ140" s="200"/>
      <c r="CA140" s="200"/>
      <c r="CB140" s="200"/>
      <c r="CC140" s="200"/>
      <c r="CT140" s="233"/>
      <c r="CU140" s="233"/>
      <c r="CV140" s="233"/>
      <c r="CW140" s="233"/>
      <c r="CX140" s="233"/>
      <c r="CY140" s="233"/>
      <c r="CZ140" s="233"/>
      <c r="DA140" s="233"/>
      <c r="DB140" s="233"/>
      <c r="DC140" s="233"/>
      <c r="DD140" s="233"/>
      <c r="DE140" s="233"/>
      <c r="DF140" s="233"/>
      <c r="DG140" s="233"/>
      <c r="DH140" s="233"/>
      <c r="DI140" s="233"/>
      <c r="DJ140" s="233"/>
      <c r="DK140" s="233"/>
      <c r="DL140" s="233"/>
      <c r="DM140" s="233"/>
      <c r="DN140" s="233"/>
      <c r="DO140" s="233"/>
      <c r="DP140" s="233"/>
      <c r="DQ140" s="233"/>
      <c r="DR140" s="233"/>
      <c r="DS140" s="233"/>
      <c r="DT140" s="233"/>
      <c r="DU140" s="233"/>
      <c r="DV140" s="233"/>
      <c r="DW140" s="233"/>
      <c r="DX140" s="233"/>
      <c r="DY140" s="233"/>
      <c r="DZ140" s="233"/>
      <c r="EA140" s="233"/>
      <c r="EB140" s="233"/>
      <c r="EC140" s="233"/>
      <c r="ED140" s="233"/>
      <c r="EE140" s="233"/>
      <c r="EF140" s="233"/>
      <c r="EG140" s="233"/>
      <c r="EH140" s="233"/>
      <c r="EI140" s="233"/>
      <c r="EJ140" s="233"/>
      <c r="EK140" s="233"/>
      <c r="EL140" s="233"/>
      <c r="EM140" s="233"/>
      <c r="EN140" s="233"/>
      <c r="EO140" s="233"/>
      <c r="EP140" s="233"/>
      <c r="EQ140" s="233"/>
      <c r="ER140" s="233"/>
      <c r="ES140" s="233"/>
      <c r="ET140" s="233"/>
      <c r="EU140" s="233"/>
      <c r="EV140" s="233"/>
      <c r="EW140" s="233"/>
      <c r="EX140" s="233"/>
      <c r="EY140" s="233"/>
      <c r="EZ140" s="233"/>
      <c r="FA140" s="233"/>
      <c r="FB140" s="233"/>
      <c r="FC140" s="233"/>
      <c r="FD140" s="233"/>
      <c r="FE140" s="233"/>
      <c r="FF140" s="233"/>
      <c r="FG140" s="233"/>
      <c r="FH140" s="233"/>
      <c r="FI140" s="233"/>
      <c r="FJ140" s="233"/>
      <c r="FK140" s="233"/>
      <c r="FL140" s="233"/>
      <c r="FM140" s="233"/>
      <c r="FN140" s="233"/>
      <c r="FO140" s="233"/>
      <c r="FP140" s="233"/>
      <c r="FQ140" s="233"/>
      <c r="FR140" s="233"/>
    </row>
    <row r="141" spans="4:174" ht="10.15" customHeight="1">
      <c r="D141" s="198"/>
      <c r="E141" s="198"/>
      <c r="F141" s="198"/>
      <c r="G141" s="198"/>
      <c r="H141" s="198"/>
      <c r="I141" s="198"/>
      <c r="J141" s="198"/>
      <c r="K141" s="198"/>
      <c r="L141" s="198"/>
      <c r="M141" s="198"/>
      <c r="N141" s="198"/>
      <c r="O141" s="198"/>
      <c r="P141" s="198"/>
      <c r="Q141" s="198"/>
      <c r="R141" s="198"/>
      <c r="S141" s="198"/>
      <c r="T141" s="198"/>
      <c r="U141" s="198"/>
      <c r="V141" s="198"/>
      <c r="W141" s="198"/>
      <c r="X141" s="198"/>
      <c r="Y141" s="198"/>
      <c r="Z141" s="198"/>
      <c r="AA141" s="198"/>
      <c r="AB141" s="198"/>
      <c r="AC141" s="198"/>
      <c r="AD141" s="198"/>
      <c r="AE141" s="198"/>
      <c r="AF141" s="198"/>
      <c r="AG141" s="198"/>
      <c r="AH141" s="198"/>
      <c r="AI141" s="198"/>
      <c r="AJ141" s="198"/>
      <c r="AK141" s="198"/>
      <c r="AL141" s="198"/>
      <c r="AM141" s="198"/>
      <c r="AN141" s="198"/>
      <c r="AO141" s="198"/>
      <c r="AP141" s="198"/>
      <c r="AQ141" s="198"/>
      <c r="AR141" s="198"/>
      <c r="AS141" s="198"/>
      <c r="AT141" s="198"/>
      <c r="AU141" s="198"/>
      <c r="AV141" s="198"/>
      <c r="AW141" s="198"/>
      <c r="AX141" s="198"/>
      <c r="AY141" s="198"/>
      <c r="AZ141" s="198"/>
      <c r="BA141" s="198"/>
      <c r="BB141" s="198"/>
      <c r="BC141" s="198"/>
      <c r="BD141" s="198"/>
      <c r="BE141" s="198"/>
      <c r="BF141" s="198"/>
      <c r="BG141" s="198"/>
      <c r="BH141" s="198"/>
      <c r="BI141" s="198"/>
      <c r="BJ141" s="198"/>
      <c r="BK141" s="198"/>
      <c r="BL141" s="198"/>
      <c r="BM141" s="198"/>
      <c r="BN141" s="198"/>
      <c r="BO141" s="198"/>
      <c r="BP141" s="198"/>
      <c r="BQ141" s="198"/>
      <c r="BR141" s="198"/>
      <c r="BS141" s="198"/>
      <c r="BT141" s="198"/>
      <c r="BU141" s="198"/>
      <c r="BV141" s="198"/>
      <c r="BW141" s="198"/>
      <c r="BX141" s="198"/>
      <c r="BY141" s="198"/>
      <c r="BZ141" s="198"/>
      <c r="CA141" s="198"/>
      <c r="CB141" s="198"/>
      <c r="CC141" s="198"/>
      <c r="CT141" s="233"/>
      <c r="CU141" s="233"/>
      <c r="CV141" s="233"/>
      <c r="CW141" s="233"/>
      <c r="CX141" s="233"/>
      <c r="CY141" s="233"/>
      <c r="CZ141" s="233"/>
      <c r="DA141" s="233"/>
      <c r="DB141" s="233"/>
      <c r="DC141" s="233"/>
      <c r="DD141" s="233"/>
      <c r="DE141" s="233"/>
      <c r="DF141" s="233"/>
      <c r="DG141" s="233"/>
      <c r="DH141" s="233"/>
      <c r="DI141" s="233"/>
      <c r="DJ141" s="233"/>
      <c r="DK141" s="233"/>
      <c r="DL141" s="233"/>
      <c r="DM141" s="233"/>
      <c r="DN141" s="233"/>
      <c r="DO141" s="233"/>
      <c r="DP141" s="233"/>
      <c r="DQ141" s="233"/>
      <c r="DR141" s="233"/>
      <c r="DS141" s="233"/>
      <c r="DT141" s="233"/>
      <c r="DU141" s="233"/>
      <c r="DV141" s="233"/>
      <c r="DW141" s="233"/>
      <c r="DX141" s="233"/>
      <c r="DY141" s="233"/>
      <c r="DZ141" s="233"/>
      <c r="EA141" s="233"/>
      <c r="EB141" s="233"/>
      <c r="EC141" s="233"/>
      <c r="ED141" s="233"/>
      <c r="EE141" s="233"/>
      <c r="EF141" s="233"/>
      <c r="EG141" s="233"/>
      <c r="EH141" s="233"/>
      <c r="EI141" s="233"/>
      <c r="EJ141" s="233"/>
      <c r="EK141" s="233"/>
      <c r="EL141" s="233"/>
      <c r="EM141" s="233"/>
      <c r="EN141" s="233"/>
      <c r="EO141" s="233"/>
      <c r="EP141" s="233"/>
      <c r="EQ141" s="233"/>
      <c r="ER141" s="233"/>
      <c r="ES141" s="233"/>
      <c r="ET141" s="233"/>
      <c r="EU141" s="233"/>
      <c r="EV141" s="233"/>
      <c r="EW141" s="233"/>
      <c r="EX141" s="233"/>
      <c r="EY141" s="233"/>
      <c r="EZ141" s="233"/>
      <c r="FA141" s="233"/>
      <c r="FB141" s="233"/>
      <c r="FC141" s="233"/>
      <c r="FD141" s="233"/>
      <c r="FE141" s="233"/>
      <c r="FF141" s="233"/>
      <c r="FG141" s="233"/>
      <c r="FH141" s="233"/>
      <c r="FI141" s="233"/>
      <c r="FJ141" s="233"/>
      <c r="FK141" s="233"/>
      <c r="FL141" s="233"/>
      <c r="FM141" s="233"/>
      <c r="FN141" s="233"/>
      <c r="FO141" s="233"/>
      <c r="FP141" s="233"/>
      <c r="FQ141" s="233"/>
      <c r="FR141" s="233"/>
    </row>
    <row r="142" spans="4:174" ht="10.15" customHeight="1">
      <c r="D142" s="198"/>
      <c r="E142" s="198"/>
      <c r="F142" s="198"/>
      <c r="G142" s="198"/>
      <c r="H142" s="198"/>
      <c r="I142" s="198"/>
      <c r="J142" s="198"/>
      <c r="K142" s="198"/>
      <c r="L142" s="198"/>
      <c r="M142" s="198"/>
      <c r="N142" s="198"/>
      <c r="O142" s="198"/>
      <c r="P142" s="198"/>
      <c r="Q142" s="198"/>
      <c r="R142" s="198"/>
      <c r="S142" s="198"/>
      <c r="T142" s="198"/>
      <c r="U142" s="198"/>
      <c r="V142" s="198"/>
      <c r="W142" s="198"/>
      <c r="X142" s="198"/>
      <c r="Y142" s="198"/>
      <c r="Z142" s="198"/>
      <c r="AA142" s="198"/>
      <c r="AB142" s="198"/>
      <c r="AC142" s="198"/>
      <c r="AD142" s="198"/>
      <c r="AE142" s="198"/>
      <c r="AF142" s="198"/>
      <c r="AG142" s="198"/>
      <c r="AH142" s="198"/>
      <c r="AI142" s="198"/>
      <c r="AJ142" s="198"/>
      <c r="AK142" s="198"/>
      <c r="AL142" s="198"/>
      <c r="AM142" s="198"/>
      <c r="AN142" s="198"/>
      <c r="AO142" s="198"/>
      <c r="AP142" s="198"/>
      <c r="AQ142" s="198"/>
      <c r="AR142" s="198"/>
      <c r="AS142" s="198"/>
      <c r="AT142" s="198"/>
      <c r="AU142" s="198"/>
      <c r="AV142" s="198"/>
      <c r="AW142" s="198"/>
      <c r="AX142" s="198"/>
      <c r="AY142" s="198"/>
      <c r="AZ142" s="198"/>
      <c r="BA142" s="198"/>
      <c r="BB142" s="198"/>
      <c r="BC142" s="198"/>
      <c r="BD142" s="198"/>
      <c r="BE142" s="198"/>
      <c r="BF142" s="198"/>
      <c r="BG142" s="198"/>
      <c r="BH142" s="198"/>
      <c r="BI142" s="198"/>
      <c r="BJ142" s="198"/>
      <c r="BK142" s="198"/>
      <c r="BL142" s="198"/>
      <c r="BM142" s="198"/>
      <c r="BN142" s="198"/>
      <c r="BO142" s="198"/>
      <c r="BP142" s="198"/>
      <c r="BQ142" s="198"/>
      <c r="BR142" s="198"/>
      <c r="BS142" s="198"/>
      <c r="BT142" s="198"/>
      <c r="BU142" s="198"/>
      <c r="BV142" s="198"/>
      <c r="BW142" s="198"/>
      <c r="BX142" s="198"/>
      <c r="BY142" s="198"/>
      <c r="BZ142" s="198"/>
      <c r="CA142" s="198"/>
      <c r="CB142" s="198"/>
      <c r="CC142" s="198"/>
      <c r="CT142" s="233"/>
      <c r="CU142" s="233"/>
      <c r="CV142" s="233"/>
      <c r="CW142" s="233"/>
      <c r="CX142" s="233"/>
      <c r="CY142" s="233"/>
      <c r="CZ142" s="233"/>
      <c r="DA142" s="233"/>
      <c r="DB142" s="233"/>
      <c r="DC142" s="233"/>
      <c r="DD142" s="233"/>
      <c r="DE142" s="233"/>
      <c r="DF142" s="233"/>
      <c r="DG142" s="233"/>
      <c r="DH142" s="233"/>
      <c r="DI142" s="233"/>
      <c r="DJ142" s="233"/>
      <c r="DK142" s="233"/>
      <c r="DL142" s="233"/>
      <c r="DM142" s="233"/>
      <c r="DN142" s="233"/>
      <c r="DO142" s="233"/>
      <c r="DP142" s="233"/>
      <c r="DQ142" s="233"/>
      <c r="DR142" s="233"/>
      <c r="DS142" s="233"/>
      <c r="DT142" s="233"/>
      <c r="DU142" s="233"/>
      <c r="DV142" s="233"/>
      <c r="DW142" s="233"/>
      <c r="DX142" s="233"/>
      <c r="DY142" s="233"/>
      <c r="DZ142" s="233"/>
      <c r="EA142" s="233"/>
      <c r="EB142" s="233"/>
      <c r="EC142" s="233"/>
      <c r="ED142" s="233"/>
      <c r="EE142" s="233"/>
      <c r="EF142" s="233"/>
      <c r="EG142" s="233"/>
      <c r="EH142" s="233"/>
      <c r="EI142" s="233"/>
      <c r="EJ142" s="233"/>
      <c r="EK142" s="233"/>
      <c r="EL142" s="233"/>
      <c r="EM142" s="233"/>
      <c r="EN142" s="233"/>
      <c r="EO142" s="233"/>
      <c r="EP142" s="233"/>
      <c r="EQ142" s="233"/>
      <c r="ER142" s="233"/>
      <c r="ES142" s="233"/>
      <c r="ET142" s="233"/>
      <c r="EU142" s="233"/>
      <c r="EV142" s="233"/>
      <c r="EW142" s="233"/>
      <c r="EX142" s="233"/>
      <c r="EY142" s="233"/>
      <c r="EZ142" s="233"/>
      <c r="FA142" s="233"/>
      <c r="FB142" s="233"/>
      <c r="FC142" s="233"/>
      <c r="FD142" s="233"/>
      <c r="FE142" s="233"/>
      <c r="FF142" s="233"/>
      <c r="FG142" s="233"/>
      <c r="FH142" s="233"/>
      <c r="FI142" s="233"/>
      <c r="FJ142" s="233"/>
      <c r="FK142" s="233"/>
      <c r="FL142" s="233"/>
      <c r="FM142" s="233"/>
      <c r="FN142" s="233"/>
      <c r="FO142" s="233"/>
      <c r="FP142" s="233"/>
      <c r="FQ142" s="233"/>
      <c r="FR142" s="233"/>
    </row>
    <row r="143" spans="4:174" ht="10.15" customHeight="1">
      <c r="D143" s="198"/>
      <c r="E143" s="198"/>
      <c r="F143" s="198"/>
      <c r="G143" s="198"/>
      <c r="H143" s="198"/>
      <c r="I143" s="198"/>
      <c r="J143" s="198"/>
      <c r="K143" s="198"/>
      <c r="L143" s="198"/>
      <c r="M143" s="198"/>
      <c r="N143" s="198"/>
      <c r="O143" s="198"/>
      <c r="P143" s="198"/>
      <c r="Q143" s="198"/>
      <c r="R143" s="198"/>
      <c r="S143" s="198"/>
      <c r="T143" s="198"/>
      <c r="U143" s="198"/>
      <c r="V143" s="198"/>
      <c r="W143" s="198"/>
      <c r="X143" s="198"/>
      <c r="Y143" s="198"/>
      <c r="Z143" s="198"/>
      <c r="AA143" s="198"/>
      <c r="AB143" s="198"/>
      <c r="AC143" s="198"/>
      <c r="AD143" s="198"/>
      <c r="AE143" s="198"/>
      <c r="AF143" s="198"/>
      <c r="AG143" s="198"/>
      <c r="AH143" s="198"/>
      <c r="AI143" s="198"/>
      <c r="AJ143" s="198"/>
      <c r="AK143" s="198"/>
      <c r="AL143" s="198"/>
      <c r="AM143" s="198"/>
      <c r="AN143" s="198"/>
      <c r="AO143" s="198"/>
      <c r="AP143" s="198"/>
      <c r="AQ143" s="198"/>
      <c r="AR143" s="198"/>
      <c r="AS143" s="198"/>
      <c r="AT143" s="198"/>
      <c r="AU143" s="198"/>
      <c r="AV143" s="198"/>
      <c r="AW143" s="198"/>
      <c r="AX143" s="198"/>
      <c r="AY143" s="198"/>
      <c r="AZ143" s="198"/>
      <c r="BA143" s="198"/>
      <c r="BB143" s="198"/>
      <c r="BC143" s="198"/>
      <c r="BD143" s="198"/>
      <c r="BE143" s="198"/>
      <c r="BF143" s="198"/>
      <c r="BG143" s="198"/>
      <c r="BH143" s="198"/>
      <c r="BI143" s="198"/>
      <c r="BJ143" s="198"/>
      <c r="BK143" s="198"/>
      <c r="BL143" s="198"/>
      <c r="BM143" s="198"/>
      <c r="BN143" s="198"/>
      <c r="BO143" s="198"/>
      <c r="BP143" s="198"/>
      <c r="BQ143" s="198"/>
      <c r="BR143" s="198"/>
      <c r="BS143" s="198"/>
      <c r="BT143" s="198"/>
      <c r="BU143" s="198"/>
      <c r="BV143" s="198"/>
      <c r="BW143" s="198"/>
      <c r="BX143" s="198"/>
      <c r="BY143" s="198"/>
      <c r="BZ143" s="198"/>
      <c r="CA143" s="198"/>
      <c r="CB143" s="198"/>
      <c r="CC143" s="198"/>
      <c r="CT143" s="233"/>
      <c r="CU143" s="233"/>
      <c r="CV143" s="233"/>
      <c r="CW143" s="233"/>
      <c r="CX143" s="233"/>
      <c r="CY143" s="233"/>
      <c r="CZ143" s="233"/>
      <c r="DA143" s="233"/>
      <c r="DB143" s="233"/>
      <c r="DC143" s="233"/>
      <c r="DD143" s="233"/>
      <c r="DE143" s="233"/>
      <c r="DF143" s="233"/>
      <c r="DG143" s="233"/>
      <c r="DH143" s="233"/>
      <c r="DI143" s="233"/>
      <c r="DJ143" s="233"/>
      <c r="DK143" s="233"/>
      <c r="DL143" s="233"/>
      <c r="DM143" s="233"/>
      <c r="DN143" s="233"/>
      <c r="DO143" s="233"/>
      <c r="DP143" s="233"/>
      <c r="DQ143" s="233"/>
      <c r="DR143" s="233"/>
      <c r="DS143" s="233"/>
      <c r="DT143" s="233"/>
      <c r="DU143" s="233"/>
      <c r="DV143" s="233"/>
      <c r="DW143" s="233"/>
      <c r="DX143" s="233"/>
      <c r="DY143" s="233"/>
      <c r="DZ143" s="233"/>
      <c r="EA143" s="233"/>
      <c r="EB143" s="233"/>
      <c r="EC143" s="233"/>
      <c r="ED143" s="233"/>
      <c r="EE143" s="233"/>
      <c r="EF143" s="233"/>
      <c r="EG143" s="233"/>
      <c r="EH143" s="233"/>
      <c r="EI143" s="233"/>
      <c r="EJ143" s="233"/>
      <c r="EK143" s="233"/>
      <c r="EL143" s="233"/>
      <c r="EM143" s="233"/>
      <c r="EN143" s="233"/>
      <c r="EO143" s="233"/>
      <c r="EP143" s="233"/>
      <c r="EQ143" s="233"/>
      <c r="ER143" s="233"/>
      <c r="ES143" s="233"/>
      <c r="ET143" s="233"/>
      <c r="EU143" s="233"/>
      <c r="EV143" s="233"/>
      <c r="EW143" s="233"/>
      <c r="EX143" s="233"/>
      <c r="EY143" s="233"/>
      <c r="EZ143" s="233"/>
      <c r="FA143" s="233"/>
      <c r="FB143" s="233"/>
      <c r="FC143" s="233"/>
      <c r="FD143" s="233"/>
      <c r="FE143" s="233"/>
      <c r="FF143" s="233"/>
      <c r="FG143" s="233"/>
      <c r="FH143" s="233"/>
      <c r="FI143" s="233"/>
      <c r="FJ143" s="233"/>
      <c r="FK143" s="233"/>
      <c r="FL143" s="233"/>
      <c r="FM143" s="233"/>
      <c r="FN143" s="233"/>
      <c r="FO143" s="233"/>
      <c r="FP143" s="233"/>
      <c r="FQ143" s="233"/>
      <c r="FR143" s="233"/>
    </row>
    <row r="144" spans="4:174" ht="10.15" customHeight="1">
      <c r="D144" s="257"/>
      <c r="E144" s="257"/>
      <c r="F144" s="257"/>
      <c r="G144" s="257"/>
      <c r="H144" s="257"/>
      <c r="I144" s="257"/>
      <c r="J144" s="257"/>
      <c r="K144" s="257"/>
      <c r="L144" s="257"/>
      <c r="M144" s="257"/>
      <c r="N144" s="257"/>
      <c r="O144" s="257"/>
      <c r="P144" s="257"/>
      <c r="Q144" s="257"/>
      <c r="R144" s="257"/>
      <c r="S144" s="257"/>
      <c r="T144" s="257"/>
      <c r="U144" s="257"/>
      <c r="V144" s="257"/>
      <c r="W144" s="257"/>
      <c r="X144" s="257"/>
      <c r="Y144" s="257"/>
      <c r="Z144" s="257"/>
      <c r="AA144" s="257"/>
      <c r="AB144" s="257"/>
      <c r="AC144" s="257"/>
      <c r="AD144" s="257"/>
      <c r="AE144" s="257"/>
      <c r="AF144" s="257"/>
      <c r="AG144" s="257"/>
      <c r="AH144" s="257"/>
      <c r="AI144" s="257"/>
      <c r="AJ144" s="257"/>
      <c r="AK144" s="257"/>
      <c r="AL144" s="257"/>
      <c r="AM144" s="257"/>
      <c r="AN144" s="257"/>
      <c r="AO144" s="257"/>
      <c r="AP144" s="257"/>
      <c r="AQ144" s="257"/>
      <c r="AR144" s="257"/>
      <c r="AS144" s="257"/>
      <c r="AT144" s="257"/>
      <c r="AU144" s="257"/>
      <c r="AV144" s="257"/>
      <c r="AW144" s="257"/>
      <c r="AX144" s="257"/>
      <c r="AY144" s="257"/>
      <c r="AZ144" s="257"/>
      <c r="BA144" s="257"/>
      <c r="BB144" s="257"/>
      <c r="BC144" s="257"/>
      <c r="BD144" s="257"/>
      <c r="BE144" s="257"/>
      <c r="BF144" s="257"/>
      <c r="BG144" s="257"/>
      <c r="BH144" s="257"/>
      <c r="BI144" s="257"/>
      <c r="BJ144" s="257"/>
      <c r="BK144" s="257"/>
      <c r="BL144" s="257"/>
      <c r="BM144" s="257"/>
      <c r="BN144" s="257"/>
      <c r="BO144" s="257"/>
      <c r="BP144" s="257"/>
      <c r="BQ144" s="257"/>
      <c r="BR144" s="257"/>
      <c r="BS144" s="257"/>
      <c r="BT144" s="257"/>
      <c r="BU144" s="257"/>
      <c r="BV144" s="257"/>
      <c r="BW144" s="257"/>
      <c r="BX144" s="257"/>
      <c r="BY144" s="257"/>
      <c r="BZ144" s="257"/>
      <c r="CA144" s="257"/>
      <c r="CB144" s="257"/>
      <c r="CC144" s="257"/>
      <c r="CT144" s="233"/>
      <c r="CU144" s="233"/>
      <c r="CV144" s="233"/>
      <c r="CW144" s="233"/>
      <c r="CX144" s="233"/>
      <c r="CY144" s="233"/>
      <c r="CZ144" s="233"/>
      <c r="DA144" s="233"/>
      <c r="DB144" s="233"/>
      <c r="DC144" s="233"/>
      <c r="DD144" s="233"/>
      <c r="DE144" s="233"/>
      <c r="DF144" s="233"/>
      <c r="DG144" s="233"/>
      <c r="DH144" s="233"/>
      <c r="DI144" s="233"/>
      <c r="DJ144" s="233"/>
      <c r="DK144" s="233"/>
      <c r="DL144" s="233"/>
      <c r="DM144" s="233"/>
      <c r="DN144" s="233"/>
      <c r="DO144" s="233"/>
      <c r="DP144" s="233"/>
      <c r="DQ144" s="233"/>
      <c r="DR144" s="233"/>
      <c r="DS144" s="233"/>
      <c r="DT144" s="233"/>
      <c r="DU144" s="233"/>
      <c r="DV144" s="233"/>
      <c r="DW144" s="233"/>
      <c r="DX144" s="233"/>
      <c r="DY144" s="233"/>
      <c r="DZ144" s="233"/>
      <c r="EA144" s="233"/>
      <c r="EB144" s="233"/>
      <c r="EC144" s="233"/>
      <c r="ED144" s="233"/>
      <c r="EE144" s="233"/>
      <c r="EF144" s="233"/>
      <c r="EG144" s="233"/>
      <c r="EH144" s="233"/>
      <c r="EI144" s="233"/>
      <c r="EJ144" s="233"/>
      <c r="EK144" s="233"/>
      <c r="EL144" s="233"/>
      <c r="EM144" s="233"/>
      <c r="EN144" s="233"/>
      <c r="EO144" s="233"/>
      <c r="EP144" s="233"/>
      <c r="EQ144" s="233"/>
      <c r="ER144" s="233"/>
      <c r="ES144" s="233"/>
      <c r="ET144" s="233"/>
      <c r="EU144" s="233"/>
      <c r="EV144" s="233"/>
      <c r="EW144" s="233"/>
      <c r="EX144" s="233"/>
      <c r="EY144" s="233"/>
      <c r="EZ144" s="233"/>
      <c r="FA144" s="233"/>
      <c r="FB144" s="233"/>
      <c r="FC144" s="233"/>
      <c r="FD144" s="233"/>
      <c r="FE144" s="233"/>
      <c r="FF144" s="233"/>
      <c r="FG144" s="233"/>
      <c r="FH144" s="233"/>
      <c r="FI144" s="233"/>
      <c r="FJ144" s="233"/>
      <c r="FK144" s="233"/>
      <c r="FL144" s="233"/>
      <c r="FM144" s="233"/>
      <c r="FN144" s="233"/>
      <c r="FO144" s="233"/>
      <c r="FP144" s="233"/>
      <c r="FQ144" s="233"/>
      <c r="FR144" s="233"/>
    </row>
    <row r="145" spans="98:174" ht="10.15" customHeight="1">
      <c r="CT145" s="233"/>
      <c r="CU145" s="233"/>
      <c r="CV145" s="233"/>
      <c r="CW145" s="233"/>
      <c r="CX145" s="233"/>
      <c r="CY145" s="233"/>
      <c r="CZ145" s="233"/>
      <c r="DA145" s="233"/>
      <c r="DB145" s="233"/>
      <c r="DC145" s="233"/>
      <c r="DD145" s="233"/>
      <c r="DE145" s="233"/>
      <c r="DF145" s="233"/>
      <c r="DG145" s="233"/>
      <c r="DH145" s="233"/>
      <c r="DI145" s="233"/>
      <c r="DJ145" s="233"/>
      <c r="DK145" s="233"/>
      <c r="DL145" s="233"/>
      <c r="DM145" s="233"/>
      <c r="DN145" s="233"/>
      <c r="DO145" s="233"/>
      <c r="DP145" s="233"/>
      <c r="DQ145" s="233"/>
      <c r="DR145" s="233"/>
      <c r="DS145" s="233"/>
      <c r="DT145" s="233"/>
      <c r="DU145" s="233"/>
      <c r="DV145" s="233"/>
      <c r="DW145" s="233"/>
      <c r="DX145" s="233"/>
      <c r="DY145" s="233"/>
      <c r="DZ145" s="233"/>
      <c r="EA145" s="233"/>
      <c r="EB145" s="233"/>
      <c r="EC145" s="233"/>
      <c r="ED145" s="233"/>
      <c r="EE145" s="233"/>
      <c r="EF145" s="233"/>
      <c r="EG145" s="233"/>
      <c r="EH145" s="233"/>
      <c r="EI145" s="233"/>
      <c r="EJ145" s="233"/>
      <c r="EK145" s="233"/>
      <c r="EL145" s="233"/>
      <c r="EM145" s="233"/>
      <c r="EN145" s="233"/>
      <c r="EO145" s="233"/>
      <c r="EP145" s="233"/>
      <c r="EQ145" s="233"/>
      <c r="ER145" s="233"/>
      <c r="ES145" s="233"/>
      <c r="ET145" s="233"/>
      <c r="EU145" s="233"/>
      <c r="EV145" s="233"/>
      <c r="EW145" s="233"/>
      <c r="EX145" s="233"/>
      <c r="EY145" s="233"/>
      <c r="EZ145" s="233"/>
      <c r="FA145" s="233"/>
      <c r="FB145" s="233"/>
      <c r="FC145" s="233"/>
      <c r="FD145" s="233"/>
      <c r="FE145" s="233"/>
      <c r="FF145" s="233"/>
      <c r="FG145" s="233"/>
      <c r="FH145" s="233"/>
      <c r="FI145" s="233"/>
      <c r="FJ145" s="233"/>
      <c r="FK145" s="233"/>
      <c r="FL145" s="233"/>
      <c r="FM145" s="233"/>
      <c r="FN145" s="233"/>
      <c r="FO145" s="233"/>
      <c r="FP145" s="233"/>
      <c r="FQ145" s="233"/>
      <c r="FR145" s="233"/>
    </row>
    <row r="146" spans="98:174" ht="10.15" customHeight="1">
      <c r="CT146" s="233"/>
      <c r="CU146" s="233"/>
      <c r="CV146" s="233"/>
      <c r="CW146" s="233"/>
      <c r="CX146" s="233"/>
      <c r="CY146" s="233"/>
      <c r="CZ146" s="233"/>
      <c r="DA146" s="233"/>
      <c r="DB146" s="233"/>
      <c r="DC146" s="233"/>
      <c r="DD146" s="233"/>
      <c r="DE146" s="233"/>
      <c r="DF146" s="233"/>
      <c r="DG146" s="233"/>
      <c r="DH146" s="233"/>
      <c r="DI146" s="233"/>
      <c r="DJ146" s="233"/>
      <c r="DK146" s="233"/>
      <c r="DL146" s="233"/>
      <c r="DM146" s="233"/>
      <c r="DN146" s="233"/>
      <c r="DO146" s="233"/>
      <c r="DP146" s="233"/>
      <c r="DQ146" s="233"/>
      <c r="DR146" s="233"/>
      <c r="DS146" s="233"/>
      <c r="DT146" s="233"/>
      <c r="DU146" s="233"/>
      <c r="DV146" s="233"/>
      <c r="DW146" s="233"/>
      <c r="DX146" s="233"/>
      <c r="DY146" s="233"/>
      <c r="DZ146" s="233"/>
      <c r="EA146" s="233"/>
      <c r="EB146" s="233"/>
      <c r="EC146" s="233"/>
      <c r="ED146" s="233"/>
      <c r="EE146" s="233"/>
      <c r="EF146" s="233"/>
      <c r="EG146" s="233"/>
      <c r="EH146" s="233"/>
      <c r="EI146" s="233"/>
      <c r="EJ146" s="233"/>
      <c r="EK146" s="233"/>
      <c r="EL146" s="233"/>
      <c r="EM146" s="233"/>
      <c r="EN146" s="233"/>
      <c r="EO146" s="233"/>
      <c r="EP146" s="233"/>
      <c r="EQ146" s="233"/>
      <c r="ER146" s="233"/>
      <c r="ES146" s="233"/>
      <c r="ET146" s="233"/>
      <c r="EU146" s="233"/>
      <c r="EV146" s="233"/>
      <c r="EW146" s="233"/>
      <c r="EX146" s="233"/>
      <c r="EY146" s="233"/>
      <c r="EZ146" s="233"/>
      <c r="FA146" s="233"/>
      <c r="FB146" s="233"/>
      <c r="FC146" s="233"/>
      <c r="FD146" s="233"/>
      <c r="FE146" s="233"/>
      <c r="FF146" s="233"/>
      <c r="FG146" s="233"/>
      <c r="FH146" s="233"/>
      <c r="FI146" s="233"/>
      <c r="FJ146" s="233"/>
      <c r="FK146" s="233"/>
      <c r="FL146" s="233"/>
      <c r="FM146" s="233"/>
      <c r="FN146" s="233"/>
      <c r="FO146" s="233"/>
      <c r="FP146" s="233"/>
      <c r="FQ146" s="233"/>
      <c r="FR146" s="233"/>
    </row>
    <row r="147" spans="98:174" ht="10.15" customHeight="1">
      <c r="CT147" s="233"/>
      <c r="CU147" s="233"/>
      <c r="CV147" s="233"/>
      <c r="CW147" s="233"/>
      <c r="CX147" s="233"/>
      <c r="CY147" s="233"/>
      <c r="CZ147" s="233"/>
      <c r="DA147" s="233"/>
      <c r="DB147" s="233"/>
      <c r="DC147" s="233"/>
      <c r="DD147" s="233"/>
      <c r="DE147" s="233"/>
      <c r="DF147" s="233"/>
      <c r="DG147" s="233"/>
      <c r="DH147" s="233"/>
      <c r="DI147" s="233"/>
      <c r="DJ147" s="233"/>
      <c r="DK147" s="233"/>
      <c r="DL147" s="233"/>
      <c r="DM147" s="233"/>
      <c r="DN147" s="233"/>
      <c r="DO147" s="233"/>
      <c r="DP147" s="233"/>
      <c r="DQ147" s="233"/>
      <c r="DR147" s="233"/>
      <c r="DS147" s="233"/>
      <c r="DT147" s="233"/>
      <c r="DU147" s="233"/>
      <c r="DV147" s="233"/>
      <c r="DW147" s="233"/>
      <c r="DX147" s="233"/>
      <c r="DY147" s="233"/>
      <c r="DZ147" s="233"/>
      <c r="EA147" s="233"/>
      <c r="EB147" s="233"/>
      <c r="EC147" s="233"/>
      <c r="ED147" s="233"/>
      <c r="EE147" s="233"/>
      <c r="EF147" s="233"/>
      <c r="EG147" s="233"/>
      <c r="EH147" s="233"/>
      <c r="EI147" s="233"/>
      <c r="EJ147" s="233"/>
      <c r="EK147" s="233"/>
      <c r="EL147" s="233"/>
      <c r="EM147" s="233"/>
      <c r="EN147" s="233"/>
      <c r="EO147" s="233"/>
      <c r="EP147" s="233"/>
      <c r="EQ147" s="233"/>
      <c r="ER147" s="233"/>
      <c r="ES147" s="233"/>
      <c r="ET147" s="233"/>
      <c r="EU147" s="233"/>
      <c r="EV147" s="233"/>
      <c r="EW147" s="233"/>
      <c r="EX147" s="233"/>
      <c r="EY147" s="233"/>
      <c r="EZ147" s="233"/>
      <c r="FA147" s="233"/>
      <c r="FB147" s="233"/>
      <c r="FC147" s="233"/>
      <c r="FD147" s="233"/>
      <c r="FE147" s="233"/>
      <c r="FF147" s="233"/>
      <c r="FG147" s="233"/>
      <c r="FH147" s="233"/>
      <c r="FI147" s="233"/>
      <c r="FJ147" s="233"/>
      <c r="FK147" s="233"/>
      <c r="FL147" s="233"/>
      <c r="FM147" s="233"/>
      <c r="FN147" s="233"/>
      <c r="FO147" s="233"/>
      <c r="FP147" s="233"/>
      <c r="FQ147" s="233"/>
      <c r="FR147" s="233"/>
    </row>
    <row r="148" spans="98:174" ht="10.15" customHeight="1">
      <c r="CT148" s="233"/>
      <c r="CU148" s="233"/>
      <c r="CV148" s="233"/>
      <c r="CW148" s="233"/>
      <c r="CX148" s="233"/>
      <c r="CY148" s="233"/>
      <c r="CZ148" s="233"/>
      <c r="DA148" s="233"/>
      <c r="DB148" s="233"/>
      <c r="DC148" s="233"/>
      <c r="DD148" s="233"/>
      <c r="DE148" s="233"/>
      <c r="DF148" s="233"/>
      <c r="DG148" s="233"/>
      <c r="DH148" s="233"/>
      <c r="DI148" s="233"/>
      <c r="DJ148" s="233"/>
      <c r="DK148" s="233"/>
      <c r="DL148" s="233"/>
      <c r="DM148" s="233"/>
      <c r="DN148" s="233"/>
      <c r="DO148" s="233"/>
      <c r="DP148" s="233"/>
      <c r="DQ148" s="233"/>
      <c r="DR148" s="233"/>
      <c r="DS148" s="233"/>
      <c r="DT148" s="233"/>
      <c r="DU148" s="233"/>
      <c r="DV148" s="233"/>
      <c r="DW148" s="233"/>
      <c r="DX148" s="233"/>
      <c r="DY148" s="233"/>
      <c r="DZ148" s="233"/>
      <c r="EA148" s="233"/>
      <c r="EB148" s="233"/>
      <c r="EC148" s="233"/>
      <c r="ED148" s="233"/>
      <c r="EE148" s="233"/>
      <c r="EF148" s="233"/>
      <c r="EG148" s="233"/>
      <c r="EH148" s="233"/>
      <c r="EI148" s="233"/>
      <c r="EJ148" s="233"/>
      <c r="EK148" s="233"/>
      <c r="EL148" s="233"/>
      <c r="EM148" s="233"/>
      <c r="EN148" s="233"/>
      <c r="EO148" s="233"/>
      <c r="EP148" s="233"/>
      <c r="EQ148" s="233"/>
      <c r="ER148" s="233"/>
      <c r="ES148" s="233"/>
      <c r="ET148" s="233"/>
      <c r="EU148" s="233"/>
      <c r="EV148" s="233"/>
      <c r="EW148" s="233"/>
      <c r="EX148" s="233"/>
      <c r="EY148" s="233"/>
      <c r="EZ148" s="233"/>
      <c r="FA148" s="233"/>
      <c r="FB148" s="233"/>
      <c r="FC148" s="233"/>
      <c r="FD148" s="233"/>
      <c r="FE148" s="233"/>
      <c r="FF148" s="233"/>
      <c r="FG148" s="233"/>
      <c r="FH148" s="233"/>
      <c r="FI148" s="233"/>
      <c r="FJ148" s="233"/>
      <c r="FK148" s="233"/>
      <c r="FL148" s="233"/>
      <c r="FM148" s="233"/>
      <c r="FN148" s="233"/>
      <c r="FO148" s="233"/>
      <c r="FP148" s="233"/>
      <c r="FQ148" s="233"/>
      <c r="FR148" s="233"/>
    </row>
    <row r="149" spans="98:174" ht="10.15" customHeight="1">
      <c r="CT149" s="233"/>
      <c r="CU149" s="233"/>
      <c r="CV149" s="233"/>
      <c r="CW149" s="233"/>
      <c r="CX149" s="233"/>
      <c r="CY149" s="233"/>
      <c r="CZ149" s="233"/>
      <c r="DA149" s="233"/>
      <c r="DB149" s="233"/>
      <c r="DC149" s="233"/>
      <c r="DD149" s="233"/>
      <c r="DE149" s="233"/>
      <c r="DF149" s="233"/>
      <c r="DG149" s="233"/>
      <c r="DH149" s="233"/>
      <c r="DI149" s="233"/>
      <c r="DJ149" s="233"/>
      <c r="DK149" s="233"/>
      <c r="DL149" s="233"/>
      <c r="DM149" s="233"/>
      <c r="DN149" s="233"/>
      <c r="DO149" s="233"/>
      <c r="DP149" s="233"/>
      <c r="DQ149" s="233"/>
      <c r="DR149" s="233"/>
      <c r="DS149" s="233"/>
      <c r="DT149" s="233"/>
      <c r="DU149" s="233"/>
      <c r="DV149" s="233"/>
      <c r="DW149" s="233"/>
      <c r="DX149" s="233"/>
      <c r="DY149" s="233"/>
      <c r="DZ149" s="233"/>
      <c r="EA149" s="233"/>
      <c r="EB149" s="233"/>
      <c r="EC149" s="233"/>
      <c r="ED149" s="233"/>
      <c r="EE149" s="233"/>
      <c r="EF149" s="233"/>
      <c r="EG149" s="233"/>
      <c r="EH149" s="233"/>
      <c r="EI149" s="233"/>
      <c r="EJ149" s="233"/>
      <c r="EK149" s="233"/>
      <c r="EL149" s="233"/>
      <c r="EM149" s="233"/>
      <c r="EN149" s="233"/>
      <c r="EO149" s="233"/>
      <c r="EP149" s="233"/>
      <c r="EQ149" s="233"/>
      <c r="ER149" s="233"/>
      <c r="ES149" s="233"/>
      <c r="ET149" s="233"/>
      <c r="EU149" s="233"/>
      <c r="EV149" s="233"/>
      <c r="EW149" s="233"/>
      <c r="EX149" s="233"/>
      <c r="EY149" s="233"/>
      <c r="EZ149" s="233"/>
      <c r="FA149" s="233"/>
      <c r="FB149" s="233"/>
      <c r="FC149" s="233"/>
      <c r="FD149" s="233"/>
      <c r="FE149" s="233"/>
      <c r="FF149" s="233"/>
      <c r="FG149" s="233"/>
      <c r="FH149" s="233"/>
      <c r="FI149" s="233"/>
      <c r="FJ149" s="233"/>
      <c r="FK149" s="233"/>
      <c r="FL149" s="233"/>
      <c r="FM149" s="233"/>
      <c r="FN149" s="233"/>
      <c r="FO149" s="233"/>
      <c r="FP149" s="233"/>
      <c r="FQ149" s="233"/>
      <c r="FR149" s="233"/>
    </row>
    <row r="150" spans="98:174" ht="10.15" customHeight="1">
      <c r="CT150" s="233"/>
      <c r="CU150" s="233"/>
      <c r="CV150" s="233"/>
      <c r="CW150" s="233"/>
      <c r="CX150" s="233"/>
      <c r="CY150" s="233"/>
      <c r="CZ150" s="233"/>
      <c r="DA150" s="233"/>
      <c r="DB150" s="233"/>
      <c r="DC150" s="233"/>
      <c r="DD150" s="233"/>
      <c r="DE150" s="233"/>
      <c r="DF150" s="233"/>
      <c r="DG150" s="233"/>
      <c r="DH150" s="233"/>
      <c r="DI150" s="233"/>
      <c r="DJ150" s="233"/>
      <c r="DK150" s="233"/>
      <c r="DL150" s="233"/>
      <c r="DM150" s="233"/>
      <c r="DN150" s="233"/>
      <c r="DO150" s="233"/>
      <c r="DP150" s="233"/>
      <c r="DQ150" s="233"/>
      <c r="DR150" s="233"/>
      <c r="DS150" s="233"/>
      <c r="DT150" s="233"/>
      <c r="DU150" s="233"/>
      <c r="DV150" s="233"/>
      <c r="DW150" s="233"/>
      <c r="DX150" s="233"/>
      <c r="DY150" s="233"/>
      <c r="DZ150" s="233"/>
      <c r="EA150" s="233"/>
      <c r="EB150" s="233"/>
      <c r="EC150" s="233"/>
      <c r="ED150" s="233"/>
      <c r="EE150" s="233"/>
      <c r="EF150" s="233"/>
      <c r="EG150" s="233"/>
      <c r="EH150" s="233"/>
      <c r="EI150" s="233"/>
      <c r="EJ150" s="233"/>
      <c r="EK150" s="233"/>
      <c r="EL150" s="233"/>
      <c r="EM150" s="233"/>
      <c r="EN150" s="233"/>
      <c r="EO150" s="233"/>
      <c r="EP150" s="233"/>
      <c r="EQ150" s="233"/>
      <c r="ER150" s="233"/>
      <c r="ES150" s="233"/>
      <c r="ET150" s="233"/>
      <c r="EU150" s="233"/>
      <c r="EV150" s="233"/>
      <c r="EW150" s="233"/>
      <c r="EX150" s="233"/>
      <c r="EY150" s="233"/>
      <c r="EZ150" s="233"/>
      <c r="FA150" s="233"/>
      <c r="FB150" s="233"/>
      <c r="FC150" s="233"/>
      <c r="FD150" s="233"/>
      <c r="FE150" s="233"/>
      <c r="FF150" s="233"/>
      <c r="FG150" s="233"/>
      <c r="FH150" s="233"/>
      <c r="FI150" s="233"/>
      <c r="FJ150" s="233"/>
      <c r="FK150" s="233"/>
      <c r="FL150" s="233"/>
      <c r="FM150" s="233"/>
      <c r="FN150" s="233"/>
      <c r="FO150" s="233"/>
      <c r="FP150" s="233"/>
      <c r="FQ150" s="233"/>
      <c r="FR150" s="233"/>
    </row>
    <row r="151" spans="98:174" ht="10.15" customHeight="1">
      <c r="CT151" s="233"/>
      <c r="CU151" s="233"/>
      <c r="CV151" s="233"/>
      <c r="CW151" s="233"/>
      <c r="CX151" s="233"/>
      <c r="CY151" s="233"/>
      <c r="CZ151" s="233"/>
      <c r="DA151" s="233"/>
      <c r="DB151" s="233"/>
      <c r="DC151" s="233"/>
      <c r="DD151" s="233"/>
      <c r="DE151" s="233"/>
      <c r="DF151" s="233"/>
      <c r="DG151" s="233"/>
      <c r="DH151" s="233"/>
      <c r="DI151" s="233"/>
      <c r="DJ151" s="233"/>
      <c r="DK151" s="233"/>
      <c r="DL151" s="233"/>
      <c r="DM151" s="233"/>
      <c r="DN151" s="233"/>
      <c r="DO151" s="233"/>
      <c r="DP151" s="233"/>
      <c r="DQ151" s="233"/>
      <c r="DR151" s="233"/>
      <c r="DS151" s="233"/>
      <c r="DT151" s="233"/>
      <c r="DU151" s="233"/>
      <c r="DV151" s="233"/>
      <c r="DW151" s="233"/>
      <c r="DX151" s="233"/>
      <c r="DY151" s="233"/>
      <c r="DZ151" s="233"/>
      <c r="EA151" s="233"/>
      <c r="EB151" s="233"/>
      <c r="EC151" s="233"/>
      <c r="ED151" s="233"/>
      <c r="EE151" s="233"/>
      <c r="EF151" s="233"/>
      <c r="EG151" s="233"/>
      <c r="EH151" s="233"/>
      <c r="EI151" s="233"/>
      <c r="EJ151" s="233"/>
      <c r="EK151" s="233"/>
      <c r="EL151" s="233"/>
      <c r="EM151" s="233"/>
      <c r="EN151" s="233"/>
      <c r="EO151" s="233"/>
      <c r="EP151" s="233"/>
      <c r="EQ151" s="233"/>
      <c r="ER151" s="233"/>
      <c r="ES151" s="233"/>
      <c r="ET151" s="233"/>
      <c r="EU151" s="233"/>
      <c r="EV151" s="233"/>
      <c r="EW151" s="233"/>
      <c r="EX151" s="233"/>
      <c r="EY151" s="233"/>
      <c r="EZ151" s="233"/>
      <c r="FA151" s="233"/>
      <c r="FB151" s="233"/>
      <c r="FC151" s="233"/>
      <c r="FD151" s="233"/>
      <c r="FE151" s="233"/>
      <c r="FF151" s="233"/>
      <c r="FG151" s="233"/>
      <c r="FH151" s="233"/>
      <c r="FI151" s="233"/>
      <c r="FJ151" s="233"/>
      <c r="FK151" s="233"/>
      <c r="FL151" s="233"/>
      <c r="FM151" s="233"/>
      <c r="FN151" s="233"/>
      <c r="FO151" s="233"/>
      <c r="FP151" s="233"/>
      <c r="FQ151" s="233"/>
      <c r="FR151" s="233"/>
    </row>
    <row r="152" spans="98:174" ht="10.15" customHeight="1">
      <c r="CW152" s="233"/>
      <c r="CX152" s="233"/>
      <c r="CY152" s="233"/>
      <c r="CZ152" s="233"/>
      <c r="DA152" s="233"/>
      <c r="DB152" s="233"/>
      <c r="DC152" s="233"/>
      <c r="DD152" s="233"/>
      <c r="DE152" s="233"/>
      <c r="DF152" s="233"/>
      <c r="DG152" s="233"/>
      <c r="DH152" s="233"/>
      <c r="DI152" s="233"/>
      <c r="DJ152" s="233"/>
      <c r="DK152" s="233"/>
      <c r="DL152" s="233"/>
      <c r="DM152" s="233"/>
      <c r="DN152" s="233"/>
      <c r="DO152" s="233"/>
      <c r="DP152" s="233"/>
      <c r="DQ152" s="233"/>
      <c r="DR152" s="233"/>
      <c r="DS152" s="233"/>
      <c r="DT152" s="233"/>
      <c r="DU152" s="233"/>
      <c r="DV152" s="233"/>
      <c r="DW152" s="233"/>
      <c r="DX152" s="233"/>
      <c r="DY152" s="233"/>
      <c r="DZ152" s="233"/>
      <c r="EA152" s="233"/>
      <c r="EB152" s="233"/>
      <c r="EC152" s="233"/>
      <c r="ED152" s="233"/>
      <c r="EE152" s="233"/>
      <c r="EF152" s="233"/>
      <c r="EG152" s="233"/>
      <c r="EH152" s="233"/>
      <c r="EI152" s="233"/>
      <c r="EJ152" s="233"/>
      <c r="EK152" s="233"/>
      <c r="EL152" s="233"/>
      <c r="EM152" s="233"/>
      <c r="EN152" s="233"/>
      <c r="EO152" s="233"/>
      <c r="EP152" s="233"/>
      <c r="EQ152" s="233"/>
      <c r="ER152" s="233"/>
      <c r="ES152" s="233"/>
      <c r="ET152" s="233"/>
      <c r="EU152" s="233"/>
      <c r="EV152" s="233"/>
      <c r="EW152" s="233"/>
      <c r="EX152" s="233"/>
      <c r="EY152" s="233"/>
      <c r="EZ152" s="233"/>
      <c r="FA152" s="233"/>
      <c r="FB152" s="233"/>
      <c r="FC152" s="233"/>
      <c r="FD152" s="233"/>
      <c r="FE152" s="233"/>
      <c r="FF152" s="233"/>
      <c r="FG152" s="233"/>
      <c r="FH152" s="233"/>
      <c r="FI152" s="233"/>
      <c r="FJ152" s="233"/>
      <c r="FK152" s="233"/>
      <c r="FL152" s="233"/>
      <c r="FM152" s="233"/>
      <c r="FN152" s="233"/>
      <c r="FO152" s="233"/>
      <c r="FP152" s="233"/>
      <c r="FQ152" s="233"/>
      <c r="FR152" s="233"/>
    </row>
  </sheetData>
  <sheetProtection algorithmName="SHA-512" hashValue="T4ZLr3snbITR89QzkQJURlUZ8g4ZZwz4gErq9h8aEsi6EaaqSo9wIh6oehM2RIDFYj2W2NovcwkMeKFHHoDUqw==" saltValue="UALenODd2WRdOJJ8Ixaj5w==" spinCount="100000" sheet="1" objects="1" scenarios="1"/>
  <mergeCells count="59">
    <mergeCell ref="E2:CB4"/>
    <mergeCell ref="E5:CB7"/>
    <mergeCell ref="BO8:BU9"/>
    <mergeCell ref="E8:U9"/>
    <mergeCell ref="V8:V9"/>
    <mergeCell ref="BE8:BN9"/>
    <mergeCell ref="W8:AB9"/>
    <mergeCell ref="AC8:AC9"/>
    <mergeCell ref="AD8:AI9"/>
    <mergeCell ref="AJ8:AJ9"/>
    <mergeCell ref="AK8:BD9"/>
    <mergeCell ref="F11:CA13"/>
    <mergeCell ref="K14:T18"/>
    <mergeCell ref="AC14:AL18"/>
    <mergeCell ref="AT14:BC18"/>
    <mergeCell ref="BL14:BU18"/>
    <mergeCell ref="J19:U22"/>
    <mergeCell ref="AB19:AM22"/>
    <mergeCell ref="AR19:BE22"/>
    <mergeCell ref="BL19:BU22"/>
    <mergeCell ref="G26:AB30"/>
    <mergeCell ref="BE26:BZ27"/>
    <mergeCell ref="G49:AD50"/>
    <mergeCell ref="AE49:AR50"/>
    <mergeCell ref="F69:CA70"/>
    <mergeCell ref="G32:M33"/>
    <mergeCell ref="G34:M38"/>
    <mergeCell ref="BD34:CA35"/>
    <mergeCell ref="G39:M40"/>
    <mergeCell ref="F46:AC47"/>
    <mergeCell ref="AE46:BB47"/>
    <mergeCell ref="BP37:CA40"/>
    <mergeCell ref="BD37:BO40"/>
    <mergeCell ref="BD46:BO47"/>
    <mergeCell ref="BP46:CA47"/>
    <mergeCell ref="BH126:CB127"/>
    <mergeCell ref="D128:Q129"/>
    <mergeCell ref="R128:W129"/>
    <mergeCell ref="D130:Q131"/>
    <mergeCell ref="R130:W131"/>
    <mergeCell ref="F72:AC75"/>
    <mergeCell ref="F93:AC94"/>
    <mergeCell ref="AE72:CA94"/>
    <mergeCell ref="G101:BB102"/>
    <mergeCell ref="G103:K104"/>
    <mergeCell ref="BP96:BU97"/>
    <mergeCell ref="G99:AE99"/>
    <mergeCell ref="AF99:BB99"/>
    <mergeCell ref="G100:AE100"/>
    <mergeCell ref="AF100:BB100"/>
    <mergeCell ref="F96:N97"/>
    <mergeCell ref="O96:BE97"/>
    <mergeCell ref="F120:AC121"/>
    <mergeCell ref="D124:AC125"/>
    <mergeCell ref="AD124:AH125"/>
    <mergeCell ref="AI124:AT125"/>
    <mergeCell ref="D132:Q133"/>
    <mergeCell ref="R132:W133"/>
    <mergeCell ref="D126:BG127"/>
  </mergeCells>
  <hyperlinks>
    <hyperlink ref="BD34:CA35" r:id="rId1" display="Learn more about Azure subscription limits" xr:uid="{00000000-0004-0000-0400-000000000000}"/>
    <hyperlink ref="F46:AC47" r:id="rId2" display="Recommendation: Use ExpressRoute" xr:uid="{00000000-0004-0000-0400-000001000000}"/>
    <hyperlink ref="AC19:AL22" location="'VM Details'!A1" display="'VM Details'!A1" xr:uid="{00000000-0004-0000-0400-000002000000}"/>
    <hyperlink ref="AB19:AM22" location="'Compatible VMs'!A1" display="'Compatible VMs'!A1" xr:uid="{00000000-0004-0000-0400-000003000000}"/>
    <hyperlink ref="AE46:BB47" location="'VM&lt;-&gt;Storage placement'!A1" display="Recommended VM placement plan" xr:uid="{00000000-0004-0000-0400-000004000000}"/>
    <hyperlink ref="BN126:CB127" r:id="rId3" display="Learn more" xr:uid="{00000000-0004-0000-0400-000005000000}"/>
    <hyperlink ref="AR19:BE22" location="'Incompatible VMs'!A1" display="'Incompatible VMs'!A1" xr:uid="{00000000-0004-0000-0400-000006000000}"/>
    <hyperlink ref="AI124:AT125" r:id="rId4" display="Learn more" xr:uid="{00000000-0004-0000-0400-000007000000}"/>
    <hyperlink ref="F120:AC121" location="'Cost Estimation'!A1" display="View detailed cost analysis" xr:uid="{00000000-0004-0000-0400-000008000000}"/>
    <hyperlink ref="BD46:BO47" location="'On-premises storage requirement'!A1" display="Learn more" xr:uid="{00000000-0004-0000-0400-000009000000}"/>
    <hyperlink ref="BP46:CA47" r:id="rId5" display="Learn more" xr:uid="{00000000-0004-0000-0400-00000A000000}"/>
    <hyperlink ref="BH126:CB127" r:id="rId6" display="Learn more" xr:uid="{00000000-0004-0000-0400-00000B000000}"/>
    <hyperlink ref="BE8:BN9" location="'On-premises Storage Requirement'!A1" display="'On-premises Storage Requirement'!A1" xr:uid="{00000000-0004-0000-0400-00000C000000}"/>
  </hyperlinks>
  <pageMargins left="0.23622047244094491" right="0.23622047244094491" top="0.74803149606299213" bottom="0.74803149606299213" header="0.31496062992125984" footer="0.31496062992125984"/>
  <pageSetup paperSize="9" scale="42"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5841" r:id="rId10" name="Drop Down 1">
              <controlPr defaultSize="0" autoLine="0" autoPict="0" macro="[0]!SelectRPO">
                <anchor moveWithCells="1">
                  <from>
                    <xdr:col>73</xdr:col>
                    <xdr:colOff>19050</xdr:colOff>
                    <xdr:row>7</xdr:row>
                    <xdr:rowOff>38100</xdr:rowOff>
                  </from>
                  <to>
                    <xdr:col>79</xdr:col>
                    <xdr:colOff>0</xdr:colOff>
                    <xdr:row>8</xdr:row>
                    <xdr:rowOff>152400</xdr:rowOff>
                  </to>
                </anchor>
              </controlPr>
            </control>
          </mc:Choice>
        </mc:AlternateContent>
        <mc:AlternateContent xmlns:mc="http://schemas.openxmlformats.org/markup-compatibility/2006">
          <mc:Choice Requires="x14">
            <control shapeId="35842" r:id="rId11" name="Drop Down 2">
              <controlPr defaultSize="0" autoLine="0" autoPict="0">
                <anchor moveWithCells="1">
                  <from>
                    <xdr:col>73</xdr:col>
                    <xdr:colOff>0</xdr:colOff>
                    <xdr:row>95</xdr:row>
                    <xdr:rowOff>38100</xdr:rowOff>
                  </from>
                  <to>
                    <xdr:col>78</xdr:col>
                    <xdr:colOff>0</xdr:colOff>
                    <xdr:row>96</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78DA47FA-C9D1-4D21-B244-FDD0D378E9DC}">
            <xm:f>Prices!$AN$3="MYR"</xm:f>
            <x14:dxf>
              <numFmt numFmtId="195" formatCode="&quot;MYR&quot;\ #,##0"/>
            </x14:dxf>
          </x14:cfRule>
          <x14:cfRule type="expression" priority="2" id="{3C427D9F-B271-41C9-8A10-AF4C54F521F4}">
            <xm:f>Prices!$AN$3="MXN"</xm:f>
            <x14:dxf>
              <numFmt numFmtId="194" formatCode="&quot;MX$&quot;\ #,##0"/>
            </x14:dxf>
          </x14:cfRule>
          <x14:cfRule type="expression" priority="3" id="{2151BAC4-EAE7-4E3F-8759-8ECF729DEE00}">
            <xm:f>Prices!$AN$3="BRL"</xm:f>
            <x14:dxf>
              <numFmt numFmtId="193" formatCode="&quot;R$&quot;\ #,##0"/>
            </x14:dxf>
          </x14:cfRule>
          <x14:cfRule type="expression" priority="4" id="{872539A7-EAA5-4493-8196-9B1D67761AC3}">
            <xm:f>Prices!$AN$3="AUD"</xm:f>
            <x14:dxf>
              <numFmt numFmtId="192" formatCode="&quot;AU$&quot;\ #,##0"/>
            </x14:dxf>
          </x14:cfRule>
          <x14:cfRule type="expression" priority="5" id="{2952F5BD-EA0E-4C62-B3E2-A9F63C22B469}">
            <xm:f>Prices!$AN$3="ARS"</xm:f>
            <x14:dxf>
              <numFmt numFmtId="191" formatCode="&quot;ARS&quot;\ #,##0"/>
            </x14:dxf>
          </x14:cfRule>
          <x14:cfRule type="expression" priority="6" id="{5B9366A5-95CA-457D-AB4F-BC84BD2937DC}">
            <xm:f>Prices!$AN$3="CHF"</xm:f>
            <x14:dxf>
              <numFmt numFmtId="190" formatCode="&quot;CHF&quot;\ #,##0"/>
            </x14:dxf>
          </x14:cfRule>
          <x14:cfRule type="expression" priority="7" id="{F8C87ACC-AE74-4304-A8DD-B135A98ACCF5}">
            <xm:f>Prices!$AN$3="ERO"</xm:f>
            <x14:dxf>
              <numFmt numFmtId="189" formatCode="\€\ #,##0"/>
            </x14:dxf>
          </x14:cfRule>
          <x14:cfRule type="expression" priority="8" id="{CF28CA6E-F758-47CB-9A71-28129C2FF2AD}">
            <xm:f>Prices!$AN$3="TWD"</xm:f>
            <x14:dxf>
              <numFmt numFmtId="188" formatCode="&quot;NT$&quot;\ #,##0"/>
            </x14:dxf>
          </x14:cfRule>
          <x14:cfRule type="expression" priority="9" id="{6ED48940-6FA5-4D18-B1F5-458AD6D4BEF6}">
            <xm:f>Prices!$AN$3="HKD"</xm:f>
            <x14:dxf>
              <numFmt numFmtId="187" formatCode="&quot;HK$&quot;\ #,##0"/>
            </x14:dxf>
          </x14:cfRule>
          <x14:cfRule type="expression" priority="10" id="{07684236-5029-495C-B1BA-64DBD43CACC9}">
            <xm:f>Prices!$AN$3="TRY"</xm:f>
            <x14:dxf>
              <numFmt numFmtId="186" formatCode="&quot;TRY&quot;\ #,##0"/>
            </x14:dxf>
          </x14:cfRule>
          <x14:cfRule type="expression" priority="11" id="{62502262-B404-44DD-973B-76A9653503A1}">
            <xm:f>Prices!$AN$3="SEK"</xm:f>
            <x14:dxf>
              <numFmt numFmtId="185" formatCode="&quot;SEK&quot;\ #,##0"/>
            </x14:dxf>
          </x14:cfRule>
          <x14:cfRule type="expression" priority="12" id="{CBE1A7DC-1981-4F15-9B83-221D3DF84D5D}">
            <xm:f>Prices!$AN$3="ZAR"</xm:f>
            <x14:dxf>
              <numFmt numFmtId="184" formatCode="&quot;ZAR&quot;\ #,##0"/>
            </x14:dxf>
          </x14:cfRule>
          <x14:cfRule type="expression" priority="13" id="{731AE3DB-0613-4A0E-9619-F4DCDC71CC75}">
            <xm:f>Prices!$AN$3="SAR"</xm:f>
            <x14:dxf>
              <numFmt numFmtId="183" formatCode="&quot;SAR&quot;\ #,##0"/>
            </x14:dxf>
          </x14:cfRule>
          <x14:cfRule type="expression" priority="14" id="{DE531831-BB10-483D-AF9B-3EC72BD8224C}">
            <xm:f>Prices!$AN$3="RUB"</xm:f>
            <x14:dxf>
              <numFmt numFmtId="182" formatCode="&quot;RUB&quot;\ #,##0"/>
            </x14:dxf>
          </x14:cfRule>
          <x14:cfRule type="expression" priority="15" id="{F9C1B3DF-AEDE-48EF-825A-EEFEDB11B21E}">
            <xm:f>Prices!$AN$3="NOK"</xm:f>
            <x14:dxf>
              <numFmt numFmtId="181" formatCode="&quot;NOK&quot;\ #,##0"/>
            </x14:dxf>
          </x14:cfRule>
          <x14:cfRule type="expression" priority="16" id="{0393C000-9853-4C03-968A-18A3A97BE821}">
            <xm:f>Prices!$AN$3="NZD"</xm:f>
            <x14:dxf>
              <numFmt numFmtId="180" formatCode="&quot;NZ$&quot;\ #,##0"/>
            </x14:dxf>
          </x14:cfRule>
          <x14:cfRule type="expression" priority="17" id="{1B60A638-B3CC-4754-8837-8933F5C4F17B}">
            <xm:f>Prices!$AN$3="KRW"</xm:f>
            <x14:dxf>
              <numFmt numFmtId="179" formatCode="\₩\ #,##0"/>
            </x14:dxf>
          </x14:cfRule>
          <x14:cfRule type="expression" priority="18" id="{F063750B-7AD0-46F2-BFA9-664CAAAA0E05}">
            <xm:f>Prices!$AN$3="JPY"</xm:f>
            <x14:dxf>
              <numFmt numFmtId="178" formatCode="&quot;JP¥&quot;\ #,##0"/>
            </x14:dxf>
          </x14:cfRule>
          <x14:cfRule type="expression" priority="19" id="{ACCAFEA5-8DE3-456C-AB60-65FB2C78D61E}">
            <xm:f>Prices!$AN$3="CAD"</xm:f>
            <x14:dxf>
              <numFmt numFmtId="177" formatCode="&quot;CA$&quot;\ #,##0"/>
            </x14:dxf>
          </x14:cfRule>
          <x14:cfRule type="expression" priority="20" id="{1EE33D26-89D5-4857-8009-14497F6A14E8}">
            <xm:f>Prices!$AN$3="DKK"</xm:f>
            <x14:dxf>
              <numFmt numFmtId="176" formatCode="&quot;DKK&quot;\ #,##0"/>
            </x14:dxf>
          </x14:cfRule>
          <x14:cfRule type="expression" priority="21" id="{E8B02CD2-75E3-4A6E-BB35-DB22DF28B103}">
            <xm:f>Prices!$AN$3="INR"</xm:f>
            <x14:dxf>
              <numFmt numFmtId="175" formatCode="&quot;₹&quot;\ #,##0"/>
            </x14:dxf>
          </x14:cfRule>
          <x14:cfRule type="expression" priority="22" id="{AC2431C7-1867-4536-A672-0FD7A759265F}">
            <xm:f>Prices!$AN$3="GBP"</xm:f>
            <x14:dxf>
              <numFmt numFmtId="174" formatCode="[$£-809]#,##0"/>
            </x14:dxf>
          </x14:cfRule>
          <x14:cfRule type="expression" priority="23" id="{984BB50E-1A6E-43B1-A503-07B7ADFDE86C}">
            <xm:f>Prices!$AN$3="USD"</xm:f>
            <x14:dxf>
              <numFmt numFmtId="173" formatCode="[$$-409]#,##0"/>
            </x14:dxf>
          </x14:cfRule>
          <xm:sqref>G101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H53"/>
  <sheetViews>
    <sheetView zoomScale="85" zoomScaleNormal="85" workbookViewId="0">
      <pane ySplit="1" topLeftCell="A2" activePane="bottomLeft" state="frozen"/>
      <selection activeCell="A2" sqref="A2"/>
      <selection pane="bottomLeft" activeCell="A2" sqref="A2"/>
    </sheetView>
  </sheetViews>
  <sheetFormatPr defaultRowHeight="14.25"/>
  <cols>
    <col min="1" max="1" width="25" customWidth="1"/>
    <col min="2" max="2" width="30.86328125" customWidth="1"/>
    <col min="3" max="3" width="24.265625" customWidth="1"/>
    <col min="4" max="4" width="31" style="2" customWidth="1"/>
    <col min="5" max="5" width="24.86328125" style="2" customWidth="1"/>
    <col min="6" max="6" width="28.265625" style="2" customWidth="1"/>
    <col min="7" max="7" width="45.59765625" style="4" customWidth="1"/>
    <col min="8" max="8" width="94.3984375" bestFit="1" customWidth="1"/>
    <col min="10" max="10" width="13.86328125" bestFit="1" customWidth="1"/>
  </cols>
  <sheetData>
    <row r="1" spans="1:8" s="14" customFormat="1">
      <c r="A1" s="466" t="s">
        <v>408</v>
      </c>
      <c r="B1" s="466" t="s">
        <v>26</v>
      </c>
      <c r="C1" s="466" t="s">
        <v>101</v>
      </c>
      <c r="D1" s="466" t="s">
        <v>409</v>
      </c>
      <c r="E1" s="466" t="s">
        <v>27</v>
      </c>
      <c r="F1" s="466" t="s">
        <v>102</v>
      </c>
      <c r="G1" s="466" t="s">
        <v>103</v>
      </c>
      <c r="H1" s="14" t="s">
        <v>9</v>
      </c>
    </row>
    <row r="2" spans="1:8" s="14" customFormat="1" ht="171">
      <c r="A2" s="10" t="s">
        <v>3</v>
      </c>
      <c r="B2" s="10" t="s">
        <v>706</v>
      </c>
      <c r="C2" s="468" t="s">
        <v>707</v>
      </c>
      <c r="D2" s="10" t="s">
        <v>195</v>
      </c>
      <c r="E2" s="10" t="s">
        <v>725</v>
      </c>
      <c r="F2" s="468" t="s">
        <v>726</v>
      </c>
      <c r="G2" s="19" t="s">
        <v>727</v>
      </c>
      <c r="H2" s="19" t="s">
        <v>1160</v>
      </c>
    </row>
    <row r="3" spans="1:8" s="14" customFormat="1" ht="342">
      <c r="A3" s="10" t="s">
        <v>195</v>
      </c>
      <c r="B3" s="10" t="s">
        <v>709</v>
      </c>
      <c r="C3" s="468" t="s">
        <v>710</v>
      </c>
      <c r="D3" s="10" t="s">
        <v>195</v>
      </c>
      <c r="E3" s="10" t="s">
        <v>224</v>
      </c>
      <c r="F3" s="468" t="s">
        <v>224</v>
      </c>
      <c r="G3" s="19" t="s">
        <v>728</v>
      </c>
      <c r="H3" s="19" t="s">
        <v>1161</v>
      </c>
    </row>
    <row r="4" spans="1:8" s="4" customFormat="1">
      <c r="A4" s="17"/>
      <c r="B4" s="17"/>
      <c r="C4" s="17"/>
      <c r="D4" s="17"/>
      <c r="E4" s="17"/>
      <c r="F4" s="17"/>
      <c r="G4" s="17"/>
      <c r="H4" s="27"/>
    </row>
    <row r="5" spans="1:8" s="4" customFormat="1">
      <c r="A5" s="690" t="s">
        <v>410</v>
      </c>
      <c r="B5" s="691"/>
      <c r="C5" s="692" t="s">
        <v>150</v>
      </c>
      <c r="D5" s="692"/>
      <c r="E5"/>
      <c r="F5" s="17"/>
      <c r="G5" s="17"/>
      <c r="H5" s="18"/>
    </row>
    <row r="6" spans="1:8" s="3" customFormat="1">
      <c r="A6" s="17"/>
      <c r="B6" s="17"/>
      <c r="C6" s="17"/>
      <c r="D6" s="17"/>
      <c r="E6" s="17"/>
      <c r="F6" s="17"/>
      <c r="G6" s="17"/>
      <c r="H6" s="18"/>
    </row>
    <row r="7" spans="1:8" s="3" customFormat="1" ht="27.4" customHeight="1">
      <c r="A7" s="695" t="s">
        <v>153</v>
      </c>
      <c r="B7" s="696"/>
      <c r="C7" s="680" t="s">
        <v>406</v>
      </c>
      <c r="D7" s="681"/>
    </row>
    <row r="8" spans="1:8" s="3" customFormat="1">
      <c r="A8" s="32" t="s">
        <v>34</v>
      </c>
      <c r="B8" s="33" t="s">
        <v>15</v>
      </c>
      <c r="C8" s="449" t="s">
        <v>34</v>
      </c>
      <c r="D8" s="33" t="s">
        <v>15</v>
      </c>
    </row>
    <row r="9" spans="1:8" s="3" customFormat="1">
      <c r="A9" s="34" t="s">
        <v>233</v>
      </c>
      <c r="B9" s="34">
        <v>24</v>
      </c>
      <c r="C9" s="450" t="s">
        <v>233</v>
      </c>
      <c r="D9" s="34">
        <v>24</v>
      </c>
    </row>
    <row r="10" spans="1:8" s="3" customFormat="1">
      <c r="A10" s="34" t="s">
        <v>560</v>
      </c>
      <c r="B10" s="34">
        <v>9</v>
      </c>
      <c r="C10" s="451" t="s">
        <v>560</v>
      </c>
      <c r="D10" s="34">
        <v>9</v>
      </c>
    </row>
    <row r="11" spans="1:8" s="3" customFormat="1">
      <c r="A11" s="34" t="s">
        <v>236</v>
      </c>
      <c r="B11" s="34">
        <v>6</v>
      </c>
      <c r="C11" s="450" t="s">
        <v>236</v>
      </c>
      <c r="D11" s="34">
        <v>6</v>
      </c>
    </row>
    <row r="12" spans="1:8" s="3" customFormat="1">
      <c r="A12" s="34" t="s">
        <v>237</v>
      </c>
      <c r="B12" s="34">
        <v>9</v>
      </c>
      <c r="C12" s="450" t="s">
        <v>237</v>
      </c>
      <c r="D12" s="34">
        <v>9</v>
      </c>
      <c r="F12" s="141"/>
    </row>
    <row r="13" spans="1:8" s="3" customFormat="1">
      <c r="A13" s="38" t="s">
        <v>257</v>
      </c>
      <c r="B13" s="35">
        <v>3</v>
      </c>
      <c r="C13" s="450" t="s">
        <v>257</v>
      </c>
      <c r="D13" s="34">
        <v>3</v>
      </c>
    </row>
    <row r="14" spans="1:8" s="3" customFormat="1">
      <c r="A14" s="38" t="s">
        <v>258</v>
      </c>
      <c r="B14" s="35">
        <v>1</v>
      </c>
      <c r="C14" s="450" t="s">
        <v>258</v>
      </c>
      <c r="D14" s="34">
        <v>1</v>
      </c>
    </row>
    <row r="15" spans="1:8" s="3" customFormat="1">
      <c r="A15" s="36"/>
      <c r="B15" s="36"/>
      <c r="C15" s="36"/>
      <c r="D15" s="36"/>
      <c r="E15" s="2"/>
      <c r="F15"/>
      <c r="G15"/>
      <c r="H15"/>
    </row>
    <row r="16" spans="1:8" ht="25.15" customHeight="1">
      <c r="A16" s="686" t="s">
        <v>154</v>
      </c>
      <c r="B16" s="687"/>
      <c r="C16" s="685" t="s">
        <v>407</v>
      </c>
      <c r="D16" s="686"/>
      <c r="E16" s="3"/>
      <c r="F16" s="31"/>
      <c r="G16" s="3"/>
      <c r="H16" s="3"/>
    </row>
    <row r="17" spans="1:8" s="3" customFormat="1">
      <c r="A17" s="37" t="s">
        <v>15</v>
      </c>
      <c r="B17" s="54">
        <v>481</v>
      </c>
      <c r="C17" s="32" t="s">
        <v>34</v>
      </c>
      <c r="D17" s="33" t="s">
        <v>15</v>
      </c>
      <c r="F17" s="31"/>
    </row>
    <row r="18" spans="1:8" s="3" customFormat="1">
      <c r="A18" s="38" t="s">
        <v>152</v>
      </c>
      <c r="B18" s="34">
        <v>84831</v>
      </c>
      <c r="C18" s="38" t="s">
        <v>245</v>
      </c>
      <c r="D18" s="34">
        <v>15</v>
      </c>
      <c r="F18" s="31"/>
    </row>
    <row r="19" spans="1:8" s="3" customFormat="1">
      <c r="A19" s="35"/>
      <c r="B19" s="35"/>
      <c r="C19" s="38" t="s">
        <v>246</v>
      </c>
      <c r="D19" s="34">
        <v>76</v>
      </c>
      <c r="E19" s="2"/>
      <c r="F19"/>
      <c r="G19"/>
      <c r="H19"/>
    </row>
    <row r="20" spans="1:8">
      <c r="A20" s="35"/>
      <c r="B20" s="35"/>
      <c r="C20" s="38" t="s">
        <v>247</v>
      </c>
      <c r="D20" s="34">
        <v>101</v>
      </c>
      <c r="F20"/>
      <c r="G20"/>
    </row>
    <row r="21" spans="1:8" s="4" customFormat="1">
      <c r="A21" s="35"/>
      <c r="B21" s="35"/>
      <c r="C21" s="38" t="s">
        <v>559</v>
      </c>
      <c r="D21" s="34">
        <v>32</v>
      </c>
    </row>
    <row r="22" spans="1:8">
      <c r="A22" s="34"/>
      <c r="B22" s="34"/>
      <c r="C22" s="38" t="s">
        <v>248</v>
      </c>
      <c r="D22" s="34">
        <v>18</v>
      </c>
      <c r="E22" s="3"/>
      <c r="F22" s="31"/>
      <c r="G22" s="3"/>
      <c r="H22" s="3"/>
    </row>
    <row r="23" spans="1:8" s="3" customFormat="1">
      <c r="A23" s="38"/>
      <c r="B23" s="34"/>
      <c r="C23" s="38" t="s">
        <v>249</v>
      </c>
      <c r="D23" s="34">
        <v>32</v>
      </c>
      <c r="F23" s="17"/>
      <c r="G23" s="17"/>
      <c r="H23" s="18"/>
    </row>
    <row r="24" spans="1:8" s="3" customFormat="1">
      <c r="A24" s="34"/>
      <c r="B24" s="34"/>
      <c r="C24" s="38" t="s">
        <v>259</v>
      </c>
      <c r="D24" s="34">
        <v>6</v>
      </c>
      <c r="E24" s="17"/>
      <c r="F24" s="17"/>
      <c r="G24" s="17"/>
      <c r="H24" s="18"/>
    </row>
    <row r="25" spans="1:8" s="3" customFormat="1">
      <c r="A25" s="34"/>
      <c r="B25" s="34"/>
      <c r="C25" s="38" t="s">
        <v>260</v>
      </c>
      <c r="D25" s="34">
        <v>1</v>
      </c>
      <c r="E25" s="17"/>
      <c r="F25" s="17"/>
      <c r="G25" s="17"/>
      <c r="H25" s="18"/>
    </row>
    <row r="26" spans="1:8" s="3" customFormat="1">
      <c r="A26" s="16"/>
      <c r="B26" s="16"/>
      <c r="C26" s="16"/>
      <c r="D26" s="16"/>
      <c r="E26"/>
      <c r="F26"/>
      <c r="G26"/>
      <c r="H26"/>
    </row>
    <row r="27" spans="1:8">
      <c r="A27" s="697" t="s">
        <v>104</v>
      </c>
      <c r="B27" s="697"/>
      <c r="C27" s="697"/>
      <c r="D27" s="697"/>
      <c r="E27" s="697"/>
      <c r="F27" s="697"/>
      <c r="G27" s="698"/>
      <c r="H27" s="21"/>
    </row>
    <row r="28" spans="1:8">
      <c r="A28" s="689" t="s">
        <v>93</v>
      </c>
      <c r="B28" s="689"/>
      <c r="C28" s="689"/>
      <c r="D28" s="689"/>
      <c r="E28" s="689"/>
      <c r="F28" s="689"/>
      <c r="G28" s="689"/>
      <c r="H28" s="689"/>
    </row>
    <row r="29" spans="1:8" s="4" customFormat="1" ht="14.25" customHeight="1">
      <c r="A29" s="684" t="s">
        <v>107</v>
      </c>
      <c r="B29" s="684"/>
      <c r="C29" s="684"/>
      <c r="D29" s="684"/>
      <c r="E29" s="684"/>
      <c r="F29" s="684"/>
      <c r="G29" s="684"/>
      <c r="H29" s="21"/>
    </row>
    <row r="30" spans="1:8" s="4" customFormat="1" ht="14.25" customHeight="1">
      <c r="A30" s="688" t="s">
        <v>534</v>
      </c>
      <c r="B30" s="689"/>
      <c r="C30" s="689"/>
      <c r="D30" s="689"/>
      <c r="E30" s="689"/>
      <c r="F30" s="689"/>
      <c r="G30" s="689"/>
      <c r="H30" s="21"/>
    </row>
    <row r="31" spans="1:8" s="4" customFormat="1" ht="14.25" customHeight="1">
      <c r="A31" s="688" t="s">
        <v>511</v>
      </c>
      <c r="B31" s="689"/>
      <c r="C31" s="689"/>
      <c r="D31" s="689"/>
      <c r="E31" s="689"/>
      <c r="F31" s="689"/>
      <c r="G31" s="689"/>
      <c r="H31" s="368"/>
    </row>
    <row r="32" spans="1:8" ht="15.75" customHeight="1">
      <c r="A32" s="682" t="s">
        <v>105</v>
      </c>
      <c r="B32" s="683"/>
      <c r="C32" s="683"/>
      <c r="D32" s="683"/>
      <c r="E32" s="683"/>
      <c r="F32" s="683"/>
      <c r="G32" s="683"/>
      <c r="H32" s="21"/>
    </row>
    <row r="33" spans="1:8" s="4" customFormat="1" ht="15" customHeight="1">
      <c r="A33" s="684" t="s">
        <v>106</v>
      </c>
      <c r="B33" s="684"/>
      <c r="C33" s="684"/>
      <c r="D33" s="684"/>
      <c r="E33" s="684"/>
      <c r="F33" s="684"/>
      <c r="G33" s="684"/>
      <c r="H33" s="21"/>
    </row>
    <row r="34" spans="1:8" ht="14.25" customHeight="1">
      <c r="A34" s="682" t="s">
        <v>94</v>
      </c>
      <c r="B34" s="683"/>
      <c r="C34" s="683"/>
      <c r="D34" s="683"/>
      <c r="E34" s="683"/>
      <c r="F34" s="683"/>
      <c r="G34" s="683"/>
      <c r="H34" s="21"/>
    </row>
    <row r="35" spans="1:8" s="4" customFormat="1" ht="14.25" customHeight="1">
      <c r="A35" s="684" t="s">
        <v>58</v>
      </c>
      <c r="B35" s="684"/>
      <c r="C35" s="684"/>
      <c r="D35" s="684"/>
      <c r="E35" s="684"/>
      <c r="F35" s="684"/>
      <c r="G35" s="684"/>
      <c r="H35" s="21"/>
    </row>
    <row r="36" spans="1:8" s="4" customFormat="1" ht="14.25" customHeight="1">
      <c r="A36" s="682" t="s">
        <v>535</v>
      </c>
      <c r="B36" s="683"/>
      <c r="C36" s="683"/>
      <c r="D36" s="683"/>
      <c r="E36" s="683"/>
      <c r="F36" s="683"/>
      <c r="G36" s="683"/>
      <c r="H36" s="21"/>
    </row>
    <row r="37" spans="1:8" s="4" customFormat="1" ht="14.25" customHeight="1">
      <c r="A37" s="684" t="s">
        <v>151</v>
      </c>
      <c r="B37" s="684"/>
      <c r="C37" s="684"/>
      <c r="D37" s="684"/>
      <c r="E37" s="684"/>
      <c r="F37" s="684"/>
      <c r="G37" s="684"/>
      <c r="H37" s="21"/>
    </row>
    <row r="38" spans="1:8" s="4" customFormat="1" ht="14.25" customHeight="1">
      <c r="A38" s="30"/>
      <c r="B38" s="30"/>
      <c r="C38" s="30"/>
      <c r="D38" s="30"/>
      <c r="E38" s="30"/>
      <c r="F38" s="30"/>
      <c r="G38" s="30"/>
      <c r="H38" s="21"/>
    </row>
    <row r="39" spans="1:8">
      <c r="A39" s="699" t="s">
        <v>108</v>
      </c>
      <c r="B39" s="699"/>
      <c r="C39" s="699"/>
      <c r="D39" s="699"/>
      <c r="E39" s="699"/>
      <c r="F39" s="699"/>
      <c r="G39" s="700"/>
      <c r="H39" s="21"/>
    </row>
    <row r="40" spans="1:8" s="4" customFormat="1" ht="14.25" customHeight="1">
      <c r="A40" s="693" t="s">
        <v>111</v>
      </c>
      <c r="B40" s="693"/>
      <c r="C40" s="693"/>
      <c r="D40" s="693"/>
      <c r="E40" s="693"/>
      <c r="F40" s="693"/>
      <c r="G40" s="693"/>
      <c r="H40" s="23"/>
    </row>
    <row r="41" spans="1:8" s="24" customFormat="1" ht="14.25" customHeight="1">
      <c r="A41" s="693" t="s">
        <v>110</v>
      </c>
      <c r="B41" s="693"/>
      <c r="C41" s="693"/>
      <c r="D41" s="693"/>
      <c r="E41" s="693"/>
      <c r="F41" s="693"/>
      <c r="G41" s="693"/>
      <c r="H41" s="21"/>
    </row>
    <row r="42" spans="1:8" ht="14.25" customHeight="1">
      <c r="A42" s="693" t="s">
        <v>109</v>
      </c>
      <c r="B42" s="693"/>
      <c r="C42" s="693"/>
      <c r="D42" s="693"/>
      <c r="E42" s="693"/>
      <c r="F42" s="693"/>
      <c r="G42" s="693"/>
      <c r="H42" s="21"/>
    </row>
    <row r="43" spans="1:8" ht="14.25" customHeight="1">
      <c r="A43" s="693" t="s">
        <v>59</v>
      </c>
      <c r="B43" s="693"/>
      <c r="C43" s="693"/>
      <c r="D43" s="693"/>
      <c r="E43" s="693"/>
      <c r="F43" s="693"/>
      <c r="G43" s="693"/>
      <c r="H43" s="22"/>
    </row>
    <row r="44" spans="1:8">
      <c r="A44" s="694"/>
      <c r="B44" s="694"/>
      <c r="C44" s="694"/>
      <c r="D44" s="694"/>
      <c r="E44" s="694"/>
      <c r="F44" s="694"/>
      <c r="G44" s="694"/>
      <c r="H44" s="22"/>
    </row>
    <row r="45" spans="1:8">
      <c r="D45"/>
      <c r="E45"/>
      <c r="F45"/>
    </row>
    <row r="46" spans="1:8">
      <c r="D46"/>
      <c r="E46"/>
      <c r="F46"/>
    </row>
    <row r="47" spans="1:8">
      <c r="C47" s="4"/>
      <c r="D47" s="4"/>
      <c r="E47" s="4"/>
      <c r="F47" s="4"/>
    </row>
    <row r="48" spans="1:8">
      <c r="A48" s="9"/>
      <c r="B48" s="4"/>
      <c r="C48" s="4"/>
      <c r="D48" s="4"/>
      <c r="E48" s="4"/>
      <c r="F48" s="4"/>
    </row>
    <row r="49" spans="2:8">
      <c r="B49" s="13"/>
      <c r="C49" s="13"/>
      <c r="D49" s="4"/>
      <c r="E49" s="4"/>
      <c r="F49" s="4"/>
    </row>
    <row r="50" spans="2:8" ht="43.9" customHeight="1"/>
    <row r="51" spans="2:8">
      <c r="H51" s="14"/>
    </row>
    <row r="52" spans="2:8" ht="45.75" customHeight="1"/>
    <row r="53" spans="2:8" ht="28.15" customHeight="1"/>
  </sheetData>
  <mergeCells count="23">
    <mergeCell ref="A5:B5"/>
    <mergeCell ref="C5:D5"/>
    <mergeCell ref="A43:G43"/>
    <mergeCell ref="A44:G44"/>
    <mergeCell ref="A40:G40"/>
    <mergeCell ref="A41:G41"/>
    <mergeCell ref="A42:G42"/>
    <mergeCell ref="A28:H28"/>
    <mergeCell ref="A7:B7"/>
    <mergeCell ref="A27:G27"/>
    <mergeCell ref="A30:G30"/>
    <mergeCell ref="A39:G39"/>
    <mergeCell ref="A35:G35"/>
    <mergeCell ref="A29:G29"/>
    <mergeCell ref="A32:G32"/>
    <mergeCell ref="A33:G33"/>
    <mergeCell ref="C7:D7"/>
    <mergeCell ref="A34:G34"/>
    <mergeCell ref="A37:G37"/>
    <mergeCell ref="C16:D16"/>
    <mergeCell ref="A16:B16"/>
    <mergeCell ref="A36:G36"/>
    <mergeCell ref="A31:G31"/>
  </mergeCells>
  <hyperlinks>
    <hyperlink ref="A35:C35" r:id="rId1" display="Recommended naming conventions for Azure resources" xr:uid="{00000000-0004-0000-0500-000000000000}"/>
    <hyperlink ref="A29:G29" r:id="rId2" display="Azure Site Recovery Deployment Planner Documentation" xr:uid="{00000000-0004-0000-0500-000001000000}"/>
    <hyperlink ref="A33:G33" r:id="rId3" display="Refer to Partition Naming Convention  section in Microsoft Azure Storage Performance and Scalability Checklist" xr:uid="{00000000-0004-0000-0500-000002000000}"/>
    <hyperlink ref="A35:G35" r:id="rId4" display="Recommended naming conventions for Azure resources" xr:uid="{00000000-0004-0000-0500-000003000000}"/>
    <hyperlink ref="A40:G40" r:id="rId5" display="• Microsoft server software support for Azure VMs" xr:uid="{00000000-0004-0000-0500-000004000000}"/>
    <hyperlink ref="A41:G41" r:id="rId6" display="• SQL Server on Azure VMs guidance" xr:uid="{00000000-0004-0000-0500-000005000000}"/>
    <hyperlink ref="A42:G42" r:id="rId7" display="Azure premium storage guidance " xr:uid="{00000000-0004-0000-0500-000006000000}"/>
    <hyperlink ref="A43:G43" r:id="rId8" display="• Azure Storage Scalability and Performance Targets" xr:uid="{00000000-0004-0000-0500-000007000000}"/>
    <hyperlink ref="A37:C37" r:id="rId9" display="Recommended naming conventions for Azure resources" xr:uid="{00000000-0004-0000-0500-000008000000}"/>
    <hyperlink ref="A37:G37" r:id="rId10" display="Recommended naming conventions for Azure resources" xr:uid="{00000000-0004-0000-0500-000009000000}"/>
  </hyperlinks>
  <pageMargins left="0.7" right="0.7" top="0.75" bottom="0.75" header="0.3" footer="0.3"/>
  <pageSetup orientation="portrait" r:id="rId11"/>
  <tableParts count="1">
    <tablePart r:id="rId1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AA803"/>
  <sheetViews>
    <sheetView zoomScale="85" zoomScaleNormal="85" workbookViewId="0">
      <pane ySplit="1" topLeftCell="A2" activePane="bottomLeft" state="frozen"/>
      <selection activeCell="A2" sqref="A2"/>
      <selection pane="bottomLeft" activeCell="C220" sqref="C220"/>
    </sheetView>
  </sheetViews>
  <sheetFormatPr defaultColWidth="9" defaultRowHeight="14.25"/>
  <cols>
    <col min="1" max="1" width="90.265625" style="5" bestFit="1" customWidth="1"/>
    <col min="2" max="2" width="28.3984375" style="11" bestFit="1" customWidth="1"/>
    <col min="3" max="3" width="14.73046875" style="8" bestFit="1" customWidth="1"/>
    <col min="4" max="4" width="18.265625" style="5" bestFit="1" customWidth="1"/>
    <col min="5" max="5" width="17.73046875" style="6" bestFit="1" customWidth="1"/>
    <col min="6" max="6" width="36.265625" style="6" bestFit="1" customWidth="1"/>
    <col min="7" max="7" width="44.59765625" style="7" bestFit="1" customWidth="1"/>
    <col min="8" max="8" width="16.73046875" style="12" bestFit="1" customWidth="1"/>
    <col min="9" max="9" width="18" style="5" bestFit="1" customWidth="1"/>
    <col min="10" max="10" width="15.73046875" style="6" bestFit="1" customWidth="1"/>
    <col min="11" max="11" width="8.3984375" style="5" bestFit="1" customWidth="1"/>
    <col min="12" max="12" width="15.86328125" style="6" bestFit="1" customWidth="1"/>
    <col min="13" max="13" width="7.59765625" style="6" bestFit="1" customWidth="1"/>
    <col min="14" max="14" width="12.265625" style="6" bestFit="1" customWidth="1"/>
    <col min="15" max="16384" width="9" style="5"/>
  </cols>
  <sheetData>
    <row r="1" spans="1:27" s="25" customFormat="1" ht="15" customHeight="1">
      <c r="A1" s="25" t="s">
        <v>83</v>
      </c>
      <c r="B1" s="25" t="s">
        <v>112</v>
      </c>
      <c r="C1" s="463" t="s">
        <v>113</v>
      </c>
      <c r="D1" s="25" t="s">
        <v>27</v>
      </c>
      <c r="E1" s="25" t="s">
        <v>10</v>
      </c>
      <c r="F1" s="25" t="s">
        <v>566</v>
      </c>
      <c r="G1" s="25" t="s">
        <v>565</v>
      </c>
      <c r="H1" s="25" t="s">
        <v>569</v>
      </c>
      <c r="I1" s="25" t="s">
        <v>114</v>
      </c>
      <c r="J1" s="25" t="s">
        <v>115</v>
      </c>
      <c r="K1" s="25" t="s">
        <v>568</v>
      </c>
      <c r="L1" s="25" t="s">
        <v>12</v>
      </c>
      <c r="M1" s="25" t="s">
        <v>13</v>
      </c>
      <c r="N1" s="464" t="s">
        <v>146</v>
      </c>
      <c r="O1" s="465"/>
      <c r="P1" s="465"/>
      <c r="Q1" s="465"/>
      <c r="R1" s="465"/>
      <c r="S1" s="465"/>
      <c r="T1" s="465"/>
      <c r="U1" s="465"/>
      <c r="V1" s="465"/>
      <c r="W1" s="465"/>
      <c r="X1" s="465"/>
      <c r="Y1" s="465"/>
      <c r="Z1" s="465"/>
      <c r="AA1" s="465"/>
    </row>
    <row r="2" spans="1:27" s="15" customFormat="1" ht="21" customHeight="1">
      <c r="A2" s="501" t="s">
        <v>990</v>
      </c>
      <c r="B2" s="502" t="s">
        <v>150</v>
      </c>
      <c r="C2" s="503" t="s">
        <v>3</v>
      </c>
      <c r="D2" s="502" t="s">
        <v>706</v>
      </c>
      <c r="E2" s="502" t="s">
        <v>707</v>
      </c>
      <c r="F2" s="502">
        <v>1922</v>
      </c>
      <c r="G2" s="504">
        <v>25.02</v>
      </c>
      <c r="H2" s="505" t="s">
        <v>352</v>
      </c>
      <c r="I2" s="502">
        <v>8</v>
      </c>
      <c r="J2" s="502">
        <v>2949</v>
      </c>
      <c r="K2" s="502">
        <v>16</v>
      </c>
      <c r="L2" s="502">
        <v>0</v>
      </c>
      <c r="M2" s="502">
        <v>1</v>
      </c>
      <c r="N2" s="502" t="s">
        <v>708</v>
      </c>
      <c r="O2" s="16"/>
      <c r="P2" s="16"/>
      <c r="Q2" s="16"/>
      <c r="R2" s="16"/>
      <c r="S2" s="16"/>
      <c r="T2" s="16"/>
      <c r="U2" s="16"/>
      <c r="V2" s="16"/>
      <c r="W2" s="16"/>
      <c r="X2" s="16"/>
      <c r="Y2" s="16"/>
      <c r="Z2" s="16"/>
      <c r="AA2" s="16"/>
    </row>
    <row r="3" spans="1:27" s="15" customFormat="1" ht="21" customHeight="1">
      <c r="A3" s="506" t="s">
        <v>729</v>
      </c>
      <c r="B3" s="6"/>
      <c r="C3" s="8" t="s">
        <v>233</v>
      </c>
      <c r="D3" s="6"/>
      <c r="E3" s="6"/>
      <c r="F3" s="6">
        <v>0</v>
      </c>
      <c r="G3" s="7">
        <v>0</v>
      </c>
      <c r="I3" s="6"/>
      <c r="J3" s="6">
        <v>50</v>
      </c>
      <c r="K3" s="6"/>
      <c r="L3" s="6"/>
      <c r="M3" s="499"/>
      <c r="N3" s="499"/>
      <c r="O3" s="16"/>
      <c r="P3" s="16"/>
      <c r="Q3" s="16"/>
      <c r="R3" s="16"/>
      <c r="S3" s="16"/>
      <c r="T3" s="16"/>
      <c r="U3" s="16"/>
      <c r="V3" s="16"/>
      <c r="W3" s="16"/>
      <c r="X3" s="16"/>
      <c r="Y3" s="16"/>
      <c r="Z3" s="16"/>
      <c r="AA3" s="16"/>
    </row>
    <row r="4" spans="1:27" s="15" customFormat="1" ht="21" customHeight="1">
      <c r="A4" s="506" t="s">
        <v>730</v>
      </c>
      <c r="B4" s="6"/>
      <c r="C4" s="8" t="s">
        <v>236</v>
      </c>
      <c r="D4" s="6"/>
      <c r="E4" s="6"/>
      <c r="F4" s="6">
        <v>0</v>
      </c>
      <c r="G4" s="7">
        <v>0</v>
      </c>
      <c r="I4" s="6"/>
      <c r="J4" s="6">
        <v>360</v>
      </c>
      <c r="K4" s="6"/>
      <c r="L4" s="6"/>
      <c r="M4" s="499"/>
      <c r="N4" s="499"/>
      <c r="O4" s="16"/>
      <c r="P4" s="16"/>
      <c r="Q4" s="16"/>
      <c r="R4" s="16"/>
      <c r="S4" s="16"/>
      <c r="T4" s="16"/>
      <c r="U4" s="16"/>
      <c r="V4" s="16"/>
      <c r="W4" s="16"/>
      <c r="X4" s="16"/>
      <c r="Y4" s="16"/>
      <c r="Z4" s="16"/>
      <c r="AA4" s="16"/>
    </row>
    <row r="5" spans="1:27" s="15" customFormat="1" ht="21" customHeight="1">
      <c r="A5" s="506" t="s">
        <v>731</v>
      </c>
      <c r="B5" s="6"/>
      <c r="C5" s="8" t="s">
        <v>233</v>
      </c>
      <c r="D5" s="6"/>
      <c r="E5" s="6"/>
      <c r="F5" s="6">
        <v>0</v>
      </c>
      <c r="G5" s="7">
        <v>0</v>
      </c>
      <c r="I5" s="6"/>
      <c r="J5" s="6">
        <v>6</v>
      </c>
      <c r="K5" s="6"/>
      <c r="L5" s="6"/>
      <c r="M5" s="499"/>
      <c r="N5" s="499"/>
      <c r="O5" s="16"/>
      <c r="P5" s="16"/>
      <c r="Q5" s="16"/>
      <c r="R5" s="16"/>
      <c r="S5" s="16"/>
      <c r="T5" s="16"/>
      <c r="U5" s="16"/>
      <c r="V5" s="16"/>
      <c r="W5" s="16"/>
      <c r="X5" s="16"/>
      <c r="Y5" s="16"/>
      <c r="Z5" s="16"/>
      <c r="AA5" s="16"/>
    </row>
    <row r="6" spans="1:27" s="15" customFormat="1" ht="21" customHeight="1">
      <c r="A6" s="506" t="s">
        <v>732</v>
      </c>
      <c r="B6" s="6"/>
      <c r="C6" s="8" t="s">
        <v>257</v>
      </c>
      <c r="D6" s="6"/>
      <c r="E6" s="6"/>
      <c r="F6" s="6">
        <v>273</v>
      </c>
      <c r="G6" s="7">
        <v>24.17</v>
      </c>
      <c r="I6" s="6"/>
      <c r="J6" s="6">
        <v>1832</v>
      </c>
      <c r="K6" s="6"/>
      <c r="L6" s="6"/>
      <c r="M6" s="499"/>
      <c r="N6" s="499"/>
      <c r="O6" s="16"/>
      <c r="P6" s="16"/>
      <c r="Q6" s="16"/>
      <c r="R6" s="16"/>
      <c r="S6" s="16"/>
      <c r="T6" s="16"/>
      <c r="U6" s="16"/>
      <c r="V6" s="16"/>
      <c r="W6" s="16"/>
      <c r="X6" s="16"/>
      <c r="Y6" s="16"/>
      <c r="Z6" s="16"/>
      <c r="AA6" s="16"/>
    </row>
    <row r="7" spans="1:27" s="15" customFormat="1" ht="21" customHeight="1">
      <c r="A7" s="506" t="s">
        <v>733</v>
      </c>
      <c r="B7" s="6"/>
      <c r="C7" s="8" t="s">
        <v>233</v>
      </c>
      <c r="D7" s="6"/>
      <c r="E7" s="6"/>
      <c r="F7" s="6">
        <v>0</v>
      </c>
      <c r="G7" s="7">
        <v>0</v>
      </c>
      <c r="I7" s="6"/>
      <c r="J7" s="6">
        <v>51</v>
      </c>
      <c r="K7" s="6"/>
      <c r="L7" s="6"/>
      <c r="M7" s="499"/>
      <c r="N7" s="499"/>
      <c r="O7" s="16"/>
      <c r="P7" s="16"/>
      <c r="Q7" s="16"/>
      <c r="R7" s="16"/>
      <c r="S7" s="16"/>
      <c r="T7" s="16"/>
      <c r="U7" s="16"/>
      <c r="V7" s="16"/>
      <c r="W7" s="16"/>
      <c r="X7" s="16"/>
      <c r="Y7" s="16"/>
      <c r="Z7" s="16"/>
      <c r="AA7" s="16"/>
    </row>
    <row r="8" spans="1:27" s="15" customFormat="1" ht="21" customHeight="1">
      <c r="A8" s="506" t="s">
        <v>734</v>
      </c>
      <c r="B8" s="6"/>
      <c r="C8" s="8" t="s">
        <v>236</v>
      </c>
      <c r="D8" s="6"/>
      <c r="E8" s="6"/>
      <c r="F8" s="6">
        <v>1789</v>
      </c>
      <c r="G8" s="7">
        <v>1.93</v>
      </c>
      <c r="I8" s="6"/>
      <c r="J8" s="6">
        <v>500</v>
      </c>
      <c r="K8" s="6"/>
      <c r="L8" s="6"/>
      <c r="M8" s="499"/>
      <c r="N8" s="499"/>
      <c r="O8" s="16"/>
      <c r="P8" s="16"/>
      <c r="Q8" s="16"/>
      <c r="R8" s="16"/>
      <c r="S8" s="16"/>
      <c r="T8" s="16"/>
      <c r="U8" s="16"/>
      <c r="V8" s="16"/>
      <c r="W8" s="16"/>
      <c r="X8" s="16"/>
      <c r="Y8" s="16"/>
      <c r="Z8" s="16"/>
      <c r="AA8" s="16"/>
    </row>
    <row r="9" spans="1:27" s="15" customFormat="1" ht="21" customHeight="1">
      <c r="A9" s="506" t="s">
        <v>735</v>
      </c>
      <c r="B9" s="6"/>
      <c r="C9" s="8" t="s">
        <v>233</v>
      </c>
      <c r="D9" s="6"/>
      <c r="E9" s="6"/>
      <c r="F9" s="6">
        <v>0</v>
      </c>
      <c r="G9" s="7">
        <v>0</v>
      </c>
      <c r="I9" s="6"/>
      <c r="J9" s="6">
        <v>50</v>
      </c>
      <c r="K9" s="6"/>
      <c r="L9" s="6"/>
      <c r="M9" s="499"/>
      <c r="N9" s="499"/>
      <c r="O9" s="16"/>
      <c r="P9" s="16"/>
      <c r="Q9" s="16"/>
      <c r="R9" s="16"/>
      <c r="S9" s="16"/>
      <c r="T9" s="16"/>
      <c r="U9" s="16"/>
      <c r="V9" s="16"/>
      <c r="W9" s="16"/>
      <c r="X9" s="16"/>
      <c r="Y9" s="16"/>
      <c r="Z9" s="16"/>
      <c r="AA9" s="16"/>
    </row>
    <row r="10" spans="1:27" s="15" customFormat="1" ht="21" customHeight="1">
      <c r="A10" s="506" t="s">
        <v>736</v>
      </c>
      <c r="B10" s="6"/>
      <c r="C10" s="8" t="s">
        <v>233</v>
      </c>
      <c r="D10" s="6"/>
      <c r="E10" s="6"/>
      <c r="F10" s="6">
        <v>86</v>
      </c>
      <c r="G10" s="7">
        <v>1.58</v>
      </c>
      <c r="I10" s="6"/>
      <c r="J10" s="6">
        <v>100</v>
      </c>
      <c r="K10" s="6"/>
      <c r="L10" s="6"/>
      <c r="M10" s="499"/>
      <c r="N10" s="499"/>
      <c r="O10" s="16"/>
      <c r="P10" s="16"/>
      <c r="Q10" s="16"/>
      <c r="R10" s="16"/>
      <c r="S10" s="16"/>
      <c r="T10" s="16"/>
      <c r="U10" s="16"/>
      <c r="V10" s="16"/>
      <c r="W10" s="16"/>
      <c r="X10" s="16"/>
      <c r="Y10" s="16"/>
      <c r="Z10" s="16"/>
      <c r="AA10" s="16"/>
    </row>
    <row r="11" spans="1:27" s="15" customFormat="1" ht="21" customHeight="1">
      <c r="A11" s="20"/>
      <c r="B11" s="6"/>
      <c r="C11" s="8"/>
      <c r="D11" s="6"/>
      <c r="E11" s="6"/>
      <c r="F11" s="6"/>
      <c r="G11" s="7"/>
      <c r="I11" s="6"/>
      <c r="J11" s="6"/>
      <c r="K11" s="6"/>
      <c r="L11" s="6"/>
      <c r="M11" s="499"/>
      <c r="N11" s="499"/>
      <c r="O11" s="16"/>
      <c r="P11" s="16"/>
      <c r="Q11" s="16"/>
      <c r="R11" s="16"/>
      <c r="S11" s="16"/>
      <c r="T11" s="16"/>
      <c r="U11" s="16"/>
      <c r="V11" s="16"/>
      <c r="W11" s="16"/>
      <c r="X11" s="16"/>
      <c r="Y11" s="16"/>
      <c r="Z11" s="16"/>
      <c r="AA11" s="16"/>
    </row>
    <row r="12" spans="1:27" s="15" customFormat="1" ht="21" customHeight="1">
      <c r="A12" s="501" t="s">
        <v>991</v>
      </c>
      <c r="B12" s="502" t="s">
        <v>150</v>
      </c>
      <c r="C12" s="507" t="s">
        <v>195</v>
      </c>
      <c r="D12" s="502" t="s">
        <v>709</v>
      </c>
      <c r="E12" s="502" t="s">
        <v>710</v>
      </c>
      <c r="F12" s="502">
        <v>39</v>
      </c>
      <c r="G12" s="504">
        <v>0.64</v>
      </c>
      <c r="H12" s="505" t="s">
        <v>276</v>
      </c>
      <c r="I12" s="502">
        <v>3</v>
      </c>
      <c r="J12" s="502">
        <v>200</v>
      </c>
      <c r="K12" s="502">
        <v>2</v>
      </c>
      <c r="L12" s="502">
        <v>0</v>
      </c>
      <c r="M12" s="507">
        <v>1</v>
      </c>
      <c r="N12" s="507" t="s">
        <v>708</v>
      </c>
      <c r="O12" s="16"/>
      <c r="P12" s="16"/>
      <c r="Q12" s="16"/>
      <c r="R12" s="16"/>
      <c r="S12" s="16"/>
      <c r="T12" s="16"/>
      <c r="U12" s="16"/>
      <c r="V12" s="16"/>
      <c r="W12" s="16"/>
      <c r="X12" s="16"/>
      <c r="Y12" s="16"/>
      <c r="Z12" s="16"/>
      <c r="AA12" s="16"/>
    </row>
    <row r="13" spans="1:27" s="15" customFormat="1" ht="21" customHeight="1">
      <c r="A13" s="506" t="s">
        <v>737</v>
      </c>
      <c r="B13" s="6"/>
      <c r="C13" s="8" t="s">
        <v>246</v>
      </c>
      <c r="D13" s="6"/>
      <c r="E13" s="6"/>
      <c r="F13" s="6">
        <v>0</v>
      </c>
      <c r="G13" s="7">
        <v>0</v>
      </c>
      <c r="I13" s="6"/>
      <c r="J13" s="6">
        <v>50</v>
      </c>
      <c r="K13" s="6"/>
      <c r="L13" s="6"/>
      <c r="M13" s="499"/>
      <c r="N13" s="499"/>
      <c r="O13" s="16"/>
      <c r="P13" s="16"/>
      <c r="Q13" s="16"/>
      <c r="R13" s="16"/>
      <c r="S13" s="16"/>
      <c r="T13" s="16"/>
      <c r="U13" s="16"/>
      <c r="V13" s="16"/>
      <c r="W13" s="16"/>
      <c r="X13" s="16"/>
      <c r="Y13" s="16"/>
      <c r="Z13" s="16"/>
      <c r="AA13" s="16"/>
    </row>
    <row r="14" spans="1:27" s="15" customFormat="1" ht="21" customHeight="1">
      <c r="A14" s="506" t="s">
        <v>738</v>
      </c>
      <c r="B14" s="6"/>
      <c r="C14" s="8" t="s">
        <v>246</v>
      </c>
      <c r="D14" s="6"/>
      <c r="E14" s="6"/>
      <c r="F14" s="6">
        <v>0</v>
      </c>
      <c r="G14" s="7">
        <v>0</v>
      </c>
      <c r="I14" s="6"/>
      <c r="J14" s="6">
        <v>50</v>
      </c>
      <c r="K14" s="6"/>
      <c r="L14" s="6"/>
      <c r="M14" s="499"/>
      <c r="N14" s="499"/>
      <c r="O14" s="16"/>
      <c r="P14" s="16"/>
      <c r="Q14" s="16"/>
      <c r="R14" s="16"/>
      <c r="S14" s="16"/>
      <c r="T14" s="16"/>
      <c r="U14" s="16"/>
      <c r="V14" s="16"/>
      <c r="W14" s="16"/>
      <c r="X14" s="16"/>
      <c r="Y14" s="16"/>
      <c r="Z14" s="16"/>
      <c r="AA14" s="16"/>
    </row>
    <row r="15" spans="1:27" s="15" customFormat="1" ht="21" customHeight="1">
      <c r="A15" s="506" t="s">
        <v>739</v>
      </c>
      <c r="B15" s="6"/>
      <c r="C15" s="8" t="s">
        <v>247</v>
      </c>
      <c r="D15" s="6"/>
      <c r="E15" s="6"/>
      <c r="F15" s="6">
        <v>39</v>
      </c>
      <c r="G15" s="7">
        <v>0.64</v>
      </c>
      <c r="I15" s="6"/>
      <c r="J15" s="6">
        <v>100</v>
      </c>
      <c r="K15" s="6"/>
      <c r="L15" s="6"/>
      <c r="M15" s="499"/>
      <c r="N15" s="499"/>
      <c r="O15" s="16"/>
      <c r="P15" s="16"/>
      <c r="Q15" s="16"/>
      <c r="R15" s="16"/>
      <c r="S15" s="16"/>
      <c r="T15" s="16"/>
      <c r="U15" s="16"/>
      <c r="V15" s="16"/>
      <c r="W15" s="16"/>
      <c r="X15" s="16"/>
      <c r="Y15" s="16"/>
      <c r="Z15" s="16"/>
      <c r="AA15" s="16"/>
    </row>
    <row r="16" spans="1:27" s="15" customFormat="1" ht="21" customHeight="1">
      <c r="A16" s="20"/>
      <c r="B16" s="6"/>
      <c r="C16" s="8"/>
      <c r="D16" s="6"/>
      <c r="E16" s="6"/>
      <c r="F16" s="6"/>
      <c r="G16" s="7"/>
      <c r="I16" s="6"/>
      <c r="J16" s="6"/>
      <c r="K16" s="6"/>
      <c r="L16" s="6"/>
      <c r="M16" s="499"/>
      <c r="N16" s="499"/>
      <c r="O16" s="16"/>
      <c r="P16" s="16"/>
      <c r="Q16" s="16"/>
      <c r="R16" s="16"/>
      <c r="S16" s="16"/>
      <c r="T16" s="16"/>
      <c r="U16" s="16"/>
      <c r="V16" s="16"/>
      <c r="W16" s="16"/>
      <c r="X16" s="16"/>
      <c r="Y16" s="16"/>
      <c r="Z16" s="16"/>
      <c r="AA16" s="16"/>
    </row>
    <row r="17" spans="1:27" s="15" customFormat="1" ht="21" customHeight="1">
      <c r="A17" s="501" t="s">
        <v>992</v>
      </c>
      <c r="B17" s="502" t="s">
        <v>150</v>
      </c>
      <c r="C17" s="507" t="s">
        <v>195</v>
      </c>
      <c r="D17" s="502" t="s">
        <v>709</v>
      </c>
      <c r="E17" s="502" t="s">
        <v>710</v>
      </c>
      <c r="F17" s="502">
        <v>29</v>
      </c>
      <c r="G17" s="504">
        <v>0.41</v>
      </c>
      <c r="H17" s="505" t="s">
        <v>276</v>
      </c>
      <c r="I17" s="502">
        <v>3</v>
      </c>
      <c r="J17" s="502">
        <v>450</v>
      </c>
      <c r="K17" s="502">
        <v>2</v>
      </c>
      <c r="L17" s="502">
        <v>0</v>
      </c>
      <c r="M17" s="507">
        <v>1</v>
      </c>
      <c r="N17" s="507" t="s">
        <v>708</v>
      </c>
      <c r="O17" s="16"/>
      <c r="P17" s="16"/>
      <c r="Q17" s="16"/>
      <c r="R17" s="16"/>
      <c r="S17" s="16"/>
      <c r="T17" s="16"/>
      <c r="U17" s="16"/>
      <c r="V17" s="16"/>
      <c r="W17" s="16"/>
      <c r="X17" s="16"/>
      <c r="Y17" s="16"/>
      <c r="Z17" s="16"/>
      <c r="AA17" s="16"/>
    </row>
    <row r="18" spans="1:27" s="15" customFormat="1" ht="21" customHeight="1">
      <c r="A18" s="506" t="s">
        <v>1074</v>
      </c>
      <c r="B18" s="6"/>
      <c r="C18" s="8" t="s">
        <v>246</v>
      </c>
      <c r="D18" s="6"/>
      <c r="E18" s="6"/>
      <c r="F18" s="6">
        <v>0</v>
      </c>
      <c r="G18" s="7">
        <v>0</v>
      </c>
      <c r="I18" s="6"/>
      <c r="J18" s="6">
        <v>50</v>
      </c>
      <c r="K18" s="6"/>
      <c r="L18" s="6"/>
      <c r="M18" s="499"/>
      <c r="N18" s="499"/>
      <c r="O18" s="16"/>
      <c r="P18" s="16"/>
      <c r="Q18" s="16"/>
      <c r="R18" s="16"/>
      <c r="S18" s="16"/>
      <c r="T18" s="16"/>
      <c r="U18" s="16"/>
      <c r="V18" s="16"/>
      <c r="W18" s="16"/>
      <c r="X18" s="16"/>
      <c r="Y18" s="16"/>
      <c r="Z18" s="16"/>
      <c r="AA18" s="16"/>
    </row>
    <row r="19" spans="1:27" s="15" customFormat="1" ht="21" customHeight="1">
      <c r="A19" s="506" t="s">
        <v>1075</v>
      </c>
      <c r="B19" s="6"/>
      <c r="C19" s="8" t="s">
        <v>248</v>
      </c>
      <c r="D19" s="6"/>
      <c r="E19" s="6"/>
      <c r="F19" s="6">
        <v>0</v>
      </c>
      <c r="G19" s="7">
        <v>0</v>
      </c>
      <c r="I19" s="6"/>
      <c r="J19" s="6">
        <v>300</v>
      </c>
      <c r="K19" s="6"/>
      <c r="L19" s="6"/>
      <c r="M19" s="499"/>
      <c r="N19" s="499"/>
      <c r="O19" s="16"/>
      <c r="P19" s="16"/>
      <c r="Q19" s="16"/>
      <c r="R19" s="16"/>
      <c r="S19" s="16"/>
      <c r="T19" s="16"/>
      <c r="U19" s="16"/>
      <c r="V19" s="16"/>
      <c r="W19" s="16"/>
      <c r="X19" s="16"/>
      <c r="Y19" s="16"/>
      <c r="Z19" s="16"/>
      <c r="AA19" s="16"/>
    </row>
    <row r="20" spans="1:27" s="15" customFormat="1" ht="21" customHeight="1">
      <c r="A20" s="506" t="s">
        <v>1076</v>
      </c>
      <c r="B20" s="6"/>
      <c r="C20" s="8" t="s">
        <v>247</v>
      </c>
      <c r="D20" s="6"/>
      <c r="E20" s="6"/>
      <c r="F20" s="6">
        <v>28</v>
      </c>
      <c r="G20" s="7">
        <v>0.41</v>
      </c>
      <c r="I20" s="6"/>
      <c r="J20" s="6">
        <v>100</v>
      </c>
      <c r="K20" s="6"/>
      <c r="L20" s="6"/>
      <c r="M20" s="499"/>
      <c r="N20" s="499"/>
      <c r="O20" s="16"/>
      <c r="P20" s="16"/>
      <c r="Q20" s="16"/>
      <c r="R20" s="16"/>
      <c r="S20" s="16"/>
      <c r="T20" s="16"/>
      <c r="U20" s="16"/>
      <c r="V20" s="16"/>
      <c r="W20" s="16"/>
      <c r="X20" s="16"/>
      <c r="Y20" s="16"/>
      <c r="Z20" s="16"/>
      <c r="AA20" s="16"/>
    </row>
    <row r="21" spans="1:27" s="15" customFormat="1" ht="21" customHeight="1">
      <c r="A21" s="20"/>
      <c r="B21" s="6"/>
      <c r="C21" s="8"/>
      <c r="D21" s="6"/>
      <c r="E21" s="6"/>
      <c r="F21" s="6"/>
      <c r="G21" s="7"/>
      <c r="I21" s="6"/>
      <c r="J21" s="6"/>
      <c r="K21" s="6"/>
      <c r="L21" s="6"/>
      <c r="M21" s="499"/>
      <c r="N21" s="499"/>
      <c r="O21" s="16"/>
      <c r="P21" s="16"/>
      <c r="Q21" s="16"/>
      <c r="R21" s="16"/>
      <c r="S21" s="16"/>
      <c r="T21" s="16"/>
      <c r="U21" s="16"/>
      <c r="V21" s="16"/>
      <c r="W21" s="16"/>
      <c r="X21" s="16"/>
      <c r="Y21" s="16"/>
      <c r="Z21" s="16"/>
      <c r="AA21" s="16"/>
    </row>
    <row r="22" spans="1:27" s="15" customFormat="1" ht="21" customHeight="1">
      <c r="A22" s="501" t="s">
        <v>993</v>
      </c>
      <c r="B22" s="502" t="s">
        <v>150</v>
      </c>
      <c r="C22" s="507" t="s">
        <v>195</v>
      </c>
      <c r="D22" s="502" t="s">
        <v>709</v>
      </c>
      <c r="E22" s="502" t="s">
        <v>710</v>
      </c>
      <c r="F22" s="502">
        <v>12</v>
      </c>
      <c r="G22" s="504">
        <v>0.21</v>
      </c>
      <c r="H22" s="505" t="s">
        <v>342</v>
      </c>
      <c r="I22" s="502">
        <v>2</v>
      </c>
      <c r="J22" s="502">
        <v>177</v>
      </c>
      <c r="K22" s="502">
        <v>16</v>
      </c>
      <c r="L22" s="502">
        <v>0</v>
      </c>
      <c r="M22" s="507">
        <v>2</v>
      </c>
      <c r="N22" s="507" t="s">
        <v>708</v>
      </c>
      <c r="O22" s="16"/>
      <c r="P22" s="16"/>
      <c r="Q22" s="16"/>
      <c r="R22" s="16"/>
      <c r="S22" s="16"/>
      <c r="T22" s="16"/>
      <c r="U22" s="16"/>
      <c r="V22" s="16"/>
      <c r="W22" s="16"/>
      <c r="X22" s="16"/>
      <c r="Y22" s="16"/>
      <c r="Z22" s="16"/>
      <c r="AA22" s="16"/>
    </row>
    <row r="23" spans="1:27" s="15" customFormat="1" ht="21" customHeight="1">
      <c r="A23" s="506" t="s">
        <v>1077</v>
      </c>
      <c r="B23" s="6"/>
      <c r="C23" s="8" t="s">
        <v>247</v>
      </c>
      <c r="D23" s="6"/>
      <c r="E23" s="6"/>
      <c r="F23" s="6">
        <v>12</v>
      </c>
      <c r="G23" s="7">
        <v>0.21</v>
      </c>
      <c r="I23" s="6"/>
      <c r="J23" s="6">
        <v>127</v>
      </c>
      <c r="K23" s="6"/>
      <c r="L23" s="6"/>
      <c r="M23" s="499"/>
      <c r="N23" s="499"/>
      <c r="O23" s="16"/>
      <c r="P23" s="16"/>
      <c r="Q23" s="16"/>
      <c r="R23" s="16"/>
      <c r="S23" s="16"/>
      <c r="T23" s="16"/>
      <c r="U23" s="16"/>
      <c r="V23" s="16"/>
      <c r="W23" s="16"/>
      <c r="X23" s="16"/>
      <c r="Y23" s="16"/>
      <c r="Z23" s="16"/>
      <c r="AA23" s="16"/>
    </row>
    <row r="24" spans="1:27" s="15" customFormat="1" ht="21" customHeight="1">
      <c r="A24" s="506" t="s">
        <v>1078</v>
      </c>
      <c r="B24" s="6"/>
      <c r="C24" s="8" t="s">
        <v>246</v>
      </c>
      <c r="D24" s="6"/>
      <c r="E24" s="6"/>
      <c r="F24" s="6">
        <v>0</v>
      </c>
      <c r="G24" s="7">
        <v>0</v>
      </c>
      <c r="I24" s="6"/>
      <c r="J24" s="6">
        <v>50</v>
      </c>
      <c r="K24" s="6"/>
      <c r="L24" s="6"/>
      <c r="M24" s="499"/>
      <c r="N24" s="499"/>
      <c r="O24" s="16"/>
      <c r="P24" s="16"/>
      <c r="Q24" s="16"/>
      <c r="R24" s="16"/>
      <c r="S24" s="16"/>
      <c r="T24" s="16"/>
      <c r="U24" s="16"/>
      <c r="V24" s="16"/>
      <c r="W24" s="16"/>
      <c r="X24" s="16"/>
      <c r="Y24" s="16"/>
      <c r="Z24" s="16"/>
      <c r="AA24" s="16"/>
    </row>
    <row r="25" spans="1:27" s="15" customFormat="1" ht="21" customHeight="1">
      <c r="A25" s="20"/>
      <c r="B25" s="6"/>
      <c r="C25" s="8"/>
      <c r="D25" s="6"/>
      <c r="E25" s="6"/>
      <c r="F25" s="6"/>
      <c r="G25" s="7"/>
      <c r="I25" s="6"/>
      <c r="J25" s="6"/>
      <c r="K25" s="6"/>
      <c r="L25" s="6"/>
      <c r="M25" s="499"/>
      <c r="N25" s="499"/>
      <c r="O25" s="16"/>
      <c r="P25" s="16"/>
      <c r="Q25" s="16"/>
      <c r="R25" s="16"/>
      <c r="S25" s="16"/>
      <c r="T25" s="16"/>
      <c r="U25" s="16"/>
      <c r="V25" s="16"/>
      <c r="W25" s="16"/>
      <c r="X25" s="16"/>
      <c r="Y25" s="16"/>
      <c r="Z25" s="16"/>
      <c r="AA25" s="16"/>
    </row>
    <row r="26" spans="1:27" s="15" customFormat="1" ht="21" customHeight="1">
      <c r="A26" s="501" t="s">
        <v>994</v>
      </c>
      <c r="B26" s="502" t="s">
        <v>150</v>
      </c>
      <c r="C26" s="507" t="s">
        <v>195</v>
      </c>
      <c r="D26" s="502" t="s">
        <v>709</v>
      </c>
      <c r="E26" s="502" t="s">
        <v>710</v>
      </c>
      <c r="F26" s="502">
        <v>28</v>
      </c>
      <c r="G26" s="504">
        <v>0.55000000000000004</v>
      </c>
      <c r="H26" s="505" t="s">
        <v>342</v>
      </c>
      <c r="I26" s="502">
        <v>6</v>
      </c>
      <c r="J26" s="502">
        <v>900</v>
      </c>
      <c r="K26" s="502">
        <v>16</v>
      </c>
      <c r="L26" s="502">
        <v>0</v>
      </c>
      <c r="M26" s="507">
        <v>1</v>
      </c>
      <c r="N26" s="507" t="s">
        <v>708</v>
      </c>
      <c r="O26" s="16"/>
      <c r="P26" s="16"/>
      <c r="Q26" s="16"/>
      <c r="R26" s="16"/>
      <c r="S26" s="16"/>
      <c r="T26" s="16"/>
      <c r="U26" s="16"/>
      <c r="V26" s="16"/>
      <c r="W26" s="16"/>
      <c r="X26" s="16"/>
      <c r="Y26" s="16"/>
      <c r="Z26" s="16"/>
      <c r="AA26" s="16"/>
    </row>
    <row r="27" spans="1:27" s="15" customFormat="1" ht="21" customHeight="1">
      <c r="A27" s="506" t="s">
        <v>1079</v>
      </c>
      <c r="B27" s="6"/>
      <c r="C27" s="8" t="s">
        <v>247</v>
      </c>
      <c r="D27" s="6"/>
      <c r="E27" s="6"/>
      <c r="F27" s="6">
        <v>24</v>
      </c>
      <c r="G27" s="7">
        <v>0.53</v>
      </c>
      <c r="I27" s="6"/>
      <c r="J27" s="6">
        <v>100</v>
      </c>
      <c r="K27" s="6"/>
      <c r="L27" s="6"/>
      <c r="M27" s="499"/>
      <c r="N27" s="499"/>
      <c r="O27" s="16"/>
      <c r="P27" s="16"/>
      <c r="Q27" s="16"/>
      <c r="R27" s="16"/>
      <c r="S27" s="16"/>
      <c r="T27" s="16"/>
      <c r="U27" s="16"/>
      <c r="V27" s="16"/>
      <c r="W27" s="16"/>
      <c r="X27" s="16"/>
      <c r="Y27" s="16"/>
      <c r="Z27" s="16"/>
      <c r="AA27" s="16"/>
    </row>
    <row r="28" spans="1:27" s="15" customFormat="1" ht="21" customHeight="1">
      <c r="A28" s="506" t="s">
        <v>1080</v>
      </c>
      <c r="B28" s="6"/>
      <c r="C28" s="8" t="s">
        <v>246</v>
      </c>
      <c r="D28" s="6"/>
      <c r="E28" s="6"/>
      <c r="F28" s="6">
        <v>8</v>
      </c>
      <c r="G28" s="7">
        <v>0.04</v>
      </c>
      <c r="I28" s="6"/>
      <c r="J28" s="6">
        <v>50</v>
      </c>
      <c r="K28" s="6"/>
      <c r="L28" s="6"/>
      <c r="M28" s="499"/>
      <c r="N28" s="499"/>
      <c r="O28" s="16"/>
      <c r="P28" s="16"/>
      <c r="Q28" s="16"/>
      <c r="R28" s="16"/>
      <c r="S28" s="16"/>
      <c r="T28" s="16"/>
      <c r="U28" s="16"/>
      <c r="V28" s="16"/>
      <c r="W28" s="16"/>
      <c r="X28" s="16"/>
      <c r="Y28" s="16"/>
      <c r="Z28" s="16"/>
      <c r="AA28" s="16"/>
    </row>
    <row r="29" spans="1:27" s="15" customFormat="1" ht="21" customHeight="1">
      <c r="A29" s="506" t="s">
        <v>1081</v>
      </c>
      <c r="B29" s="6"/>
      <c r="C29" s="8" t="s">
        <v>559</v>
      </c>
      <c r="D29" s="6"/>
      <c r="E29" s="6"/>
      <c r="F29" s="6">
        <v>0</v>
      </c>
      <c r="G29" s="7">
        <v>0</v>
      </c>
      <c r="I29" s="6"/>
      <c r="J29" s="6">
        <v>200</v>
      </c>
      <c r="K29" s="6"/>
      <c r="L29" s="6"/>
      <c r="M29" s="499"/>
      <c r="N29" s="499"/>
      <c r="O29" s="16"/>
      <c r="P29" s="16"/>
      <c r="Q29" s="16"/>
      <c r="R29" s="16"/>
      <c r="S29" s="16"/>
      <c r="T29" s="16"/>
      <c r="U29" s="16"/>
      <c r="V29" s="16"/>
      <c r="W29" s="16"/>
      <c r="X29" s="16"/>
      <c r="Y29" s="16"/>
      <c r="Z29" s="16"/>
      <c r="AA29" s="16"/>
    </row>
    <row r="30" spans="1:27" s="15" customFormat="1" ht="21" customHeight="1">
      <c r="A30" s="506" t="s">
        <v>1082</v>
      </c>
      <c r="B30" s="6"/>
      <c r="C30" s="8" t="s">
        <v>559</v>
      </c>
      <c r="D30" s="6"/>
      <c r="E30" s="6"/>
      <c r="F30" s="6">
        <v>0</v>
      </c>
      <c r="G30" s="7">
        <v>0</v>
      </c>
      <c r="I30" s="6"/>
      <c r="J30" s="6">
        <v>250</v>
      </c>
      <c r="K30" s="6"/>
      <c r="L30" s="6"/>
      <c r="M30" s="499"/>
      <c r="N30" s="499"/>
      <c r="O30" s="16"/>
      <c r="P30" s="16"/>
      <c r="Q30" s="16"/>
      <c r="R30" s="16"/>
      <c r="S30" s="16"/>
      <c r="T30" s="16"/>
      <c r="U30" s="16"/>
      <c r="V30" s="16"/>
      <c r="W30" s="16"/>
      <c r="X30" s="16"/>
      <c r="Y30" s="16"/>
      <c r="Z30" s="16"/>
      <c r="AA30" s="16"/>
    </row>
    <row r="31" spans="1:27" s="15" customFormat="1" ht="21" customHeight="1">
      <c r="A31" s="506" t="s">
        <v>1083</v>
      </c>
      <c r="B31" s="6"/>
      <c r="C31" s="8" t="s">
        <v>559</v>
      </c>
      <c r="D31" s="6"/>
      <c r="E31" s="6"/>
      <c r="F31" s="6">
        <v>0</v>
      </c>
      <c r="G31" s="7">
        <v>0</v>
      </c>
      <c r="I31" s="6"/>
      <c r="J31" s="6">
        <v>200</v>
      </c>
      <c r="K31" s="6"/>
      <c r="L31" s="6"/>
      <c r="M31" s="499"/>
      <c r="N31" s="499"/>
      <c r="O31" s="16"/>
      <c r="P31" s="16"/>
      <c r="Q31" s="16"/>
      <c r="R31" s="16"/>
      <c r="S31" s="16"/>
      <c r="T31" s="16"/>
      <c r="U31" s="16"/>
      <c r="V31" s="16"/>
      <c r="W31" s="16"/>
      <c r="X31" s="16"/>
      <c r="Y31" s="16"/>
      <c r="Z31" s="16"/>
      <c r="AA31" s="16"/>
    </row>
    <row r="32" spans="1:27" s="15" customFormat="1" ht="21" customHeight="1">
      <c r="A32" s="506" t="s">
        <v>1084</v>
      </c>
      <c r="B32" s="6"/>
      <c r="C32" s="8" t="s">
        <v>247</v>
      </c>
      <c r="D32" s="6"/>
      <c r="E32" s="6"/>
      <c r="F32" s="6">
        <v>0</v>
      </c>
      <c r="G32" s="7">
        <v>0</v>
      </c>
      <c r="I32" s="6"/>
      <c r="J32" s="6">
        <v>100</v>
      </c>
      <c r="K32" s="6"/>
      <c r="L32" s="6"/>
      <c r="M32" s="499"/>
      <c r="N32" s="499"/>
      <c r="O32" s="16"/>
      <c r="P32" s="16"/>
      <c r="Q32" s="16"/>
      <c r="R32" s="16"/>
      <c r="S32" s="16"/>
      <c r="T32" s="16"/>
      <c r="U32" s="16"/>
      <c r="V32" s="16"/>
      <c r="W32" s="16"/>
      <c r="X32" s="16"/>
      <c r="Y32" s="16"/>
      <c r="Z32" s="16"/>
      <c r="AA32" s="16"/>
    </row>
    <row r="33" spans="1:27" s="15" customFormat="1" ht="21" customHeight="1">
      <c r="A33" s="20"/>
      <c r="B33" s="6"/>
      <c r="C33" s="8"/>
      <c r="D33" s="6"/>
      <c r="E33" s="6"/>
      <c r="F33" s="6"/>
      <c r="G33" s="7"/>
      <c r="I33" s="6"/>
      <c r="J33" s="6"/>
      <c r="K33" s="6"/>
      <c r="L33" s="6"/>
      <c r="M33" s="499"/>
      <c r="N33" s="499"/>
      <c r="O33" s="16"/>
      <c r="P33" s="16"/>
      <c r="Q33" s="16"/>
      <c r="R33" s="16"/>
      <c r="S33" s="16"/>
      <c r="T33" s="16"/>
      <c r="U33" s="16"/>
      <c r="V33" s="16"/>
      <c r="W33" s="16"/>
      <c r="X33" s="16"/>
      <c r="Y33" s="16"/>
      <c r="Z33" s="16"/>
      <c r="AA33" s="16"/>
    </row>
    <row r="34" spans="1:27" s="15" customFormat="1" ht="21" customHeight="1">
      <c r="A34" s="501" t="s">
        <v>995</v>
      </c>
      <c r="B34" s="502" t="s">
        <v>150</v>
      </c>
      <c r="C34" s="503" t="s">
        <v>3</v>
      </c>
      <c r="D34" s="502" t="s">
        <v>706</v>
      </c>
      <c r="E34" s="502" t="s">
        <v>707</v>
      </c>
      <c r="F34" s="502">
        <v>548</v>
      </c>
      <c r="G34" s="504">
        <v>0.74</v>
      </c>
      <c r="H34" s="505" t="s">
        <v>350</v>
      </c>
      <c r="I34" s="502">
        <v>3</v>
      </c>
      <c r="J34" s="502">
        <v>601</v>
      </c>
      <c r="K34" s="502">
        <v>4</v>
      </c>
      <c r="L34" s="502">
        <v>0</v>
      </c>
      <c r="M34" s="507">
        <v>1</v>
      </c>
      <c r="N34" s="507" t="s">
        <v>708</v>
      </c>
      <c r="O34" s="16"/>
      <c r="P34" s="16"/>
      <c r="Q34" s="16"/>
      <c r="R34" s="16"/>
      <c r="S34" s="16"/>
      <c r="T34" s="16"/>
      <c r="U34" s="16"/>
      <c r="V34" s="16"/>
      <c r="W34" s="16"/>
      <c r="X34" s="16"/>
      <c r="Y34" s="16"/>
      <c r="Z34" s="16"/>
      <c r="AA34" s="16"/>
    </row>
    <row r="35" spans="1:27" s="15" customFormat="1" ht="21" customHeight="1">
      <c r="A35" s="506" t="s">
        <v>1085</v>
      </c>
      <c r="B35" s="6"/>
      <c r="C35" s="8" t="s">
        <v>560</v>
      </c>
      <c r="D35" s="6"/>
      <c r="E35" s="6"/>
      <c r="F35" s="6">
        <v>0</v>
      </c>
      <c r="G35" s="7">
        <v>0</v>
      </c>
      <c r="I35" s="6"/>
      <c r="J35" s="6">
        <v>250</v>
      </c>
      <c r="K35" s="6"/>
      <c r="L35" s="6"/>
      <c r="M35" s="499"/>
      <c r="N35" s="499"/>
      <c r="O35" s="16"/>
      <c r="P35" s="16"/>
      <c r="Q35" s="16"/>
      <c r="R35" s="16"/>
      <c r="S35" s="16"/>
      <c r="T35" s="16"/>
      <c r="U35" s="16"/>
      <c r="V35" s="16"/>
      <c r="W35" s="16"/>
      <c r="X35" s="16"/>
      <c r="Y35" s="16"/>
      <c r="Z35" s="16"/>
      <c r="AA35" s="16"/>
    </row>
    <row r="36" spans="1:27" s="15" customFormat="1" ht="21" customHeight="1">
      <c r="A36" s="506" t="s">
        <v>1086</v>
      </c>
      <c r="B36" s="6"/>
      <c r="C36" s="8" t="s">
        <v>560</v>
      </c>
      <c r="D36" s="6"/>
      <c r="E36" s="6"/>
      <c r="F36" s="6">
        <v>548</v>
      </c>
      <c r="G36" s="7">
        <v>0.74</v>
      </c>
      <c r="I36" s="6"/>
      <c r="J36" s="6">
        <v>100</v>
      </c>
      <c r="K36" s="6"/>
      <c r="L36" s="6"/>
      <c r="M36" s="499"/>
      <c r="N36" s="499"/>
      <c r="O36" s="16"/>
      <c r="P36" s="16"/>
      <c r="Q36" s="16"/>
      <c r="R36" s="16"/>
      <c r="S36" s="16"/>
      <c r="T36" s="16"/>
      <c r="U36" s="16"/>
      <c r="V36" s="16"/>
      <c r="W36" s="16"/>
      <c r="X36" s="16"/>
      <c r="Y36" s="16"/>
      <c r="Z36" s="16"/>
      <c r="AA36" s="16"/>
    </row>
    <row r="37" spans="1:27" s="15" customFormat="1" ht="21" customHeight="1">
      <c r="A37" s="506" t="s">
        <v>1087</v>
      </c>
      <c r="B37" s="6"/>
      <c r="C37" s="8" t="s">
        <v>560</v>
      </c>
      <c r="D37" s="6"/>
      <c r="E37" s="6"/>
      <c r="F37" s="6">
        <v>0</v>
      </c>
      <c r="G37" s="7">
        <v>0</v>
      </c>
      <c r="I37" s="6"/>
      <c r="J37" s="6">
        <v>251</v>
      </c>
      <c r="K37" s="6"/>
      <c r="L37" s="6"/>
      <c r="M37" s="499"/>
      <c r="N37" s="499"/>
      <c r="O37" s="16"/>
      <c r="P37" s="16"/>
      <c r="Q37" s="16"/>
      <c r="R37" s="16"/>
      <c r="S37" s="16"/>
      <c r="T37" s="16"/>
      <c r="U37" s="16"/>
      <c r="V37" s="16"/>
      <c r="W37" s="16"/>
      <c r="X37" s="16"/>
      <c r="Y37" s="16"/>
      <c r="Z37" s="16"/>
      <c r="AA37" s="16"/>
    </row>
    <row r="38" spans="1:27" s="15" customFormat="1" ht="21" customHeight="1">
      <c r="A38" s="20"/>
      <c r="B38" s="6"/>
      <c r="C38" s="8"/>
      <c r="D38" s="6"/>
      <c r="E38" s="6"/>
      <c r="F38" s="6"/>
      <c r="G38" s="7"/>
      <c r="I38" s="6"/>
      <c r="J38" s="6"/>
      <c r="K38" s="6"/>
      <c r="L38" s="6"/>
      <c r="M38" s="499"/>
      <c r="N38" s="499"/>
      <c r="O38" s="16"/>
      <c r="P38" s="16"/>
      <c r="Q38" s="16"/>
      <c r="R38" s="16"/>
      <c r="S38" s="16"/>
      <c r="T38" s="16"/>
      <c r="U38" s="16"/>
      <c r="V38" s="16"/>
      <c r="W38" s="16"/>
      <c r="X38" s="16"/>
      <c r="Y38" s="16"/>
      <c r="Z38" s="16"/>
      <c r="AA38" s="16"/>
    </row>
    <row r="39" spans="1:27" s="15" customFormat="1" ht="21" customHeight="1">
      <c r="A39" s="501" t="s">
        <v>996</v>
      </c>
      <c r="B39" s="502" t="s">
        <v>150</v>
      </c>
      <c r="C39" s="507" t="s">
        <v>195</v>
      </c>
      <c r="D39" s="502" t="s">
        <v>709</v>
      </c>
      <c r="E39" s="502" t="s">
        <v>710</v>
      </c>
      <c r="F39" s="502">
        <v>69</v>
      </c>
      <c r="G39" s="504">
        <v>0.45</v>
      </c>
      <c r="H39" s="505" t="s">
        <v>342</v>
      </c>
      <c r="I39" s="502">
        <v>13</v>
      </c>
      <c r="J39" s="502">
        <v>1494</v>
      </c>
      <c r="K39" s="502">
        <v>16</v>
      </c>
      <c r="L39" s="502">
        <v>0</v>
      </c>
      <c r="M39" s="507">
        <v>2</v>
      </c>
      <c r="N39" s="507" t="s">
        <v>708</v>
      </c>
      <c r="O39" s="16"/>
      <c r="P39" s="16"/>
      <c r="Q39" s="16"/>
      <c r="R39" s="16"/>
      <c r="S39" s="16"/>
      <c r="T39" s="16"/>
      <c r="U39" s="16"/>
      <c r="V39" s="16"/>
      <c r="W39" s="16"/>
      <c r="X39" s="16"/>
      <c r="Y39" s="16"/>
      <c r="Z39" s="16"/>
      <c r="AA39" s="16"/>
    </row>
    <row r="40" spans="1:27" s="15" customFormat="1" ht="21" customHeight="1">
      <c r="A40" s="506" t="s">
        <v>740</v>
      </c>
      <c r="B40" s="6"/>
      <c r="C40" s="8" t="s">
        <v>247</v>
      </c>
      <c r="D40" s="6"/>
      <c r="E40" s="6"/>
      <c r="F40" s="6">
        <v>3</v>
      </c>
      <c r="G40" s="7">
        <v>0.01</v>
      </c>
      <c r="I40" s="6"/>
      <c r="J40" s="6">
        <v>90</v>
      </c>
      <c r="K40" s="6"/>
      <c r="L40" s="6"/>
      <c r="M40" s="499"/>
      <c r="N40" s="499"/>
      <c r="O40" s="16"/>
      <c r="P40" s="16"/>
      <c r="Q40" s="16"/>
      <c r="R40" s="16"/>
      <c r="S40" s="16"/>
      <c r="T40" s="16"/>
      <c r="U40" s="16"/>
      <c r="V40" s="16"/>
      <c r="W40" s="16"/>
      <c r="X40" s="16"/>
      <c r="Y40" s="16"/>
      <c r="Z40" s="16"/>
      <c r="AA40" s="16"/>
    </row>
    <row r="41" spans="1:27" s="15" customFormat="1" ht="21" customHeight="1">
      <c r="A41" s="506" t="s">
        <v>741</v>
      </c>
      <c r="B41" s="6"/>
      <c r="C41" s="8" t="s">
        <v>247</v>
      </c>
      <c r="D41" s="6"/>
      <c r="E41" s="6"/>
      <c r="F41" s="6">
        <v>0</v>
      </c>
      <c r="G41" s="7">
        <v>0</v>
      </c>
      <c r="I41" s="6"/>
      <c r="J41" s="6">
        <v>101</v>
      </c>
      <c r="K41" s="6"/>
      <c r="L41" s="6"/>
      <c r="M41" s="499"/>
      <c r="N41" s="499"/>
      <c r="O41" s="16"/>
      <c r="P41" s="16"/>
      <c r="Q41" s="16"/>
      <c r="R41" s="16"/>
      <c r="S41" s="16"/>
      <c r="T41" s="16"/>
      <c r="U41" s="16"/>
      <c r="V41" s="16"/>
      <c r="W41" s="16"/>
      <c r="X41" s="16"/>
      <c r="Y41" s="16"/>
      <c r="Z41" s="16"/>
      <c r="AA41" s="16"/>
    </row>
    <row r="42" spans="1:27" s="15" customFormat="1" ht="21" customHeight="1">
      <c r="A42" s="506" t="s">
        <v>742</v>
      </c>
      <c r="B42" s="6"/>
      <c r="C42" s="8" t="s">
        <v>245</v>
      </c>
      <c r="D42" s="6"/>
      <c r="E42" s="6"/>
      <c r="F42" s="6">
        <v>0</v>
      </c>
      <c r="G42" s="7">
        <v>0</v>
      </c>
      <c r="I42" s="6"/>
      <c r="J42" s="6">
        <v>20</v>
      </c>
      <c r="K42" s="6"/>
      <c r="L42" s="6"/>
      <c r="M42" s="499"/>
      <c r="N42" s="499"/>
      <c r="O42" s="16"/>
      <c r="P42" s="16"/>
      <c r="Q42" s="16"/>
      <c r="R42" s="16"/>
      <c r="S42" s="16"/>
      <c r="T42" s="16"/>
      <c r="U42" s="16"/>
      <c r="V42" s="16"/>
      <c r="W42" s="16"/>
      <c r="X42" s="16"/>
      <c r="Y42" s="16"/>
      <c r="Z42" s="16"/>
      <c r="AA42" s="16"/>
    </row>
    <row r="43" spans="1:27" s="15" customFormat="1" ht="21" customHeight="1">
      <c r="A43" s="506" t="s">
        <v>743</v>
      </c>
      <c r="B43" s="6"/>
      <c r="C43" s="8" t="s">
        <v>245</v>
      </c>
      <c r="D43" s="6"/>
      <c r="E43" s="6"/>
      <c r="F43" s="6">
        <v>0</v>
      </c>
      <c r="G43" s="7">
        <v>0</v>
      </c>
      <c r="I43" s="6"/>
      <c r="J43" s="6">
        <v>20</v>
      </c>
      <c r="K43" s="6"/>
      <c r="L43" s="6"/>
      <c r="M43" s="499"/>
      <c r="N43" s="499"/>
      <c r="O43" s="16"/>
      <c r="P43" s="16"/>
      <c r="Q43" s="16"/>
      <c r="R43" s="16"/>
      <c r="S43" s="16"/>
      <c r="T43" s="16"/>
      <c r="U43" s="16"/>
      <c r="V43" s="16"/>
      <c r="W43" s="16"/>
      <c r="X43" s="16"/>
      <c r="Y43" s="16"/>
      <c r="Z43" s="16"/>
      <c r="AA43" s="16"/>
    </row>
    <row r="44" spans="1:27" s="15" customFormat="1" ht="21" customHeight="1">
      <c r="A44" s="506" t="s">
        <v>744</v>
      </c>
      <c r="B44" s="6"/>
      <c r="C44" s="8" t="s">
        <v>248</v>
      </c>
      <c r="D44" s="6"/>
      <c r="E44" s="6"/>
      <c r="F44" s="6">
        <v>0</v>
      </c>
      <c r="G44" s="7">
        <v>0</v>
      </c>
      <c r="I44" s="6"/>
      <c r="J44" s="6">
        <v>401</v>
      </c>
      <c r="K44" s="6"/>
      <c r="L44" s="6"/>
      <c r="M44" s="499"/>
      <c r="N44" s="499"/>
      <c r="O44" s="16"/>
      <c r="P44" s="16"/>
      <c r="Q44" s="16"/>
      <c r="R44" s="16"/>
      <c r="S44" s="16"/>
      <c r="T44" s="16"/>
      <c r="U44" s="16"/>
      <c r="V44" s="16"/>
      <c r="W44" s="16"/>
      <c r="X44" s="16"/>
      <c r="Y44" s="16"/>
      <c r="Z44" s="16"/>
      <c r="AA44" s="16"/>
    </row>
    <row r="45" spans="1:27" s="15" customFormat="1" ht="21" customHeight="1">
      <c r="A45" s="506" t="s">
        <v>745</v>
      </c>
      <c r="B45" s="6"/>
      <c r="C45" s="8" t="s">
        <v>247</v>
      </c>
      <c r="D45" s="6"/>
      <c r="E45" s="6"/>
      <c r="F45" s="6">
        <v>0</v>
      </c>
      <c r="G45" s="7">
        <v>0</v>
      </c>
      <c r="I45" s="6"/>
      <c r="J45" s="6">
        <v>100</v>
      </c>
      <c r="K45" s="6"/>
      <c r="L45" s="6"/>
      <c r="M45" s="499"/>
      <c r="N45" s="499"/>
      <c r="O45" s="16"/>
      <c r="P45" s="16"/>
      <c r="Q45" s="16"/>
      <c r="R45" s="16"/>
      <c r="S45" s="16"/>
      <c r="T45" s="16"/>
      <c r="U45" s="16"/>
      <c r="V45" s="16"/>
      <c r="W45" s="16"/>
      <c r="X45" s="16"/>
      <c r="Y45" s="16"/>
      <c r="Z45" s="16"/>
      <c r="AA45" s="16"/>
    </row>
    <row r="46" spans="1:27" s="15" customFormat="1" ht="21" customHeight="1">
      <c r="A46" s="506" t="s">
        <v>746</v>
      </c>
      <c r="B46" s="6"/>
      <c r="C46" s="8" t="s">
        <v>246</v>
      </c>
      <c r="D46" s="6"/>
      <c r="E46" s="6"/>
      <c r="F46" s="6">
        <v>0</v>
      </c>
      <c r="G46" s="7">
        <v>0</v>
      </c>
      <c r="I46" s="6"/>
      <c r="J46" s="6">
        <v>50</v>
      </c>
      <c r="K46" s="6"/>
      <c r="L46" s="6"/>
      <c r="M46" s="499"/>
      <c r="N46" s="499"/>
      <c r="O46" s="16"/>
      <c r="P46" s="16"/>
      <c r="Q46" s="16"/>
      <c r="R46" s="16"/>
      <c r="S46" s="16"/>
      <c r="T46" s="16"/>
      <c r="U46" s="16"/>
      <c r="V46" s="16"/>
      <c r="W46" s="16"/>
      <c r="X46" s="16"/>
      <c r="Y46" s="16"/>
      <c r="Z46" s="16"/>
      <c r="AA46" s="16"/>
    </row>
    <row r="47" spans="1:27" s="15" customFormat="1" ht="21" customHeight="1">
      <c r="A47" s="506" t="s">
        <v>747</v>
      </c>
      <c r="B47" s="6"/>
      <c r="C47" s="8" t="s">
        <v>247</v>
      </c>
      <c r="D47" s="6"/>
      <c r="E47" s="6"/>
      <c r="F47" s="6">
        <v>0</v>
      </c>
      <c r="G47" s="7">
        <v>0</v>
      </c>
      <c r="I47" s="6"/>
      <c r="J47" s="6">
        <v>100</v>
      </c>
      <c r="K47" s="6"/>
      <c r="L47" s="6"/>
      <c r="M47" s="499"/>
      <c r="N47" s="499"/>
      <c r="O47" s="16"/>
      <c r="P47" s="16"/>
      <c r="Q47" s="16"/>
      <c r="R47" s="16"/>
      <c r="S47" s="16"/>
      <c r="T47" s="16"/>
      <c r="U47" s="16"/>
      <c r="V47" s="16"/>
      <c r="W47" s="16"/>
      <c r="X47" s="16"/>
      <c r="Y47" s="16"/>
      <c r="Z47" s="16"/>
      <c r="AA47" s="16"/>
    </row>
    <row r="48" spans="1:27" s="15" customFormat="1" ht="21" customHeight="1">
      <c r="A48" s="506" t="s">
        <v>748</v>
      </c>
      <c r="B48" s="6"/>
      <c r="C48" s="8" t="s">
        <v>248</v>
      </c>
      <c r="D48" s="6"/>
      <c r="E48" s="6"/>
      <c r="F48" s="6">
        <v>0</v>
      </c>
      <c r="G48" s="7">
        <v>0</v>
      </c>
      <c r="I48" s="6"/>
      <c r="J48" s="6">
        <v>301</v>
      </c>
      <c r="K48" s="6"/>
      <c r="L48" s="6"/>
      <c r="M48" s="499"/>
      <c r="N48" s="499"/>
      <c r="O48" s="16"/>
      <c r="P48" s="16"/>
      <c r="Q48" s="16"/>
      <c r="R48" s="16"/>
      <c r="S48" s="16"/>
      <c r="T48" s="16"/>
      <c r="U48" s="16"/>
      <c r="V48" s="16"/>
      <c r="W48" s="16"/>
      <c r="X48" s="16"/>
      <c r="Y48" s="16"/>
      <c r="Z48" s="16"/>
      <c r="AA48" s="16"/>
    </row>
    <row r="49" spans="1:27" s="15" customFormat="1" ht="21" customHeight="1">
      <c r="A49" s="506" t="s">
        <v>749</v>
      </c>
      <c r="B49" s="6"/>
      <c r="C49" s="8" t="s">
        <v>245</v>
      </c>
      <c r="D49" s="6"/>
      <c r="E49" s="6"/>
      <c r="F49" s="6">
        <v>0</v>
      </c>
      <c r="G49" s="7">
        <v>0</v>
      </c>
      <c r="I49" s="6"/>
      <c r="J49" s="6">
        <v>10</v>
      </c>
      <c r="K49" s="6"/>
      <c r="L49" s="6"/>
      <c r="M49" s="499"/>
      <c r="N49" s="499"/>
      <c r="O49" s="16"/>
      <c r="P49" s="16"/>
      <c r="Q49" s="16"/>
      <c r="R49" s="16"/>
      <c r="S49" s="16"/>
      <c r="T49" s="16"/>
      <c r="U49" s="16"/>
      <c r="V49" s="16"/>
      <c r="W49" s="16"/>
      <c r="X49" s="16"/>
      <c r="Y49" s="16"/>
      <c r="Z49" s="16"/>
      <c r="AA49" s="16"/>
    </row>
    <row r="50" spans="1:27" s="15" customFormat="1" ht="21" customHeight="1">
      <c r="A50" s="506" t="s">
        <v>750</v>
      </c>
      <c r="B50" s="6"/>
      <c r="C50" s="8" t="s">
        <v>559</v>
      </c>
      <c r="D50" s="6"/>
      <c r="E50" s="6"/>
      <c r="F50" s="6">
        <v>0</v>
      </c>
      <c r="G50" s="7">
        <v>0</v>
      </c>
      <c r="I50" s="6"/>
      <c r="J50" s="6">
        <v>201</v>
      </c>
      <c r="K50" s="6"/>
      <c r="L50" s="6"/>
      <c r="M50" s="499"/>
      <c r="N50" s="499"/>
      <c r="O50" s="16"/>
      <c r="P50" s="16"/>
      <c r="Q50" s="16"/>
      <c r="R50" s="16"/>
      <c r="S50" s="16"/>
      <c r="T50" s="16"/>
      <c r="U50" s="16"/>
      <c r="V50" s="16"/>
      <c r="W50" s="16"/>
      <c r="X50" s="16"/>
      <c r="Y50" s="16"/>
      <c r="Z50" s="16"/>
      <c r="AA50" s="16"/>
    </row>
    <row r="51" spans="1:27" s="15" customFormat="1" ht="21" customHeight="1">
      <c r="A51" s="506" t="s">
        <v>751</v>
      </c>
      <c r="B51" s="6"/>
      <c r="C51" s="8" t="s">
        <v>247</v>
      </c>
      <c r="D51" s="6"/>
      <c r="E51" s="6"/>
      <c r="F51" s="6">
        <v>68</v>
      </c>
      <c r="G51" s="7">
        <v>0.44</v>
      </c>
      <c r="I51" s="6"/>
      <c r="J51" s="6">
        <v>100</v>
      </c>
      <c r="K51" s="6"/>
      <c r="L51" s="6"/>
      <c r="M51" s="499"/>
      <c r="N51" s="499"/>
      <c r="O51" s="16"/>
      <c r="P51" s="16"/>
      <c r="Q51" s="16"/>
      <c r="R51" s="16"/>
      <c r="S51" s="16"/>
      <c r="T51" s="16"/>
      <c r="U51" s="16"/>
      <c r="V51" s="16"/>
      <c r="W51" s="16"/>
      <c r="X51" s="16"/>
      <c r="Y51" s="16"/>
      <c r="Z51" s="16"/>
      <c r="AA51" s="16"/>
    </row>
    <row r="52" spans="1:27" s="15" customFormat="1" ht="21" customHeight="1">
      <c r="A52" s="20"/>
      <c r="B52" s="6"/>
      <c r="C52" s="8"/>
      <c r="D52" s="6"/>
      <c r="E52" s="6"/>
      <c r="F52" s="6"/>
      <c r="G52" s="7"/>
      <c r="I52" s="6"/>
      <c r="J52" s="6"/>
      <c r="K52" s="6"/>
      <c r="L52" s="6"/>
      <c r="M52" s="499"/>
      <c r="N52" s="499"/>
      <c r="O52" s="16"/>
      <c r="P52" s="16"/>
      <c r="Q52" s="16"/>
      <c r="R52" s="16"/>
      <c r="S52" s="16"/>
      <c r="T52" s="16"/>
      <c r="U52" s="16"/>
      <c r="V52" s="16"/>
      <c r="W52" s="16"/>
      <c r="X52" s="16"/>
      <c r="Y52" s="16"/>
      <c r="Z52" s="16"/>
      <c r="AA52" s="16"/>
    </row>
    <row r="53" spans="1:27" s="15" customFormat="1" ht="21" customHeight="1">
      <c r="A53" s="501" t="s">
        <v>997</v>
      </c>
      <c r="B53" s="502" t="s">
        <v>150</v>
      </c>
      <c r="C53" s="507" t="s">
        <v>195</v>
      </c>
      <c r="D53" s="502" t="s">
        <v>709</v>
      </c>
      <c r="E53" s="502" t="s">
        <v>710</v>
      </c>
      <c r="F53" s="502">
        <v>35</v>
      </c>
      <c r="G53" s="504">
        <v>0.48</v>
      </c>
      <c r="H53" s="505" t="s">
        <v>372</v>
      </c>
      <c r="I53" s="502">
        <v>11</v>
      </c>
      <c r="J53" s="502">
        <v>120</v>
      </c>
      <c r="K53" s="502">
        <v>32</v>
      </c>
      <c r="L53" s="502">
        <v>0</v>
      </c>
      <c r="M53" s="507">
        <v>3</v>
      </c>
      <c r="N53" s="507" t="s">
        <v>708</v>
      </c>
      <c r="O53" s="16"/>
      <c r="P53" s="16"/>
      <c r="Q53" s="16"/>
      <c r="R53" s="16"/>
      <c r="S53" s="16"/>
      <c r="T53" s="16"/>
      <c r="U53" s="16"/>
      <c r="V53" s="16"/>
      <c r="W53" s="16"/>
      <c r="X53" s="16"/>
      <c r="Y53" s="16"/>
      <c r="Z53" s="16"/>
      <c r="AA53" s="16"/>
    </row>
    <row r="54" spans="1:27" s="15" customFormat="1" ht="21" customHeight="1">
      <c r="A54" s="506" t="s">
        <v>711</v>
      </c>
      <c r="B54" s="6"/>
      <c r="C54" s="8" t="s">
        <v>245</v>
      </c>
      <c r="D54" s="6"/>
      <c r="E54" s="6"/>
      <c r="F54" s="6">
        <v>0</v>
      </c>
      <c r="G54" s="7">
        <v>0</v>
      </c>
      <c r="I54" s="6"/>
      <c r="J54" s="6">
        <v>20</v>
      </c>
      <c r="K54" s="6"/>
      <c r="L54" s="6"/>
      <c r="M54" s="499"/>
      <c r="N54" s="499"/>
      <c r="O54" s="16"/>
      <c r="P54" s="16"/>
      <c r="Q54" s="16"/>
      <c r="R54" s="16"/>
      <c r="S54" s="16"/>
      <c r="T54" s="16"/>
      <c r="U54" s="16"/>
      <c r="V54" s="16"/>
      <c r="W54" s="16"/>
      <c r="X54" s="16"/>
      <c r="Y54" s="16"/>
      <c r="Z54" s="16"/>
      <c r="AA54" s="16"/>
    </row>
    <row r="55" spans="1:27" s="15" customFormat="1" ht="21" customHeight="1">
      <c r="A55" s="506" t="s">
        <v>712</v>
      </c>
      <c r="B55" s="6"/>
      <c r="C55" s="8" t="s">
        <v>247</v>
      </c>
      <c r="D55" s="6"/>
      <c r="E55" s="6"/>
      <c r="F55" s="6">
        <v>35</v>
      </c>
      <c r="G55" s="7">
        <v>0.48</v>
      </c>
      <c r="I55" s="6"/>
      <c r="J55" s="6">
        <v>100</v>
      </c>
      <c r="K55" s="6"/>
      <c r="L55" s="6"/>
      <c r="M55" s="499"/>
      <c r="N55" s="499"/>
      <c r="O55" s="16"/>
      <c r="P55" s="16"/>
      <c r="Q55" s="16"/>
      <c r="R55" s="16"/>
      <c r="S55" s="16"/>
      <c r="T55" s="16"/>
      <c r="U55" s="16"/>
      <c r="V55" s="16"/>
      <c r="W55" s="16"/>
      <c r="X55" s="16"/>
      <c r="Y55" s="16"/>
      <c r="Z55" s="16"/>
      <c r="AA55" s="16"/>
    </row>
    <row r="56" spans="1:27" s="15" customFormat="1" ht="21" customHeight="1">
      <c r="A56" s="20"/>
      <c r="B56" s="6"/>
      <c r="C56" s="8"/>
      <c r="D56" s="6"/>
      <c r="E56" s="6"/>
      <c r="F56" s="6"/>
      <c r="G56" s="7"/>
      <c r="I56" s="6"/>
      <c r="J56" s="6"/>
      <c r="K56" s="6"/>
      <c r="L56" s="6"/>
      <c r="M56" s="499"/>
      <c r="N56" s="499"/>
      <c r="O56" s="16"/>
      <c r="P56" s="16"/>
      <c r="Q56" s="16"/>
      <c r="R56" s="16"/>
      <c r="S56" s="16"/>
      <c r="T56" s="16"/>
      <c r="U56" s="16"/>
      <c r="V56" s="16"/>
      <c r="W56" s="16"/>
      <c r="X56" s="16"/>
      <c r="Y56" s="16"/>
      <c r="Z56" s="16"/>
      <c r="AA56" s="16"/>
    </row>
    <row r="57" spans="1:27" s="15" customFormat="1" ht="21" customHeight="1">
      <c r="A57" s="501" t="s">
        <v>998</v>
      </c>
      <c r="B57" s="502" t="s">
        <v>150</v>
      </c>
      <c r="C57" s="507" t="s">
        <v>195</v>
      </c>
      <c r="D57" s="502" t="s">
        <v>709</v>
      </c>
      <c r="E57" s="502" t="s">
        <v>710</v>
      </c>
      <c r="F57" s="502">
        <v>64</v>
      </c>
      <c r="G57" s="504">
        <v>0.6</v>
      </c>
      <c r="H57" s="505" t="s">
        <v>280</v>
      </c>
      <c r="I57" s="502">
        <v>3</v>
      </c>
      <c r="J57" s="502">
        <v>251</v>
      </c>
      <c r="K57" s="502">
        <v>8</v>
      </c>
      <c r="L57" s="502">
        <v>0</v>
      </c>
      <c r="M57" s="507">
        <v>2</v>
      </c>
      <c r="N57" s="507" t="s">
        <v>708</v>
      </c>
      <c r="O57" s="16"/>
      <c r="P57" s="16"/>
      <c r="Q57" s="16"/>
      <c r="R57" s="16"/>
      <c r="S57" s="16"/>
      <c r="T57" s="16"/>
      <c r="U57" s="16"/>
      <c r="V57" s="16"/>
      <c r="W57" s="16"/>
      <c r="X57" s="16"/>
      <c r="Y57" s="16"/>
      <c r="Z57" s="16"/>
      <c r="AA57" s="16"/>
    </row>
    <row r="58" spans="1:27" s="15" customFormat="1" ht="21" customHeight="1">
      <c r="A58" s="506" t="s">
        <v>752</v>
      </c>
      <c r="B58" s="6"/>
      <c r="C58" s="8" t="s">
        <v>247</v>
      </c>
      <c r="D58" s="6"/>
      <c r="E58" s="6"/>
      <c r="F58" s="6">
        <v>24</v>
      </c>
      <c r="G58" s="7">
        <v>0.25</v>
      </c>
      <c r="I58" s="6"/>
      <c r="J58" s="6">
        <v>100</v>
      </c>
      <c r="K58" s="6"/>
      <c r="L58" s="6"/>
      <c r="M58" s="499"/>
      <c r="N58" s="499"/>
      <c r="O58" s="16"/>
      <c r="P58" s="16"/>
      <c r="Q58" s="16"/>
      <c r="R58" s="16"/>
      <c r="S58" s="16"/>
      <c r="T58" s="16"/>
      <c r="U58" s="16"/>
      <c r="V58" s="16"/>
      <c r="W58" s="16"/>
      <c r="X58" s="16"/>
      <c r="Y58" s="16"/>
      <c r="Z58" s="16"/>
      <c r="AA58" s="16"/>
    </row>
    <row r="59" spans="1:27" s="15" customFormat="1" ht="21" customHeight="1">
      <c r="A59" s="506" t="s">
        <v>1088</v>
      </c>
      <c r="B59" s="6"/>
      <c r="C59" s="8" t="s">
        <v>246</v>
      </c>
      <c r="D59" s="6"/>
      <c r="E59" s="6"/>
      <c r="F59" s="6">
        <v>8</v>
      </c>
      <c r="G59" s="7">
        <v>0.04</v>
      </c>
      <c r="I59" s="6"/>
      <c r="J59" s="6">
        <v>51</v>
      </c>
      <c r="K59" s="6"/>
      <c r="L59" s="6"/>
      <c r="M59" s="499"/>
      <c r="N59" s="499"/>
      <c r="O59" s="16"/>
      <c r="P59" s="16"/>
      <c r="Q59" s="16"/>
      <c r="R59" s="16"/>
      <c r="S59" s="16"/>
      <c r="T59" s="16"/>
      <c r="U59" s="16"/>
      <c r="V59" s="16"/>
      <c r="W59" s="16"/>
      <c r="X59" s="16"/>
      <c r="Y59" s="16"/>
      <c r="Z59" s="16"/>
      <c r="AA59" s="16"/>
    </row>
    <row r="60" spans="1:27" s="15" customFormat="1" ht="21" customHeight="1">
      <c r="A60" s="506" t="s">
        <v>753</v>
      </c>
      <c r="B60" s="6"/>
      <c r="C60" s="8" t="s">
        <v>247</v>
      </c>
      <c r="D60" s="6"/>
      <c r="E60" s="6"/>
      <c r="F60" s="6">
        <v>32</v>
      </c>
      <c r="G60" s="7">
        <v>0.32</v>
      </c>
      <c r="I60" s="6"/>
      <c r="J60" s="6">
        <v>100</v>
      </c>
      <c r="K60" s="6"/>
      <c r="L60" s="6"/>
      <c r="M60" s="499"/>
      <c r="N60" s="499"/>
      <c r="O60" s="16"/>
      <c r="P60" s="16"/>
      <c r="Q60" s="16"/>
      <c r="R60" s="16"/>
      <c r="S60" s="16"/>
      <c r="T60" s="16"/>
      <c r="U60" s="16"/>
      <c r="V60" s="16"/>
      <c r="W60" s="16"/>
      <c r="X60" s="16"/>
      <c r="Y60" s="16"/>
      <c r="Z60" s="16"/>
      <c r="AA60" s="16"/>
    </row>
    <row r="61" spans="1:27" s="15" customFormat="1" ht="21" customHeight="1">
      <c r="A61" s="20"/>
      <c r="B61" s="6"/>
      <c r="C61" s="8"/>
      <c r="D61" s="6"/>
      <c r="E61" s="6"/>
      <c r="F61" s="6"/>
      <c r="G61" s="7"/>
      <c r="I61" s="6"/>
      <c r="J61" s="6"/>
      <c r="K61" s="6"/>
      <c r="L61" s="6"/>
      <c r="M61" s="499"/>
      <c r="N61" s="499"/>
      <c r="O61" s="16"/>
      <c r="P61" s="16"/>
      <c r="Q61" s="16"/>
      <c r="R61" s="16"/>
      <c r="S61" s="16"/>
      <c r="T61" s="16"/>
      <c r="U61" s="16"/>
      <c r="V61" s="16"/>
      <c r="W61" s="16"/>
      <c r="X61" s="16"/>
      <c r="Y61" s="16"/>
      <c r="Z61" s="16"/>
      <c r="AA61" s="16"/>
    </row>
    <row r="62" spans="1:27" s="15" customFormat="1" ht="21" customHeight="1">
      <c r="A62" s="501" t="s">
        <v>999</v>
      </c>
      <c r="B62" s="502" t="s">
        <v>150</v>
      </c>
      <c r="C62" s="507" t="s">
        <v>195</v>
      </c>
      <c r="D62" s="502" t="s">
        <v>709</v>
      </c>
      <c r="E62" s="502" t="s">
        <v>710</v>
      </c>
      <c r="F62" s="502">
        <v>13</v>
      </c>
      <c r="G62" s="504">
        <v>0.16</v>
      </c>
      <c r="H62" s="505" t="s">
        <v>276</v>
      </c>
      <c r="I62" s="502">
        <v>4</v>
      </c>
      <c r="J62" s="502">
        <v>190</v>
      </c>
      <c r="K62" s="502">
        <v>2</v>
      </c>
      <c r="L62" s="502">
        <v>0</v>
      </c>
      <c r="M62" s="507">
        <v>1</v>
      </c>
      <c r="N62" s="507" t="s">
        <v>708</v>
      </c>
      <c r="O62" s="16"/>
      <c r="P62" s="16"/>
      <c r="Q62" s="16"/>
      <c r="R62" s="16"/>
      <c r="S62" s="16"/>
      <c r="T62" s="16"/>
      <c r="U62" s="16"/>
      <c r="V62" s="16"/>
      <c r="W62" s="16"/>
      <c r="X62" s="16"/>
      <c r="Y62" s="16"/>
      <c r="Z62" s="16"/>
      <c r="AA62" s="16"/>
    </row>
    <row r="63" spans="1:27" s="15" customFormat="1" ht="21" customHeight="1">
      <c r="A63" s="506" t="s">
        <v>754</v>
      </c>
      <c r="B63" s="6"/>
      <c r="C63" s="8" t="s">
        <v>246</v>
      </c>
      <c r="D63" s="6"/>
      <c r="E63" s="6"/>
      <c r="F63" s="6">
        <v>0</v>
      </c>
      <c r="G63" s="7">
        <v>0</v>
      </c>
      <c r="I63" s="6"/>
      <c r="J63" s="6">
        <v>50</v>
      </c>
      <c r="K63" s="6"/>
      <c r="L63" s="6"/>
      <c r="M63" s="499"/>
      <c r="N63" s="499"/>
      <c r="O63" s="16"/>
      <c r="P63" s="16"/>
      <c r="Q63" s="16"/>
      <c r="R63" s="16"/>
      <c r="S63" s="16"/>
      <c r="T63" s="16"/>
      <c r="U63" s="16"/>
      <c r="V63" s="16"/>
      <c r="W63" s="16"/>
      <c r="X63" s="16"/>
      <c r="Y63" s="16"/>
      <c r="Z63" s="16"/>
      <c r="AA63" s="16"/>
    </row>
    <row r="64" spans="1:27" s="15" customFormat="1" ht="21" customHeight="1">
      <c r="A64" s="506" t="s">
        <v>1089</v>
      </c>
      <c r="B64" s="6"/>
      <c r="C64" s="8" t="s">
        <v>245</v>
      </c>
      <c r="D64" s="6"/>
      <c r="E64" s="6"/>
      <c r="F64" s="6">
        <v>0</v>
      </c>
      <c r="G64" s="7">
        <v>0</v>
      </c>
      <c r="I64" s="6"/>
      <c r="J64" s="6">
        <v>20</v>
      </c>
      <c r="K64" s="6"/>
      <c r="L64" s="6"/>
      <c r="M64" s="499"/>
      <c r="N64" s="499"/>
      <c r="O64" s="16"/>
      <c r="P64" s="16"/>
      <c r="Q64" s="16"/>
      <c r="R64" s="16"/>
      <c r="S64" s="16"/>
      <c r="T64" s="16"/>
      <c r="U64" s="16"/>
      <c r="V64" s="16"/>
      <c r="W64" s="16"/>
      <c r="X64" s="16"/>
      <c r="Y64" s="16"/>
      <c r="Z64" s="16"/>
      <c r="AA64" s="16"/>
    </row>
    <row r="65" spans="1:27" s="15" customFormat="1" ht="21" customHeight="1">
      <c r="A65" s="506" t="s">
        <v>1090</v>
      </c>
      <c r="B65" s="6"/>
      <c r="C65" s="8" t="s">
        <v>245</v>
      </c>
      <c r="D65" s="6"/>
      <c r="E65" s="6"/>
      <c r="F65" s="6">
        <v>0</v>
      </c>
      <c r="G65" s="7">
        <v>0</v>
      </c>
      <c r="I65" s="6"/>
      <c r="J65" s="6">
        <v>20</v>
      </c>
      <c r="K65" s="6"/>
      <c r="L65" s="6"/>
      <c r="M65" s="499"/>
      <c r="N65" s="499"/>
      <c r="O65" s="16"/>
      <c r="P65" s="16"/>
      <c r="Q65" s="16"/>
      <c r="R65" s="16"/>
      <c r="S65" s="16"/>
      <c r="T65" s="16"/>
      <c r="U65" s="16"/>
      <c r="V65" s="16"/>
      <c r="W65" s="16"/>
      <c r="X65" s="16"/>
      <c r="Y65" s="16"/>
      <c r="Z65" s="16"/>
      <c r="AA65" s="16"/>
    </row>
    <row r="66" spans="1:27" s="15" customFormat="1" ht="21" customHeight="1">
      <c r="A66" s="506" t="s">
        <v>755</v>
      </c>
      <c r="B66" s="6"/>
      <c r="C66" s="8" t="s">
        <v>247</v>
      </c>
      <c r="D66" s="6"/>
      <c r="E66" s="6"/>
      <c r="F66" s="6">
        <v>13</v>
      </c>
      <c r="G66" s="7">
        <v>0.16</v>
      </c>
      <c r="I66" s="6"/>
      <c r="J66" s="6">
        <v>100</v>
      </c>
      <c r="K66" s="6"/>
      <c r="L66" s="6"/>
      <c r="M66" s="499"/>
      <c r="N66" s="499"/>
      <c r="O66" s="16"/>
      <c r="P66" s="16"/>
      <c r="Q66" s="16"/>
      <c r="R66" s="16"/>
      <c r="S66" s="16"/>
      <c r="T66" s="16"/>
      <c r="U66" s="16"/>
      <c r="V66" s="16"/>
      <c r="W66" s="16"/>
      <c r="X66" s="16"/>
      <c r="Y66" s="16"/>
      <c r="Z66" s="16"/>
      <c r="AA66" s="16"/>
    </row>
    <row r="67" spans="1:27" s="15" customFormat="1" ht="21" customHeight="1">
      <c r="A67" s="20"/>
      <c r="B67" s="6"/>
      <c r="C67" s="8"/>
      <c r="D67" s="6"/>
      <c r="E67" s="6"/>
      <c r="F67" s="6"/>
      <c r="G67" s="7"/>
      <c r="I67" s="6"/>
      <c r="J67" s="6"/>
      <c r="K67" s="6"/>
      <c r="L67" s="6"/>
      <c r="M67" s="499"/>
      <c r="N67" s="499"/>
      <c r="O67" s="16"/>
      <c r="P67" s="16"/>
      <c r="Q67" s="16"/>
      <c r="R67" s="16"/>
      <c r="S67" s="16"/>
      <c r="T67" s="16"/>
      <c r="U67" s="16"/>
      <c r="V67" s="16"/>
      <c r="W67" s="16"/>
      <c r="X67" s="16"/>
      <c r="Y67" s="16"/>
      <c r="Z67" s="16"/>
      <c r="AA67" s="16"/>
    </row>
    <row r="68" spans="1:27" s="15" customFormat="1" ht="21" customHeight="1">
      <c r="A68" s="501" t="s">
        <v>1000</v>
      </c>
      <c r="B68" s="502" t="s">
        <v>150</v>
      </c>
      <c r="C68" s="507" t="s">
        <v>195</v>
      </c>
      <c r="D68" s="502" t="s">
        <v>709</v>
      </c>
      <c r="E68" s="502" t="s">
        <v>710</v>
      </c>
      <c r="F68" s="502">
        <v>38</v>
      </c>
      <c r="G68" s="504">
        <v>0.64</v>
      </c>
      <c r="H68" s="505" t="s">
        <v>276</v>
      </c>
      <c r="I68" s="502">
        <v>2</v>
      </c>
      <c r="J68" s="502">
        <v>121</v>
      </c>
      <c r="K68" s="502">
        <v>2</v>
      </c>
      <c r="L68" s="502">
        <v>0</v>
      </c>
      <c r="M68" s="507">
        <v>1</v>
      </c>
      <c r="N68" s="507" t="s">
        <v>708</v>
      </c>
      <c r="O68" s="16"/>
      <c r="P68" s="16"/>
      <c r="Q68" s="16"/>
      <c r="R68" s="16"/>
      <c r="S68" s="16"/>
      <c r="T68" s="16"/>
      <c r="U68" s="16"/>
      <c r="V68" s="16"/>
      <c r="W68" s="16"/>
      <c r="X68" s="16"/>
      <c r="Y68" s="16"/>
      <c r="Z68" s="16"/>
      <c r="AA68" s="16"/>
    </row>
    <row r="69" spans="1:27" s="15" customFormat="1" ht="21" customHeight="1">
      <c r="A69" s="506" t="s">
        <v>756</v>
      </c>
      <c r="B69" s="6"/>
      <c r="C69" s="8" t="s">
        <v>245</v>
      </c>
      <c r="D69" s="6"/>
      <c r="E69" s="6"/>
      <c r="F69" s="6">
        <v>0</v>
      </c>
      <c r="G69" s="7">
        <v>0</v>
      </c>
      <c r="I69" s="6"/>
      <c r="J69" s="6">
        <v>20</v>
      </c>
      <c r="K69" s="6"/>
      <c r="L69" s="6"/>
      <c r="M69" s="499"/>
      <c r="N69" s="499"/>
      <c r="O69" s="16"/>
      <c r="P69" s="16"/>
      <c r="Q69" s="16"/>
      <c r="R69" s="16"/>
      <c r="S69" s="16"/>
      <c r="T69" s="16"/>
      <c r="U69" s="16"/>
      <c r="V69" s="16"/>
      <c r="W69" s="16"/>
      <c r="X69" s="16"/>
      <c r="Y69" s="16"/>
      <c r="Z69" s="16"/>
      <c r="AA69" s="16"/>
    </row>
    <row r="70" spans="1:27" s="15" customFormat="1" ht="21" customHeight="1">
      <c r="A70" s="506" t="s">
        <v>757</v>
      </c>
      <c r="B70" s="6"/>
      <c r="C70" s="8" t="s">
        <v>247</v>
      </c>
      <c r="D70" s="6"/>
      <c r="E70" s="6"/>
      <c r="F70" s="6">
        <v>38</v>
      </c>
      <c r="G70" s="7">
        <v>0.64</v>
      </c>
      <c r="I70" s="6"/>
      <c r="J70" s="6">
        <v>101</v>
      </c>
      <c r="K70" s="6"/>
      <c r="L70" s="6"/>
      <c r="M70" s="499"/>
      <c r="N70" s="499"/>
      <c r="O70" s="16"/>
      <c r="P70" s="16"/>
      <c r="Q70" s="16"/>
      <c r="R70" s="16"/>
      <c r="S70" s="16"/>
      <c r="T70" s="16"/>
      <c r="U70" s="16"/>
      <c r="V70" s="16"/>
      <c r="W70" s="16"/>
      <c r="X70" s="16"/>
      <c r="Y70" s="16"/>
      <c r="Z70" s="16"/>
      <c r="AA70" s="16"/>
    </row>
    <row r="71" spans="1:27" s="15" customFormat="1" ht="21" customHeight="1">
      <c r="A71" s="20"/>
      <c r="B71" s="6"/>
      <c r="C71" s="8"/>
      <c r="D71" s="6"/>
      <c r="E71" s="6"/>
      <c r="F71" s="6"/>
      <c r="G71" s="7"/>
      <c r="I71" s="6"/>
      <c r="J71" s="6"/>
      <c r="K71" s="6"/>
      <c r="L71" s="6"/>
      <c r="M71" s="499"/>
      <c r="N71" s="499"/>
      <c r="O71" s="16"/>
      <c r="P71" s="16"/>
      <c r="Q71" s="16"/>
      <c r="R71" s="16"/>
      <c r="S71" s="16"/>
      <c r="T71" s="16"/>
      <c r="U71" s="16"/>
      <c r="V71" s="16"/>
      <c r="W71" s="16"/>
      <c r="X71" s="16"/>
      <c r="Y71" s="16"/>
      <c r="Z71" s="16"/>
      <c r="AA71" s="16"/>
    </row>
    <row r="72" spans="1:27" s="15" customFormat="1" ht="21" customHeight="1">
      <c r="A72" s="501" t="s">
        <v>1001</v>
      </c>
      <c r="B72" s="502" t="s">
        <v>150</v>
      </c>
      <c r="C72" s="507" t="s">
        <v>195</v>
      </c>
      <c r="D72" s="502" t="s">
        <v>709</v>
      </c>
      <c r="E72" s="502" t="s">
        <v>710</v>
      </c>
      <c r="F72" s="502">
        <v>76</v>
      </c>
      <c r="G72" s="504">
        <v>4.22</v>
      </c>
      <c r="H72" s="505" t="s">
        <v>372</v>
      </c>
      <c r="I72" s="502">
        <v>3</v>
      </c>
      <c r="J72" s="502">
        <v>200</v>
      </c>
      <c r="K72" s="502">
        <v>32</v>
      </c>
      <c r="L72" s="502">
        <v>0</v>
      </c>
      <c r="M72" s="507">
        <v>1</v>
      </c>
      <c r="N72" s="507" t="s">
        <v>708</v>
      </c>
      <c r="O72" s="16"/>
      <c r="P72" s="16"/>
      <c r="Q72" s="16"/>
      <c r="R72" s="16"/>
      <c r="S72" s="16"/>
      <c r="T72" s="16"/>
      <c r="U72" s="16"/>
      <c r="V72" s="16"/>
      <c r="W72" s="16"/>
      <c r="X72" s="16"/>
      <c r="Y72" s="16"/>
      <c r="Z72" s="16"/>
      <c r="AA72" s="16"/>
    </row>
    <row r="73" spans="1:27" s="15" customFormat="1" ht="21" customHeight="1">
      <c r="A73" s="506" t="s">
        <v>758</v>
      </c>
      <c r="B73" s="6"/>
      <c r="C73" s="8" t="s">
        <v>246</v>
      </c>
      <c r="D73" s="6"/>
      <c r="E73" s="6"/>
      <c r="F73" s="6">
        <v>8</v>
      </c>
      <c r="G73" s="7">
        <v>0.17</v>
      </c>
      <c r="I73" s="6"/>
      <c r="J73" s="6">
        <v>50</v>
      </c>
      <c r="K73" s="6"/>
      <c r="L73" s="6"/>
      <c r="M73" s="499"/>
      <c r="N73" s="499"/>
      <c r="O73" s="16"/>
      <c r="P73" s="16"/>
      <c r="Q73" s="16"/>
      <c r="R73" s="16"/>
      <c r="S73" s="16"/>
      <c r="T73" s="16"/>
      <c r="U73" s="16"/>
      <c r="V73" s="16"/>
      <c r="W73" s="16"/>
      <c r="X73" s="16"/>
      <c r="Y73" s="16"/>
      <c r="Z73" s="16"/>
      <c r="AA73" s="16"/>
    </row>
    <row r="74" spans="1:27" s="15" customFormat="1" ht="21" customHeight="1">
      <c r="A74" s="506" t="s">
        <v>759</v>
      </c>
      <c r="B74" s="6"/>
      <c r="C74" s="8" t="s">
        <v>246</v>
      </c>
      <c r="D74" s="6"/>
      <c r="E74" s="6"/>
      <c r="F74" s="6">
        <v>0</v>
      </c>
      <c r="G74" s="7">
        <v>0</v>
      </c>
      <c r="I74" s="6"/>
      <c r="J74" s="6">
        <v>50</v>
      </c>
      <c r="K74" s="6"/>
      <c r="L74" s="6"/>
      <c r="M74" s="499"/>
      <c r="N74" s="499"/>
      <c r="O74" s="16"/>
      <c r="P74" s="16"/>
      <c r="Q74" s="16"/>
      <c r="R74" s="16"/>
      <c r="S74" s="16"/>
      <c r="T74" s="16"/>
      <c r="U74" s="16"/>
      <c r="V74" s="16"/>
      <c r="W74" s="16"/>
      <c r="X74" s="16"/>
      <c r="Y74" s="16"/>
      <c r="Z74" s="16"/>
      <c r="AA74" s="16"/>
    </row>
    <row r="75" spans="1:27" s="15" customFormat="1" ht="21" customHeight="1">
      <c r="A75" s="506" t="s">
        <v>760</v>
      </c>
      <c r="B75" s="6"/>
      <c r="C75" s="8" t="s">
        <v>247</v>
      </c>
      <c r="D75" s="6"/>
      <c r="E75" s="6"/>
      <c r="F75" s="6">
        <v>75</v>
      </c>
      <c r="G75" s="7">
        <v>4.0599999999999996</v>
      </c>
      <c r="I75" s="6"/>
      <c r="J75" s="6">
        <v>100</v>
      </c>
      <c r="K75" s="6"/>
      <c r="L75" s="6"/>
      <c r="M75" s="499"/>
      <c r="N75" s="499"/>
      <c r="O75" s="16"/>
      <c r="P75" s="16"/>
      <c r="Q75" s="16"/>
      <c r="R75" s="16"/>
      <c r="S75" s="16"/>
      <c r="T75" s="16"/>
      <c r="U75" s="16"/>
      <c r="V75" s="16"/>
      <c r="W75" s="16"/>
      <c r="X75" s="16"/>
      <c r="Y75" s="16"/>
      <c r="Z75" s="16"/>
      <c r="AA75" s="16"/>
    </row>
    <row r="76" spans="1:27" s="15" customFormat="1" ht="21" customHeight="1">
      <c r="A76" s="20"/>
      <c r="B76" s="6"/>
      <c r="C76" s="8"/>
      <c r="D76" s="6"/>
      <c r="E76" s="6"/>
      <c r="F76" s="6"/>
      <c r="G76" s="7"/>
      <c r="I76" s="6"/>
      <c r="J76" s="6"/>
      <c r="K76" s="6"/>
      <c r="L76" s="6"/>
      <c r="M76" s="499"/>
      <c r="N76" s="499"/>
      <c r="O76" s="16"/>
      <c r="P76" s="16"/>
      <c r="Q76" s="16"/>
      <c r="R76" s="16"/>
      <c r="S76" s="16"/>
      <c r="T76" s="16"/>
      <c r="U76" s="16"/>
      <c r="V76" s="16"/>
      <c r="W76" s="16"/>
      <c r="X76" s="16"/>
      <c r="Y76" s="16"/>
      <c r="Z76" s="16"/>
      <c r="AA76" s="16"/>
    </row>
    <row r="77" spans="1:27" s="15" customFormat="1" ht="21" customHeight="1">
      <c r="A77" s="501" t="s">
        <v>1002</v>
      </c>
      <c r="B77" s="502" t="s">
        <v>150</v>
      </c>
      <c r="C77" s="507" t="s">
        <v>195</v>
      </c>
      <c r="D77" s="502" t="s">
        <v>709</v>
      </c>
      <c r="E77" s="502" t="s">
        <v>710</v>
      </c>
      <c r="F77" s="502">
        <v>86</v>
      </c>
      <c r="G77" s="504">
        <v>3.82</v>
      </c>
      <c r="H77" s="505" t="s">
        <v>372</v>
      </c>
      <c r="I77" s="502">
        <v>3</v>
      </c>
      <c r="J77" s="502">
        <v>200</v>
      </c>
      <c r="K77" s="502">
        <v>32</v>
      </c>
      <c r="L77" s="502">
        <v>0</v>
      </c>
      <c r="M77" s="507">
        <v>1</v>
      </c>
      <c r="N77" s="507" t="s">
        <v>708</v>
      </c>
      <c r="O77" s="16"/>
      <c r="P77" s="16"/>
      <c r="Q77" s="16"/>
      <c r="R77" s="16"/>
      <c r="S77" s="16"/>
      <c r="T77" s="16"/>
      <c r="U77" s="16"/>
      <c r="V77" s="16"/>
      <c r="W77" s="16"/>
      <c r="X77" s="16"/>
      <c r="Y77" s="16"/>
      <c r="Z77" s="16"/>
      <c r="AA77" s="16"/>
    </row>
    <row r="78" spans="1:27" s="15" customFormat="1" ht="21" customHeight="1">
      <c r="A78" s="506" t="s">
        <v>761</v>
      </c>
      <c r="B78" s="6"/>
      <c r="C78" s="8" t="s">
        <v>247</v>
      </c>
      <c r="D78" s="6"/>
      <c r="E78" s="6"/>
      <c r="F78" s="6">
        <v>85</v>
      </c>
      <c r="G78" s="7">
        <v>3.68</v>
      </c>
      <c r="I78" s="6"/>
      <c r="J78" s="6">
        <v>100</v>
      </c>
      <c r="K78" s="6"/>
      <c r="L78" s="6"/>
      <c r="M78" s="499"/>
      <c r="N78" s="499"/>
      <c r="O78" s="16"/>
      <c r="P78" s="16"/>
      <c r="Q78" s="16"/>
      <c r="R78" s="16"/>
      <c r="S78" s="16"/>
      <c r="T78" s="16"/>
      <c r="U78" s="16"/>
      <c r="V78" s="16"/>
      <c r="W78" s="16"/>
      <c r="X78" s="16"/>
      <c r="Y78" s="16"/>
      <c r="Z78" s="16"/>
      <c r="AA78" s="16"/>
    </row>
    <row r="79" spans="1:27" s="15" customFormat="1" ht="21" customHeight="1">
      <c r="A79" s="506" t="s">
        <v>762</v>
      </c>
      <c r="B79" s="6"/>
      <c r="C79" s="8" t="s">
        <v>246</v>
      </c>
      <c r="D79" s="6"/>
      <c r="E79" s="6"/>
      <c r="F79" s="6">
        <v>8</v>
      </c>
      <c r="G79" s="7">
        <v>0.17</v>
      </c>
      <c r="I79" s="6"/>
      <c r="J79" s="6">
        <v>50</v>
      </c>
      <c r="K79" s="6"/>
      <c r="L79" s="6"/>
      <c r="M79" s="499"/>
      <c r="N79" s="499"/>
      <c r="O79" s="16"/>
      <c r="P79" s="16"/>
      <c r="Q79" s="16"/>
      <c r="R79" s="16"/>
      <c r="S79" s="16"/>
      <c r="T79" s="16"/>
      <c r="U79" s="16"/>
      <c r="V79" s="16"/>
      <c r="W79" s="16"/>
      <c r="X79" s="16"/>
      <c r="Y79" s="16"/>
      <c r="Z79" s="16"/>
      <c r="AA79" s="16"/>
    </row>
    <row r="80" spans="1:27" s="15" customFormat="1" ht="21" customHeight="1">
      <c r="A80" s="506" t="s">
        <v>763</v>
      </c>
      <c r="B80" s="6"/>
      <c r="C80" s="8" t="s">
        <v>246</v>
      </c>
      <c r="D80" s="6"/>
      <c r="E80" s="6"/>
      <c r="F80" s="6">
        <v>0</v>
      </c>
      <c r="G80" s="7">
        <v>0</v>
      </c>
      <c r="I80" s="6"/>
      <c r="J80" s="6">
        <v>50</v>
      </c>
      <c r="K80" s="6"/>
      <c r="L80" s="6"/>
      <c r="M80" s="499"/>
      <c r="N80" s="499"/>
      <c r="O80" s="16"/>
      <c r="P80" s="16"/>
      <c r="Q80" s="16"/>
      <c r="R80" s="16"/>
      <c r="S80" s="16"/>
      <c r="T80" s="16"/>
      <c r="U80" s="16"/>
      <c r="V80" s="16"/>
      <c r="W80" s="16"/>
      <c r="X80" s="16"/>
      <c r="Y80" s="16"/>
      <c r="Z80" s="16"/>
      <c r="AA80" s="16"/>
    </row>
    <row r="81" spans="1:27" s="15" customFormat="1" ht="21" customHeight="1">
      <c r="A81" s="20"/>
      <c r="B81" s="6"/>
      <c r="C81" s="8"/>
      <c r="D81" s="6"/>
      <c r="E81" s="6"/>
      <c r="F81" s="6"/>
      <c r="G81" s="7"/>
      <c r="I81" s="6"/>
      <c r="J81" s="6"/>
      <c r="K81" s="6"/>
      <c r="L81" s="6"/>
      <c r="M81" s="499"/>
      <c r="N81" s="499"/>
      <c r="O81" s="16"/>
      <c r="P81" s="16"/>
      <c r="Q81" s="16"/>
      <c r="R81" s="16"/>
      <c r="S81" s="16"/>
      <c r="T81" s="16"/>
      <c r="U81" s="16"/>
      <c r="V81" s="16"/>
      <c r="W81" s="16"/>
      <c r="X81" s="16"/>
      <c r="Y81" s="16"/>
      <c r="Z81" s="16"/>
      <c r="AA81" s="16"/>
    </row>
    <row r="82" spans="1:27" s="15" customFormat="1" ht="21" customHeight="1">
      <c r="A82" s="501" t="s">
        <v>1003</v>
      </c>
      <c r="B82" s="502" t="s">
        <v>150</v>
      </c>
      <c r="C82" s="507" t="s">
        <v>195</v>
      </c>
      <c r="D82" s="502" t="s">
        <v>709</v>
      </c>
      <c r="E82" s="502" t="s">
        <v>710</v>
      </c>
      <c r="F82" s="502">
        <v>50</v>
      </c>
      <c r="G82" s="504">
        <v>1.1299999999999999</v>
      </c>
      <c r="H82" s="505" t="s">
        <v>278</v>
      </c>
      <c r="I82" s="502">
        <v>4</v>
      </c>
      <c r="J82" s="502">
        <v>392</v>
      </c>
      <c r="K82" s="502">
        <v>4</v>
      </c>
      <c r="L82" s="502">
        <v>0</v>
      </c>
      <c r="M82" s="507">
        <v>1</v>
      </c>
      <c r="N82" s="507" t="s">
        <v>708</v>
      </c>
      <c r="O82" s="16"/>
      <c r="P82" s="16"/>
      <c r="Q82" s="16"/>
      <c r="R82" s="16"/>
      <c r="S82" s="16"/>
      <c r="T82" s="16"/>
      <c r="U82" s="16"/>
      <c r="V82" s="16"/>
      <c r="W82" s="16"/>
      <c r="X82" s="16"/>
      <c r="Y82" s="16"/>
      <c r="Z82" s="16"/>
      <c r="AA82" s="16"/>
    </row>
    <row r="83" spans="1:27" s="15" customFormat="1" ht="21" customHeight="1">
      <c r="A83" s="506" t="s">
        <v>1091</v>
      </c>
      <c r="B83" s="6"/>
      <c r="C83" s="8" t="s">
        <v>246</v>
      </c>
      <c r="D83" s="6"/>
      <c r="E83" s="6"/>
      <c r="F83" s="6">
        <v>0</v>
      </c>
      <c r="G83" s="7">
        <v>0</v>
      </c>
      <c r="I83" s="6"/>
      <c r="J83" s="6">
        <v>51</v>
      </c>
      <c r="K83" s="6"/>
      <c r="L83" s="6"/>
      <c r="M83" s="499"/>
      <c r="N83" s="499"/>
      <c r="O83" s="16"/>
      <c r="P83" s="16"/>
      <c r="Q83" s="16"/>
      <c r="R83" s="16"/>
      <c r="S83" s="16"/>
      <c r="T83" s="16"/>
      <c r="U83" s="16"/>
      <c r="V83" s="16"/>
      <c r="W83" s="16"/>
      <c r="X83" s="16"/>
      <c r="Y83" s="16"/>
      <c r="Z83" s="16"/>
      <c r="AA83" s="16"/>
    </row>
    <row r="84" spans="1:27" s="15" customFormat="1" ht="21" customHeight="1">
      <c r="A84" s="506" t="s">
        <v>1092</v>
      </c>
      <c r="B84" s="6"/>
      <c r="C84" s="8" t="s">
        <v>247</v>
      </c>
      <c r="D84" s="6"/>
      <c r="E84" s="6"/>
      <c r="F84" s="6">
        <v>0</v>
      </c>
      <c r="G84" s="7">
        <v>0</v>
      </c>
      <c r="I84" s="6"/>
      <c r="J84" s="6">
        <v>101</v>
      </c>
      <c r="K84" s="6"/>
      <c r="L84" s="6"/>
      <c r="M84" s="499"/>
      <c r="N84" s="499"/>
      <c r="O84" s="16"/>
      <c r="P84" s="16"/>
      <c r="Q84" s="16"/>
      <c r="R84" s="16"/>
      <c r="S84" s="16"/>
      <c r="T84" s="16"/>
      <c r="U84" s="16"/>
      <c r="V84" s="16"/>
      <c r="W84" s="16"/>
      <c r="X84" s="16"/>
      <c r="Y84" s="16"/>
      <c r="Z84" s="16"/>
      <c r="AA84" s="16"/>
    </row>
    <row r="85" spans="1:27" s="15" customFormat="1" ht="21" customHeight="1">
      <c r="A85" s="506" t="s">
        <v>1093</v>
      </c>
      <c r="B85" s="6"/>
      <c r="C85" s="8" t="s">
        <v>559</v>
      </c>
      <c r="D85" s="6"/>
      <c r="E85" s="6"/>
      <c r="F85" s="6">
        <v>0</v>
      </c>
      <c r="G85" s="7">
        <v>0</v>
      </c>
      <c r="I85" s="6"/>
      <c r="J85" s="6">
        <v>140</v>
      </c>
      <c r="K85" s="6"/>
      <c r="L85" s="6"/>
      <c r="M85" s="499"/>
      <c r="N85" s="499"/>
      <c r="O85" s="16"/>
      <c r="P85" s="16"/>
      <c r="Q85" s="16"/>
      <c r="R85" s="16"/>
      <c r="S85" s="16"/>
      <c r="T85" s="16"/>
      <c r="U85" s="16"/>
      <c r="V85" s="16"/>
      <c r="W85" s="16"/>
      <c r="X85" s="16"/>
      <c r="Y85" s="16"/>
      <c r="Z85" s="16"/>
      <c r="AA85" s="16"/>
    </row>
    <row r="86" spans="1:27" s="15" customFormat="1" ht="21" customHeight="1">
      <c r="A86" s="506" t="s">
        <v>1094</v>
      </c>
      <c r="B86" s="6"/>
      <c r="C86" s="8" t="s">
        <v>247</v>
      </c>
      <c r="D86" s="6"/>
      <c r="E86" s="6"/>
      <c r="F86" s="6">
        <v>46</v>
      </c>
      <c r="G86" s="7">
        <v>1.1299999999999999</v>
      </c>
      <c r="I86" s="6"/>
      <c r="J86" s="6">
        <v>100</v>
      </c>
      <c r="K86" s="6"/>
      <c r="L86" s="6"/>
      <c r="M86" s="499"/>
      <c r="N86" s="499"/>
      <c r="O86" s="16"/>
      <c r="P86" s="16"/>
      <c r="Q86" s="16"/>
      <c r="R86" s="16"/>
      <c r="S86" s="16"/>
      <c r="T86" s="16"/>
      <c r="U86" s="16"/>
      <c r="V86" s="16"/>
      <c r="W86" s="16"/>
      <c r="X86" s="16"/>
      <c r="Y86" s="16"/>
      <c r="Z86" s="16"/>
      <c r="AA86" s="16"/>
    </row>
    <row r="87" spans="1:27" s="15" customFormat="1" ht="21" customHeight="1">
      <c r="A87" s="20"/>
      <c r="B87" s="6"/>
      <c r="C87" s="8"/>
      <c r="D87" s="6"/>
      <c r="E87" s="6"/>
      <c r="F87" s="6"/>
      <c r="G87" s="7"/>
      <c r="I87" s="6"/>
      <c r="J87" s="6"/>
      <c r="K87" s="6"/>
      <c r="L87" s="6"/>
      <c r="M87" s="499"/>
      <c r="N87" s="499"/>
      <c r="O87" s="16"/>
      <c r="P87" s="16"/>
      <c r="Q87" s="16"/>
      <c r="R87" s="16"/>
      <c r="S87" s="16"/>
      <c r="T87" s="16"/>
      <c r="U87" s="16"/>
      <c r="V87" s="16"/>
      <c r="W87" s="16"/>
      <c r="X87" s="16"/>
      <c r="Y87" s="16"/>
      <c r="Z87" s="16"/>
      <c r="AA87" s="16"/>
    </row>
    <row r="88" spans="1:27" s="15" customFormat="1" ht="21" customHeight="1">
      <c r="A88" s="501" t="s">
        <v>1004</v>
      </c>
      <c r="B88" s="502" t="s">
        <v>150</v>
      </c>
      <c r="C88" s="507" t="s">
        <v>195</v>
      </c>
      <c r="D88" s="502" t="s">
        <v>709</v>
      </c>
      <c r="E88" s="502" t="s">
        <v>710</v>
      </c>
      <c r="F88" s="502">
        <v>31</v>
      </c>
      <c r="G88" s="504">
        <v>0.4</v>
      </c>
      <c r="H88" s="505" t="s">
        <v>278</v>
      </c>
      <c r="I88" s="502">
        <v>2</v>
      </c>
      <c r="J88" s="502">
        <v>600</v>
      </c>
      <c r="K88" s="502">
        <v>4</v>
      </c>
      <c r="L88" s="502">
        <v>0</v>
      </c>
      <c r="M88" s="507">
        <v>1</v>
      </c>
      <c r="N88" s="507" t="s">
        <v>708</v>
      </c>
      <c r="O88" s="16"/>
      <c r="P88" s="16"/>
      <c r="Q88" s="16"/>
      <c r="R88" s="16"/>
      <c r="S88" s="16"/>
      <c r="T88" s="16"/>
      <c r="U88" s="16"/>
      <c r="V88" s="16"/>
      <c r="W88" s="16"/>
      <c r="X88" s="16"/>
      <c r="Y88" s="16"/>
      <c r="Z88" s="16"/>
      <c r="AA88" s="16"/>
    </row>
    <row r="89" spans="1:27" s="15" customFormat="1" ht="21" customHeight="1">
      <c r="A89" s="506" t="s">
        <v>764</v>
      </c>
      <c r="B89" s="6"/>
      <c r="C89" s="8" t="s">
        <v>247</v>
      </c>
      <c r="D89" s="6"/>
      <c r="E89" s="6"/>
      <c r="F89" s="6">
        <v>31</v>
      </c>
      <c r="G89" s="7">
        <v>0.39</v>
      </c>
      <c r="I89" s="6"/>
      <c r="J89" s="6">
        <v>100</v>
      </c>
      <c r="K89" s="6"/>
      <c r="L89" s="6"/>
      <c r="M89" s="499"/>
      <c r="N89" s="499"/>
      <c r="O89" s="16"/>
      <c r="P89" s="16"/>
      <c r="Q89" s="16"/>
      <c r="R89" s="16"/>
      <c r="S89" s="16"/>
      <c r="T89" s="16"/>
      <c r="U89" s="16"/>
      <c r="V89" s="16"/>
      <c r="W89" s="16"/>
      <c r="X89" s="16"/>
      <c r="Y89" s="16"/>
      <c r="Z89" s="16"/>
      <c r="AA89" s="16"/>
    </row>
    <row r="90" spans="1:27" s="15" customFormat="1" ht="21" customHeight="1">
      <c r="A90" s="506" t="s">
        <v>765</v>
      </c>
      <c r="B90" s="6"/>
      <c r="C90" s="8" t="s">
        <v>248</v>
      </c>
      <c r="D90" s="6"/>
      <c r="E90" s="6"/>
      <c r="F90" s="6">
        <v>0</v>
      </c>
      <c r="G90" s="7">
        <v>0</v>
      </c>
      <c r="I90" s="6"/>
      <c r="J90" s="6">
        <v>500</v>
      </c>
      <c r="K90" s="6"/>
      <c r="L90" s="6"/>
      <c r="M90" s="499"/>
      <c r="N90" s="499"/>
      <c r="O90" s="16"/>
      <c r="P90" s="16"/>
      <c r="Q90" s="16"/>
      <c r="R90" s="16"/>
      <c r="S90" s="16"/>
      <c r="T90" s="16"/>
      <c r="U90" s="16"/>
      <c r="V90" s="16"/>
      <c r="W90" s="16"/>
      <c r="X90" s="16"/>
      <c r="Y90" s="16"/>
      <c r="Z90" s="16"/>
      <c r="AA90" s="16"/>
    </row>
    <row r="91" spans="1:27" s="15" customFormat="1" ht="21" customHeight="1">
      <c r="A91" s="20"/>
      <c r="B91" s="6"/>
      <c r="C91" s="8"/>
      <c r="D91" s="6"/>
      <c r="E91" s="6"/>
      <c r="F91" s="6"/>
      <c r="G91" s="7"/>
      <c r="I91" s="6"/>
      <c r="J91" s="6"/>
      <c r="K91" s="6"/>
      <c r="L91" s="6"/>
      <c r="M91" s="499"/>
      <c r="N91" s="499"/>
      <c r="O91" s="16"/>
      <c r="P91" s="16"/>
      <c r="Q91" s="16"/>
      <c r="R91" s="16"/>
      <c r="S91" s="16"/>
      <c r="T91" s="16"/>
      <c r="U91" s="16"/>
      <c r="V91" s="16"/>
      <c r="W91" s="16"/>
      <c r="X91" s="16"/>
      <c r="Y91" s="16"/>
      <c r="Z91" s="16"/>
      <c r="AA91" s="16"/>
    </row>
    <row r="92" spans="1:27" s="15" customFormat="1" ht="21" customHeight="1">
      <c r="A92" s="501" t="s">
        <v>1005</v>
      </c>
      <c r="B92" s="502" t="s">
        <v>150</v>
      </c>
      <c r="C92" s="503" t="s">
        <v>3</v>
      </c>
      <c r="D92" s="502" t="s">
        <v>706</v>
      </c>
      <c r="E92" s="502" t="s">
        <v>707</v>
      </c>
      <c r="F92" s="502">
        <v>754</v>
      </c>
      <c r="G92" s="504">
        <v>1.89</v>
      </c>
      <c r="H92" s="505" t="s">
        <v>351</v>
      </c>
      <c r="I92" s="502">
        <v>10</v>
      </c>
      <c r="J92" s="502">
        <v>5037</v>
      </c>
      <c r="K92" s="502">
        <v>8</v>
      </c>
      <c r="L92" s="502">
        <v>0</v>
      </c>
      <c r="M92" s="507">
        <v>1</v>
      </c>
      <c r="N92" s="507" t="s">
        <v>708</v>
      </c>
      <c r="O92" s="16"/>
      <c r="P92" s="16"/>
      <c r="Q92" s="16"/>
      <c r="R92" s="16"/>
      <c r="S92" s="16"/>
      <c r="T92" s="16"/>
      <c r="U92" s="16"/>
      <c r="V92" s="16"/>
      <c r="W92" s="16"/>
      <c r="X92" s="16"/>
      <c r="Y92" s="16"/>
      <c r="Z92" s="16"/>
      <c r="AA92" s="16"/>
    </row>
    <row r="93" spans="1:27" s="15" customFormat="1" ht="21" customHeight="1">
      <c r="A93" s="506" t="s">
        <v>766</v>
      </c>
      <c r="B93" s="6"/>
      <c r="C93" s="8" t="s">
        <v>233</v>
      </c>
      <c r="D93" s="6"/>
      <c r="E93" s="6"/>
      <c r="F93" s="6">
        <v>133</v>
      </c>
      <c r="G93" s="7">
        <v>1.61</v>
      </c>
      <c r="I93" s="6"/>
      <c r="J93" s="6">
        <v>100</v>
      </c>
      <c r="K93" s="6"/>
      <c r="L93" s="6"/>
      <c r="M93" s="499"/>
      <c r="N93" s="499"/>
      <c r="O93" s="16"/>
      <c r="P93" s="16"/>
      <c r="Q93" s="16"/>
      <c r="R93" s="16"/>
      <c r="S93" s="16"/>
      <c r="T93" s="16"/>
      <c r="U93" s="16"/>
      <c r="V93" s="16"/>
      <c r="W93" s="16"/>
      <c r="X93" s="16"/>
      <c r="Y93" s="16"/>
      <c r="Z93" s="16"/>
      <c r="AA93" s="16"/>
    </row>
    <row r="94" spans="1:27" s="15" customFormat="1" ht="21" customHeight="1">
      <c r="A94" s="506" t="s">
        <v>767</v>
      </c>
      <c r="B94" s="6"/>
      <c r="C94" s="8" t="s">
        <v>233</v>
      </c>
      <c r="D94" s="6"/>
      <c r="E94" s="6"/>
      <c r="F94" s="6">
        <v>0</v>
      </c>
      <c r="G94" s="7">
        <v>0</v>
      </c>
      <c r="I94" s="6"/>
      <c r="J94" s="6">
        <v>50</v>
      </c>
      <c r="K94" s="6"/>
      <c r="L94" s="6"/>
      <c r="M94" s="499"/>
      <c r="N94" s="499"/>
      <c r="O94" s="16"/>
      <c r="P94" s="16"/>
      <c r="Q94" s="16"/>
      <c r="R94" s="16"/>
      <c r="S94" s="16"/>
      <c r="T94" s="16"/>
      <c r="U94" s="16"/>
      <c r="V94" s="16"/>
      <c r="W94" s="16"/>
      <c r="X94" s="16"/>
      <c r="Y94" s="16"/>
      <c r="Z94" s="16"/>
      <c r="AA94" s="16"/>
    </row>
    <row r="95" spans="1:27" s="15" customFormat="1" ht="21" customHeight="1">
      <c r="A95" s="506" t="s">
        <v>768</v>
      </c>
      <c r="B95" s="6"/>
      <c r="C95" s="8" t="s">
        <v>560</v>
      </c>
      <c r="D95" s="6"/>
      <c r="E95" s="6"/>
      <c r="F95" s="6">
        <v>0</v>
      </c>
      <c r="G95" s="7">
        <v>0</v>
      </c>
      <c r="I95" s="6"/>
      <c r="J95" s="6">
        <v>200</v>
      </c>
      <c r="K95" s="6"/>
      <c r="L95" s="6"/>
      <c r="M95" s="499"/>
      <c r="N95" s="499"/>
      <c r="O95" s="16"/>
      <c r="P95" s="16"/>
      <c r="Q95" s="16"/>
      <c r="R95" s="16"/>
      <c r="S95" s="16"/>
      <c r="T95" s="16"/>
      <c r="U95" s="16"/>
      <c r="V95" s="16"/>
      <c r="W95" s="16"/>
      <c r="X95" s="16"/>
      <c r="Y95" s="16"/>
      <c r="Z95" s="16"/>
      <c r="AA95" s="16"/>
    </row>
    <row r="96" spans="1:27" s="15" customFormat="1" ht="21" customHeight="1">
      <c r="A96" s="506" t="s">
        <v>769</v>
      </c>
      <c r="B96" s="6"/>
      <c r="C96" s="8" t="s">
        <v>233</v>
      </c>
      <c r="D96" s="6"/>
      <c r="E96" s="6"/>
      <c r="F96" s="6">
        <v>0</v>
      </c>
      <c r="G96" s="7">
        <v>0</v>
      </c>
      <c r="I96" s="6"/>
      <c r="J96" s="6">
        <v>51</v>
      </c>
      <c r="K96" s="6"/>
      <c r="L96" s="6"/>
      <c r="M96" s="499"/>
      <c r="N96" s="499"/>
      <c r="O96" s="16"/>
      <c r="P96" s="16"/>
      <c r="Q96" s="16"/>
      <c r="R96" s="16"/>
      <c r="S96" s="16"/>
      <c r="T96" s="16"/>
      <c r="U96" s="16"/>
      <c r="V96" s="16"/>
      <c r="W96" s="16"/>
      <c r="X96" s="16"/>
      <c r="Y96" s="16"/>
      <c r="Z96" s="16"/>
      <c r="AA96" s="16"/>
    </row>
    <row r="97" spans="1:27" s="15" customFormat="1" ht="21" customHeight="1">
      <c r="A97" s="506" t="s">
        <v>770</v>
      </c>
      <c r="B97" s="6"/>
      <c r="C97" s="8" t="s">
        <v>257</v>
      </c>
      <c r="D97" s="6"/>
      <c r="E97" s="6"/>
      <c r="F97" s="6">
        <v>3</v>
      </c>
      <c r="G97" s="7">
        <v>0</v>
      </c>
      <c r="I97" s="6"/>
      <c r="J97" s="6">
        <v>1101</v>
      </c>
      <c r="K97" s="6"/>
      <c r="L97" s="6"/>
      <c r="M97" s="499"/>
      <c r="N97" s="499"/>
      <c r="O97" s="16"/>
      <c r="P97" s="16"/>
      <c r="Q97" s="16"/>
      <c r="R97" s="16"/>
      <c r="S97" s="16"/>
      <c r="T97" s="16"/>
      <c r="U97" s="16"/>
      <c r="V97" s="16"/>
      <c r="W97" s="16"/>
      <c r="X97" s="16"/>
      <c r="Y97" s="16"/>
      <c r="Z97" s="16"/>
      <c r="AA97" s="16"/>
    </row>
    <row r="98" spans="1:27" s="15" customFormat="1" ht="21" customHeight="1">
      <c r="A98" s="506" t="s">
        <v>771</v>
      </c>
      <c r="B98" s="6"/>
      <c r="C98" s="8" t="s">
        <v>237</v>
      </c>
      <c r="D98" s="6"/>
      <c r="E98" s="6"/>
      <c r="F98" s="6">
        <v>0</v>
      </c>
      <c r="G98" s="7">
        <v>0</v>
      </c>
      <c r="I98" s="6"/>
      <c r="J98" s="6">
        <v>801</v>
      </c>
      <c r="K98" s="6"/>
      <c r="L98" s="6"/>
      <c r="M98" s="499"/>
      <c r="N98" s="499"/>
      <c r="O98" s="16"/>
      <c r="P98" s="16"/>
      <c r="Q98" s="16"/>
      <c r="R98" s="16"/>
      <c r="S98" s="16"/>
      <c r="T98" s="16"/>
      <c r="U98" s="16"/>
      <c r="V98" s="16"/>
      <c r="W98" s="16"/>
      <c r="X98" s="16"/>
      <c r="Y98" s="16"/>
      <c r="Z98" s="16"/>
      <c r="AA98" s="16"/>
    </row>
    <row r="99" spans="1:27" s="15" customFormat="1" ht="21" customHeight="1">
      <c r="A99" s="506" t="s">
        <v>772</v>
      </c>
      <c r="B99" s="6"/>
      <c r="C99" s="8" t="s">
        <v>237</v>
      </c>
      <c r="D99" s="6"/>
      <c r="E99" s="6"/>
      <c r="F99" s="6">
        <v>533</v>
      </c>
      <c r="G99" s="7">
        <v>0</v>
      </c>
      <c r="I99" s="6"/>
      <c r="J99" s="6">
        <v>1001</v>
      </c>
      <c r="K99" s="6"/>
      <c r="L99" s="6"/>
      <c r="M99" s="499"/>
      <c r="N99" s="499"/>
      <c r="O99" s="16"/>
      <c r="P99" s="16"/>
      <c r="Q99" s="16"/>
      <c r="R99" s="16"/>
      <c r="S99" s="16"/>
      <c r="T99" s="16"/>
      <c r="U99" s="16"/>
      <c r="V99" s="16"/>
      <c r="W99" s="16"/>
      <c r="X99" s="16"/>
      <c r="Y99" s="16"/>
      <c r="Z99" s="16"/>
      <c r="AA99" s="16"/>
    </row>
    <row r="100" spans="1:27" s="15" customFormat="1" ht="21" customHeight="1">
      <c r="A100" s="506" t="s">
        <v>773</v>
      </c>
      <c r="B100" s="6"/>
      <c r="C100" s="8" t="s">
        <v>237</v>
      </c>
      <c r="D100" s="6"/>
      <c r="E100" s="6"/>
      <c r="F100" s="6">
        <v>0</v>
      </c>
      <c r="G100" s="7">
        <v>0</v>
      </c>
      <c r="I100" s="6"/>
      <c r="J100" s="6">
        <v>1001</v>
      </c>
      <c r="K100" s="6"/>
      <c r="L100" s="6"/>
      <c r="M100" s="499"/>
      <c r="N100" s="499"/>
      <c r="O100" s="16"/>
      <c r="P100" s="16"/>
      <c r="Q100" s="16"/>
      <c r="R100" s="16"/>
      <c r="S100" s="16"/>
      <c r="T100" s="16"/>
      <c r="U100" s="16"/>
      <c r="V100" s="16"/>
      <c r="W100" s="16"/>
      <c r="X100" s="16"/>
      <c r="Y100" s="16"/>
      <c r="Z100" s="16"/>
      <c r="AA100" s="16"/>
    </row>
    <row r="101" spans="1:27" s="15" customFormat="1" ht="21" customHeight="1">
      <c r="A101" s="506" t="s">
        <v>774</v>
      </c>
      <c r="B101" s="6"/>
      <c r="C101" s="8" t="s">
        <v>237</v>
      </c>
      <c r="D101" s="6"/>
      <c r="E101" s="6"/>
      <c r="F101" s="6">
        <v>76</v>
      </c>
      <c r="G101" s="7">
        <v>0</v>
      </c>
      <c r="I101" s="6"/>
      <c r="J101" s="6">
        <v>601</v>
      </c>
      <c r="K101" s="6"/>
      <c r="L101" s="6"/>
      <c r="M101" s="499"/>
      <c r="N101" s="499"/>
      <c r="O101" s="16"/>
      <c r="P101" s="16"/>
      <c r="Q101" s="16"/>
      <c r="R101" s="16"/>
      <c r="S101" s="16"/>
      <c r="T101" s="16"/>
      <c r="U101" s="16"/>
      <c r="V101" s="16"/>
      <c r="W101" s="16"/>
      <c r="X101" s="16"/>
      <c r="Y101" s="16"/>
      <c r="Z101" s="16"/>
      <c r="AA101" s="16"/>
    </row>
    <row r="102" spans="1:27" s="15" customFormat="1" ht="21" customHeight="1">
      <c r="A102" s="506" t="s">
        <v>775</v>
      </c>
      <c r="B102" s="6"/>
      <c r="C102" s="8" t="s">
        <v>560</v>
      </c>
      <c r="D102" s="6"/>
      <c r="E102" s="6"/>
      <c r="F102" s="6">
        <v>0</v>
      </c>
      <c r="G102" s="7">
        <v>0</v>
      </c>
      <c r="I102" s="6"/>
      <c r="J102" s="6">
        <v>131</v>
      </c>
      <c r="K102" s="6"/>
      <c r="L102" s="6"/>
      <c r="M102" s="499"/>
      <c r="N102" s="499"/>
      <c r="O102" s="16"/>
      <c r="P102" s="16"/>
      <c r="Q102" s="16"/>
      <c r="R102" s="16"/>
      <c r="S102" s="16"/>
      <c r="T102" s="16"/>
      <c r="U102" s="16"/>
      <c r="V102" s="16"/>
      <c r="W102" s="16"/>
      <c r="X102" s="16"/>
      <c r="Y102" s="16"/>
      <c r="Z102" s="16"/>
      <c r="AA102" s="16"/>
    </row>
    <row r="103" spans="1:27" s="15" customFormat="1" ht="21" customHeight="1">
      <c r="A103" s="20"/>
      <c r="B103" s="6"/>
      <c r="C103" s="8"/>
      <c r="D103" s="6"/>
      <c r="E103" s="6"/>
      <c r="F103" s="6"/>
      <c r="G103" s="7"/>
      <c r="I103" s="6"/>
      <c r="J103" s="6"/>
      <c r="K103" s="6"/>
      <c r="L103" s="6"/>
      <c r="M103" s="499"/>
      <c r="N103" s="499"/>
      <c r="O103" s="16"/>
      <c r="P103" s="16"/>
      <c r="Q103" s="16"/>
      <c r="R103" s="16"/>
      <c r="S103" s="16"/>
      <c r="T103" s="16"/>
      <c r="U103" s="16"/>
      <c r="V103" s="16"/>
      <c r="W103" s="16"/>
      <c r="X103" s="16"/>
      <c r="Y103" s="16"/>
      <c r="Z103" s="16"/>
      <c r="AA103" s="16"/>
    </row>
    <row r="104" spans="1:27" s="15" customFormat="1" ht="21" customHeight="1">
      <c r="A104" s="501" t="s">
        <v>1006</v>
      </c>
      <c r="B104" s="502" t="s">
        <v>150</v>
      </c>
      <c r="C104" s="503" t="s">
        <v>3</v>
      </c>
      <c r="D104" s="502" t="s">
        <v>706</v>
      </c>
      <c r="E104" s="502" t="s">
        <v>707</v>
      </c>
      <c r="F104" s="502">
        <v>952</v>
      </c>
      <c r="G104" s="504">
        <v>8.9600000000000009</v>
      </c>
      <c r="H104" s="505" t="s">
        <v>352</v>
      </c>
      <c r="I104" s="502">
        <v>8</v>
      </c>
      <c r="J104" s="502">
        <v>1896</v>
      </c>
      <c r="K104" s="502">
        <v>16</v>
      </c>
      <c r="L104" s="502">
        <v>0</v>
      </c>
      <c r="M104" s="507">
        <v>1</v>
      </c>
      <c r="N104" s="507" t="s">
        <v>708</v>
      </c>
      <c r="O104" s="16"/>
      <c r="P104" s="16"/>
      <c r="Q104" s="16"/>
      <c r="R104" s="16"/>
      <c r="S104" s="16"/>
      <c r="T104" s="16"/>
      <c r="U104" s="16"/>
      <c r="V104" s="16"/>
      <c r="W104" s="16"/>
      <c r="X104" s="16"/>
      <c r="Y104" s="16"/>
      <c r="Z104" s="16"/>
      <c r="AA104" s="16"/>
    </row>
    <row r="105" spans="1:27" s="15" customFormat="1" ht="21" customHeight="1">
      <c r="A105" s="506" t="s">
        <v>776</v>
      </c>
      <c r="B105" s="6"/>
      <c r="C105" s="8" t="s">
        <v>233</v>
      </c>
      <c r="D105" s="6"/>
      <c r="E105" s="6"/>
      <c r="F105" s="6">
        <v>23</v>
      </c>
      <c r="G105" s="7">
        <v>0.39</v>
      </c>
      <c r="I105" s="6"/>
      <c r="J105" s="6">
        <v>100</v>
      </c>
      <c r="K105" s="6"/>
      <c r="L105" s="6"/>
      <c r="M105" s="499"/>
      <c r="N105" s="499"/>
      <c r="O105" s="16"/>
      <c r="P105" s="16"/>
      <c r="Q105" s="16"/>
      <c r="R105" s="16"/>
      <c r="S105" s="16"/>
      <c r="T105" s="16"/>
      <c r="U105" s="16"/>
      <c r="V105" s="16"/>
      <c r="W105" s="16"/>
      <c r="X105" s="16"/>
      <c r="Y105" s="16"/>
      <c r="Z105" s="16"/>
      <c r="AA105" s="16"/>
    </row>
    <row r="106" spans="1:27" s="15" customFormat="1" ht="21" customHeight="1">
      <c r="A106" s="506" t="s">
        <v>777</v>
      </c>
      <c r="B106" s="6"/>
      <c r="C106" s="8" t="s">
        <v>233</v>
      </c>
      <c r="D106" s="6"/>
      <c r="E106" s="6"/>
      <c r="F106" s="6">
        <v>0</v>
      </c>
      <c r="G106" s="7">
        <v>0</v>
      </c>
      <c r="I106" s="6"/>
      <c r="J106" s="6">
        <v>50</v>
      </c>
      <c r="K106" s="6"/>
      <c r="L106" s="6"/>
      <c r="M106" s="499"/>
      <c r="N106" s="499"/>
      <c r="O106" s="16"/>
      <c r="P106" s="16"/>
      <c r="Q106" s="16"/>
      <c r="R106" s="16"/>
      <c r="S106" s="16"/>
      <c r="T106" s="16"/>
      <c r="U106" s="16"/>
      <c r="V106" s="16"/>
      <c r="W106" s="16"/>
      <c r="X106" s="16"/>
      <c r="Y106" s="16"/>
      <c r="Z106" s="16"/>
      <c r="AA106" s="16"/>
    </row>
    <row r="107" spans="1:27" s="15" customFormat="1" ht="21" customHeight="1">
      <c r="A107" s="506" t="s">
        <v>778</v>
      </c>
      <c r="B107" s="6"/>
      <c r="C107" s="8" t="s">
        <v>560</v>
      </c>
      <c r="D107" s="6"/>
      <c r="E107" s="6"/>
      <c r="F107" s="6">
        <v>36</v>
      </c>
      <c r="G107" s="7">
        <v>8.92</v>
      </c>
      <c r="I107" s="6"/>
      <c r="J107" s="6">
        <v>201</v>
      </c>
      <c r="K107" s="6"/>
      <c r="L107" s="6"/>
      <c r="M107" s="499"/>
      <c r="N107" s="499"/>
      <c r="O107" s="16"/>
      <c r="P107" s="16"/>
      <c r="Q107" s="16"/>
      <c r="R107" s="16"/>
      <c r="S107" s="16"/>
      <c r="T107" s="16"/>
      <c r="U107" s="16"/>
      <c r="V107" s="16"/>
      <c r="W107" s="16"/>
      <c r="X107" s="16"/>
      <c r="Y107" s="16"/>
      <c r="Z107" s="16"/>
      <c r="AA107" s="16"/>
    </row>
    <row r="108" spans="1:27" s="15" customFormat="1" ht="21" customHeight="1">
      <c r="A108" s="506" t="s">
        <v>779</v>
      </c>
      <c r="B108" s="6"/>
      <c r="C108" s="8" t="s">
        <v>560</v>
      </c>
      <c r="D108" s="6"/>
      <c r="E108" s="6"/>
      <c r="F108" s="6">
        <v>903</v>
      </c>
      <c r="G108" s="7">
        <v>0</v>
      </c>
      <c r="I108" s="6"/>
      <c r="J108" s="6">
        <v>50</v>
      </c>
      <c r="K108" s="6"/>
      <c r="L108" s="6"/>
      <c r="M108" s="499"/>
      <c r="N108" s="499"/>
      <c r="O108" s="16"/>
      <c r="P108" s="16"/>
      <c r="Q108" s="16"/>
      <c r="R108" s="16"/>
      <c r="S108" s="16"/>
      <c r="T108" s="16"/>
      <c r="U108" s="16"/>
      <c r="V108" s="16"/>
      <c r="W108" s="16"/>
      <c r="X108" s="16"/>
      <c r="Y108" s="16"/>
      <c r="Z108" s="16"/>
      <c r="AA108" s="16"/>
    </row>
    <row r="109" spans="1:27" s="15" customFormat="1" ht="21" customHeight="1">
      <c r="A109" s="506" t="s">
        <v>780</v>
      </c>
      <c r="B109" s="6"/>
      <c r="C109" s="8" t="s">
        <v>237</v>
      </c>
      <c r="D109" s="6"/>
      <c r="E109" s="6"/>
      <c r="F109" s="6">
        <v>185</v>
      </c>
      <c r="G109" s="7">
        <v>0</v>
      </c>
      <c r="I109" s="6"/>
      <c r="J109" s="6">
        <v>1024</v>
      </c>
      <c r="K109" s="6"/>
      <c r="L109" s="6"/>
      <c r="M109" s="499"/>
      <c r="N109" s="499"/>
      <c r="O109" s="16"/>
      <c r="P109" s="16"/>
      <c r="Q109" s="16"/>
      <c r="R109" s="16"/>
      <c r="S109" s="16"/>
      <c r="T109" s="16"/>
      <c r="U109" s="16"/>
      <c r="V109" s="16"/>
      <c r="W109" s="16"/>
      <c r="X109" s="16"/>
      <c r="Y109" s="16"/>
      <c r="Z109" s="16"/>
      <c r="AA109" s="16"/>
    </row>
    <row r="110" spans="1:27" s="15" customFormat="1" ht="21" customHeight="1">
      <c r="A110" s="506" t="s">
        <v>781</v>
      </c>
      <c r="B110" s="6"/>
      <c r="C110" s="8" t="s">
        <v>233</v>
      </c>
      <c r="D110" s="6"/>
      <c r="E110" s="6"/>
      <c r="F110" s="6">
        <v>0</v>
      </c>
      <c r="G110" s="7">
        <v>0</v>
      </c>
      <c r="I110" s="6"/>
      <c r="J110" s="6">
        <v>70</v>
      </c>
      <c r="K110" s="6"/>
      <c r="L110" s="6"/>
      <c r="M110" s="499"/>
      <c r="N110" s="499"/>
      <c r="O110" s="16"/>
      <c r="P110" s="16"/>
      <c r="Q110" s="16"/>
      <c r="R110" s="16"/>
      <c r="S110" s="16"/>
      <c r="T110" s="16"/>
      <c r="U110" s="16"/>
      <c r="V110" s="16"/>
      <c r="W110" s="16"/>
      <c r="X110" s="16"/>
      <c r="Y110" s="16"/>
      <c r="Z110" s="16"/>
      <c r="AA110" s="16"/>
    </row>
    <row r="111" spans="1:27" s="15" customFormat="1" ht="21" customHeight="1">
      <c r="A111" s="506" t="s">
        <v>782</v>
      </c>
      <c r="B111" s="6"/>
      <c r="C111" s="8" t="s">
        <v>236</v>
      </c>
      <c r="D111" s="6"/>
      <c r="E111" s="6"/>
      <c r="F111" s="6">
        <v>0</v>
      </c>
      <c r="G111" s="7">
        <v>0</v>
      </c>
      <c r="I111" s="6"/>
      <c r="J111" s="6">
        <v>301</v>
      </c>
      <c r="K111" s="6"/>
      <c r="L111" s="6"/>
      <c r="M111" s="499"/>
      <c r="N111" s="499"/>
      <c r="O111" s="16"/>
      <c r="P111" s="16"/>
      <c r="Q111" s="16"/>
      <c r="R111" s="16"/>
      <c r="S111" s="16"/>
      <c r="T111" s="16"/>
      <c r="U111" s="16"/>
      <c r="V111" s="16"/>
      <c r="W111" s="16"/>
      <c r="X111" s="16"/>
      <c r="Y111" s="16"/>
      <c r="Z111" s="16"/>
      <c r="AA111" s="16"/>
    </row>
    <row r="112" spans="1:27" s="15" customFormat="1" ht="21" customHeight="1">
      <c r="A112" s="506" t="s">
        <v>783</v>
      </c>
      <c r="B112" s="6"/>
      <c r="C112" s="8" t="s">
        <v>233</v>
      </c>
      <c r="D112" s="6"/>
      <c r="E112" s="6"/>
      <c r="F112" s="6">
        <v>0</v>
      </c>
      <c r="G112" s="7">
        <v>0</v>
      </c>
      <c r="I112" s="6"/>
      <c r="J112" s="6">
        <v>100</v>
      </c>
      <c r="K112" s="6"/>
      <c r="L112" s="6"/>
      <c r="M112" s="499"/>
      <c r="N112" s="499"/>
      <c r="O112" s="16"/>
      <c r="P112" s="16"/>
      <c r="Q112" s="16"/>
      <c r="R112" s="16"/>
      <c r="S112" s="16"/>
      <c r="T112" s="16"/>
      <c r="U112" s="16"/>
      <c r="V112" s="16"/>
      <c r="W112" s="16"/>
      <c r="X112" s="16"/>
      <c r="Y112" s="16"/>
      <c r="Z112" s="16"/>
      <c r="AA112" s="16"/>
    </row>
    <row r="113" spans="1:27" s="15" customFormat="1" ht="21" customHeight="1">
      <c r="A113" s="20"/>
      <c r="B113" s="6"/>
      <c r="C113" s="8"/>
      <c r="D113" s="6"/>
      <c r="E113" s="6"/>
      <c r="F113" s="6"/>
      <c r="G113" s="7"/>
      <c r="I113" s="6"/>
      <c r="J113" s="6"/>
      <c r="K113" s="6"/>
      <c r="L113" s="6"/>
      <c r="M113" s="499"/>
      <c r="N113" s="499"/>
      <c r="O113" s="16"/>
      <c r="P113" s="16"/>
      <c r="Q113" s="16"/>
      <c r="R113" s="16"/>
      <c r="S113" s="16"/>
      <c r="T113" s="16"/>
      <c r="U113" s="16"/>
      <c r="V113" s="16"/>
      <c r="W113" s="16"/>
      <c r="X113" s="16"/>
      <c r="Y113" s="16"/>
      <c r="Z113" s="16"/>
      <c r="AA113" s="16"/>
    </row>
    <row r="114" spans="1:27" s="15" customFormat="1" ht="21" customHeight="1">
      <c r="A114" s="501" t="s">
        <v>1007</v>
      </c>
      <c r="B114" s="502" t="s">
        <v>150</v>
      </c>
      <c r="C114" s="507" t="s">
        <v>195</v>
      </c>
      <c r="D114" s="502" t="s">
        <v>709</v>
      </c>
      <c r="E114" s="502" t="s">
        <v>710</v>
      </c>
      <c r="F114" s="502">
        <v>55</v>
      </c>
      <c r="G114" s="504">
        <v>1.33</v>
      </c>
      <c r="H114" s="505" t="s">
        <v>342</v>
      </c>
      <c r="I114" s="502">
        <v>11</v>
      </c>
      <c r="J114" s="502">
        <v>5400</v>
      </c>
      <c r="K114" s="502">
        <v>16</v>
      </c>
      <c r="L114" s="502">
        <v>0</v>
      </c>
      <c r="M114" s="507">
        <v>1</v>
      </c>
      <c r="N114" s="507" t="s">
        <v>708</v>
      </c>
      <c r="O114" s="16"/>
      <c r="P114" s="16"/>
      <c r="Q114" s="16"/>
      <c r="R114" s="16"/>
      <c r="S114" s="16"/>
      <c r="T114" s="16"/>
      <c r="U114" s="16"/>
      <c r="V114" s="16"/>
      <c r="W114" s="16"/>
      <c r="X114" s="16"/>
      <c r="Y114" s="16"/>
      <c r="Z114" s="16"/>
      <c r="AA114" s="16"/>
    </row>
    <row r="115" spans="1:27" s="15" customFormat="1" ht="21" customHeight="1">
      <c r="A115" s="506" t="s">
        <v>784</v>
      </c>
      <c r="B115" s="6"/>
      <c r="C115" s="8" t="s">
        <v>247</v>
      </c>
      <c r="D115" s="6"/>
      <c r="E115" s="6"/>
      <c r="F115" s="6">
        <v>50</v>
      </c>
      <c r="G115" s="7">
        <v>1.3</v>
      </c>
      <c r="I115" s="6"/>
      <c r="J115" s="6">
        <v>100</v>
      </c>
      <c r="K115" s="6"/>
      <c r="L115" s="6"/>
      <c r="M115" s="499"/>
      <c r="N115" s="499"/>
      <c r="O115" s="16"/>
      <c r="P115" s="16"/>
      <c r="Q115" s="16"/>
      <c r="R115" s="16"/>
      <c r="S115" s="16"/>
      <c r="T115" s="16"/>
      <c r="U115" s="16"/>
      <c r="V115" s="16"/>
      <c r="W115" s="16"/>
      <c r="X115" s="16"/>
      <c r="Y115" s="16"/>
      <c r="Z115" s="16"/>
      <c r="AA115" s="16"/>
    </row>
    <row r="116" spans="1:27" s="15" customFormat="1" ht="21" customHeight="1">
      <c r="A116" s="506" t="s">
        <v>785</v>
      </c>
      <c r="B116" s="6"/>
      <c r="C116" s="8" t="s">
        <v>246</v>
      </c>
      <c r="D116" s="6"/>
      <c r="E116" s="6"/>
      <c r="F116" s="6">
        <v>8</v>
      </c>
      <c r="G116" s="7">
        <v>0.03</v>
      </c>
      <c r="I116" s="6"/>
      <c r="J116" s="6">
        <v>50</v>
      </c>
      <c r="K116" s="6"/>
      <c r="L116" s="6"/>
      <c r="M116" s="499"/>
      <c r="N116" s="499"/>
      <c r="O116" s="16"/>
      <c r="P116" s="16"/>
      <c r="Q116" s="16"/>
      <c r="R116" s="16"/>
      <c r="S116" s="16"/>
      <c r="T116" s="16"/>
      <c r="U116" s="16"/>
      <c r="V116" s="16"/>
      <c r="W116" s="16"/>
      <c r="X116" s="16"/>
      <c r="Y116" s="16"/>
      <c r="Z116" s="16"/>
      <c r="AA116" s="16"/>
    </row>
    <row r="117" spans="1:27" s="15" customFormat="1" ht="21" customHeight="1">
      <c r="A117" s="506" t="s">
        <v>786</v>
      </c>
      <c r="B117" s="6"/>
      <c r="C117" s="8" t="s">
        <v>249</v>
      </c>
      <c r="D117" s="6"/>
      <c r="E117" s="6"/>
      <c r="F117" s="6">
        <v>8</v>
      </c>
      <c r="G117" s="7">
        <v>0.03</v>
      </c>
      <c r="I117" s="6"/>
      <c r="J117" s="6">
        <v>900</v>
      </c>
      <c r="K117" s="6"/>
      <c r="L117" s="6"/>
      <c r="M117" s="499"/>
      <c r="N117" s="499"/>
      <c r="O117" s="16"/>
      <c r="P117" s="16"/>
      <c r="Q117" s="16"/>
      <c r="R117" s="16"/>
      <c r="S117" s="16"/>
      <c r="T117" s="16"/>
      <c r="U117" s="16"/>
      <c r="V117" s="16"/>
      <c r="W117" s="16"/>
      <c r="X117" s="16"/>
      <c r="Y117" s="16"/>
      <c r="Z117" s="16"/>
      <c r="AA117" s="16"/>
    </row>
    <row r="118" spans="1:27" s="15" customFormat="1" ht="21" customHeight="1">
      <c r="A118" s="506" t="s">
        <v>787</v>
      </c>
      <c r="B118" s="6"/>
      <c r="C118" s="8" t="s">
        <v>249</v>
      </c>
      <c r="D118" s="6"/>
      <c r="E118" s="6"/>
      <c r="F118" s="6">
        <v>0</v>
      </c>
      <c r="G118" s="7">
        <v>0</v>
      </c>
      <c r="I118" s="6"/>
      <c r="J118" s="6">
        <v>900</v>
      </c>
      <c r="K118" s="6"/>
      <c r="L118" s="6"/>
      <c r="M118" s="499"/>
      <c r="N118" s="499"/>
      <c r="O118" s="16"/>
      <c r="P118" s="16"/>
      <c r="Q118" s="16"/>
      <c r="R118" s="16"/>
      <c r="S118" s="16"/>
      <c r="T118" s="16"/>
      <c r="U118" s="16"/>
      <c r="V118" s="16"/>
      <c r="W118" s="16"/>
      <c r="X118" s="16"/>
      <c r="Y118" s="16"/>
      <c r="Z118" s="16"/>
      <c r="AA118" s="16"/>
    </row>
    <row r="119" spans="1:27" s="15" customFormat="1" ht="21" customHeight="1">
      <c r="A119" s="506" t="s">
        <v>788</v>
      </c>
      <c r="B119" s="6"/>
      <c r="C119" s="8" t="s">
        <v>249</v>
      </c>
      <c r="D119" s="6"/>
      <c r="E119" s="6"/>
      <c r="F119" s="6">
        <v>0</v>
      </c>
      <c r="G119" s="7">
        <v>0</v>
      </c>
      <c r="I119" s="6"/>
      <c r="J119" s="6">
        <v>900</v>
      </c>
      <c r="K119" s="6"/>
      <c r="L119" s="6"/>
      <c r="M119" s="499"/>
      <c r="N119" s="499"/>
      <c r="O119" s="16"/>
      <c r="P119" s="16"/>
      <c r="Q119" s="16"/>
      <c r="R119" s="16"/>
      <c r="S119" s="16"/>
      <c r="T119" s="16"/>
      <c r="U119" s="16"/>
      <c r="V119" s="16"/>
      <c r="W119" s="16"/>
      <c r="X119" s="16"/>
      <c r="Y119" s="16"/>
      <c r="Z119" s="16"/>
      <c r="AA119" s="16"/>
    </row>
    <row r="120" spans="1:27" s="15" customFormat="1" ht="21" customHeight="1">
      <c r="A120" s="506" t="s">
        <v>789</v>
      </c>
      <c r="B120" s="6"/>
      <c r="C120" s="8" t="s">
        <v>249</v>
      </c>
      <c r="D120" s="6"/>
      <c r="E120" s="6"/>
      <c r="F120" s="6">
        <v>0</v>
      </c>
      <c r="G120" s="7">
        <v>0</v>
      </c>
      <c r="I120" s="6"/>
      <c r="J120" s="6">
        <v>900</v>
      </c>
      <c r="K120" s="6"/>
      <c r="L120" s="6"/>
      <c r="M120" s="499"/>
      <c r="N120" s="499"/>
      <c r="O120" s="16"/>
      <c r="P120" s="16"/>
      <c r="Q120" s="16"/>
      <c r="R120" s="16"/>
      <c r="S120" s="16"/>
      <c r="T120" s="16"/>
      <c r="U120" s="16"/>
      <c r="V120" s="16"/>
      <c r="W120" s="16"/>
      <c r="X120" s="16"/>
      <c r="Y120" s="16"/>
      <c r="Z120" s="16"/>
      <c r="AA120" s="16"/>
    </row>
    <row r="121" spans="1:27" s="15" customFormat="1" ht="21" customHeight="1">
      <c r="A121" s="506" t="s">
        <v>790</v>
      </c>
      <c r="B121" s="6"/>
      <c r="C121" s="8" t="s">
        <v>249</v>
      </c>
      <c r="D121" s="6"/>
      <c r="E121" s="6"/>
      <c r="F121" s="6">
        <v>0</v>
      </c>
      <c r="G121" s="7">
        <v>0</v>
      </c>
      <c r="I121" s="6"/>
      <c r="J121" s="6">
        <v>900</v>
      </c>
      <c r="K121" s="6"/>
      <c r="L121" s="6"/>
      <c r="M121" s="499"/>
      <c r="N121" s="499"/>
      <c r="O121" s="16"/>
      <c r="P121" s="16"/>
      <c r="Q121" s="16"/>
      <c r="R121" s="16"/>
      <c r="S121" s="16"/>
      <c r="T121" s="16"/>
      <c r="U121" s="16"/>
      <c r="V121" s="16"/>
      <c r="W121" s="16"/>
      <c r="X121" s="16"/>
      <c r="Y121" s="16"/>
      <c r="Z121" s="16"/>
      <c r="AA121" s="16"/>
    </row>
    <row r="122" spans="1:27" s="15" customFormat="1" ht="21" customHeight="1">
      <c r="A122" s="506" t="s">
        <v>791</v>
      </c>
      <c r="B122" s="6"/>
      <c r="C122" s="8" t="s">
        <v>559</v>
      </c>
      <c r="D122" s="6"/>
      <c r="E122" s="6"/>
      <c r="F122" s="6">
        <v>0</v>
      </c>
      <c r="G122" s="7">
        <v>0</v>
      </c>
      <c r="I122" s="6"/>
      <c r="J122" s="6">
        <v>200</v>
      </c>
      <c r="K122" s="6"/>
      <c r="L122" s="6"/>
      <c r="M122" s="499"/>
      <c r="N122" s="499"/>
      <c r="O122" s="16"/>
      <c r="P122" s="16"/>
      <c r="Q122" s="16"/>
      <c r="R122" s="16"/>
      <c r="S122" s="16"/>
      <c r="T122" s="16"/>
      <c r="U122" s="16"/>
      <c r="V122" s="16"/>
      <c r="W122" s="16"/>
      <c r="X122" s="16"/>
      <c r="Y122" s="16"/>
      <c r="Z122" s="16"/>
      <c r="AA122" s="16"/>
    </row>
    <row r="123" spans="1:27" s="15" customFormat="1" ht="21" customHeight="1">
      <c r="A123" s="506" t="s">
        <v>792</v>
      </c>
      <c r="B123" s="6"/>
      <c r="C123" s="8" t="s">
        <v>559</v>
      </c>
      <c r="D123" s="6"/>
      <c r="E123" s="6"/>
      <c r="F123" s="6">
        <v>0</v>
      </c>
      <c r="G123" s="7">
        <v>0</v>
      </c>
      <c r="I123" s="6"/>
      <c r="J123" s="6">
        <v>250</v>
      </c>
      <c r="K123" s="6"/>
      <c r="L123" s="6"/>
      <c r="M123" s="499"/>
      <c r="N123" s="499"/>
      <c r="O123" s="16"/>
      <c r="P123" s="16"/>
      <c r="Q123" s="16"/>
      <c r="R123" s="16"/>
      <c r="S123" s="16"/>
      <c r="T123" s="16"/>
      <c r="U123" s="16"/>
      <c r="V123" s="16"/>
      <c r="W123" s="16"/>
      <c r="X123" s="16"/>
      <c r="Y123" s="16"/>
      <c r="Z123" s="16"/>
      <c r="AA123" s="16"/>
    </row>
    <row r="124" spans="1:27" s="15" customFormat="1" ht="21" customHeight="1">
      <c r="A124" s="506" t="s">
        <v>793</v>
      </c>
      <c r="B124" s="6"/>
      <c r="C124" s="8" t="s">
        <v>559</v>
      </c>
      <c r="D124" s="6"/>
      <c r="E124" s="6"/>
      <c r="F124" s="6">
        <v>0</v>
      </c>
      <c r="G124" s="7">
        <v>0</v>
      </c>
      <c r="I124" s="6"/>
      <c r="J124" s="6">
        <v>200</v>
      </c>
      <c r="K124" s="6"/>
      <c r="L124" s="6"/>
      <c r="M124" s="499"/>
      <c r="N124" s="499"/>
      <c r="O124" s="16"/>
      <c r="P124" s="16"/>
      <c r="Q124" s="16"/>
      <c r="R124" s="16"/>
      <c r="S124" s="16"/>
      <c r="T124" s="16"/>
      <c r="U124" s="16"/>
      <c r="V124" s="16"/>
      <c r="W124" s="16"/>
      <c r="X124" s="16"/>
      <c r="Y124" s="16"/>
      <c r="Z124" s="16"/>
      <c r="AA124" s="16"/>
    </row>
    <row r="125" spans="1:27" s="15" customFormat="1" ht="21" customHeight="1">
      <c r="A125" s="506" t="s">
        <v>794</v>
      </c>
      <c r="B125" s="6"/>
      <c r="C125" s="8" t="s">
        <v>247</v>
      </c>
      <c r="D125" s="6"/>
      <c r="E125" s="6"/>
      <c r="F125" s="6">
        <v>0</v>
      </c>
      <c r="G125" s="7">
        <v>0</v>
      </c>
      <c r="I125" s="6"/>
      <c r="J125" s="6">
        <v>100</v>
      </c>
      <c r="K125" s="6"/>
      <c r="L125" s="6"/>
      <c r="M125" s="499"/>
      <c r="N125" s="499"/>
      <c r="O125" s="16"/>
      <c r="P125" s="16"/>
      <c r="Q125" s="16"/>
      <c r="R125" s="16"/>
      <c r="S125" s="16"/>
      <c r="T125" s="16"/>
      <c r="U125" s="16"/>
      <c r="V125" s="16"/>
      <c r="W125" s="16"/>
      <c r="X125" s="16"/>
      <c r="Y125" s="16"/>
      <c r="Z125" s="16"/>
      <c r="AA125" s="16"/>
    </row>
    <row r="126" spans="1:27" s="15" customFormat="1" ht="21" customHeight="1">
      <c r="A126" s="20"/>
      <c r="B126" s="6"/>
      <c r="C126" s="8"/>
      <c r="D126" s="6"/>
      <c r="E126" s="6"/>
      <c r="F126" s="6"/>
      <c r="G126" s="7"/>
      <c r="I126" s="6"/>
      <c r="J126" s="6"/>
      <c r="K126" s="6"/>
      <c r="L126" s="6"/>
      <c r="M126" s="499"/>
      <c r="N126" s="499"/>
      <c r="O126" s="16"/>
      <c r="P126" s="16"/>
      <c r="Q126" s="16"/>
      <c r="R126" s="16"/>
      <c r="S126" s="16"/>
      <c r="T126" s="16"/>
      <c r="U126" s="16"/>
      <c r="V126" s="16"/>
      <c r="W126" s="16"/>
      <c r="X126" s="16"/>
      <c r="Y126" s="16"/>
      <c r="Z126" s="16"/>
      <c r="AA126" s="16"/>
    </row>
    <row r="127" spans="1:27" s="15" customFormat="1" ht="21" customHeight="1">
      <c r="A127" s="501" t="s">
        <v>1008</v>
      </c>
      <c r="B127" s="502" t="s">
        <v>150</v>
      </c>
      <c r="C127" s="507" t="s">
        <v>195</v>
      </c>
      <c r="D127" s="502" t="s">
        <v>709</v>
      </c>
      <c r="E127" s="502" t="s">
        <v>710</v>
      </c>
      <c r="F127" s="502">
        <v>54</v>
      </c>
      <c r="G127" s="504">
        <v>0.41</v>
      </c>
      <c r="H127" s="505" t="s">
        <v>342</v>
      </c>
      <c r="I127" s="502">
        <v>3</v>
      </c>
      <c r="J127" s="502">
        <v>250</v>
      </c>
      <c r="K127" s="502">
        <v>16</v>
      </c>
      <c r="L127" s="502">
        <v>0</v>
      </c>
      <c r="M127" s="507">
        <v>2</v>
      </c>
      <c r="N127" s="507" t="s">
        <v>708</v>
      </c>
      <c r="O127" s="16"/>
      <c r="P127" s="16"/>
      <c r="Q127" s="16"/>
      <c r="R127" s="16"/>
      <c r="S127" s="16"/>
      <c r="T127" s="16"/>
      <c r="U127" s="16"/>
      <c r="V127" s="16"/>
      <c r="W127" s="16"/>
      <c r="X127" s="16"/>
      <c r="Y127" s="16"/>
      <c r="Z127" s="16"/>
      <c r="AA127" s="16"/>
    </row>
    <row r="128" spans="1:27" s="15" customFormat="1" ht="21" customHeight="1">
      <c r="A128" s="506" t="s">
        <v>795</v>
      </c>
      <c r="B128" s="6"/>
      <c r="C128" s="8" t="s">
        <v>247</v>
      </c>
      <c r="D128" s="6"/>
      <c r="E128" s="6"/>
      <c r="F128" s="6">
        <v>52</v>
      </c>
      <c r="G128" s="7">
        <v>0.4</v>
      </c>
      <c r="I128" s="6"/>
      <c r="J128" s="6">
        <v>100</v>
      </c>
      <c r="K128" s="6"/>
      <c r="L128" s="6"/>
      <c r="M128" s="499"/>
      <c r="N128" s="499"/>
      <c r="O128" s="16"/>
      <c r="P128" s="16"/>
      <c r="Q128" s="16"/>
      <c r="R128" s="16"/>
      <c r="S128" s="16"/>
      <c r="T128" s="16"/>
      <c r="U128" s="16"/>
      <c r="V128" s="16"/>
      <c r="W128" s="16"/>
      <c r="X128" s="16"/>
      <c r="Y128" s="16"/>
      <c r="Z128" s="16"/>
      <c r="AA128" s="16"/>
    </row>
    <row r="129" spans="1:27" s="15" customFormat="1" ht="21" customHeight="1">
      <c r="A129" s="506" t="s">
        <v>796</v>
      </c>
      <c r="B129" s="6"/>
      <c r="C129" s="8" t="s">
        <v>246</v>
      </c>
      <c r="D129" s="6"/>
      <c r="E129" s="6"/>
      <c r="F129" s="6">
        <v>6</v>
      </c>
      <c r="G129" s="7">
        <v>0.02</v>
      </c>
      <c r="I129" s="6"/>
      <c r="J129" s="6">
        <v>50</v>
      </c>
      <c r="K129" s="6"/>
      <c r="L129" s="6"/>
      <c r="M129" s="499"/>
      <c r="N129" s="499"/>
      <c r="O129" s="16"/>
      <c r="P129" s="16"/>
      <c r="Q129" s="16"/>
      <c r="R129" s="16"/>
      <c r="S129" s="16"/>
      <c r="T129" s="16"/>
      <c r="U129" s="16"/>
      <c r="V129" s="16"/>
      <c r="W129" s="16"/>
      <c r="X129" s="16"/>
      <c r="Y129" s="16"/>
      <c r="Z129" s="16"/>
      <c r="AA129" s="16"/>
    </row>
    <row r="130" spans="1:27" s="15" customFormat="1" ht="21" customHeight="1">
      <c r="A130" s="506" t="s">
        <v>797</v>
      </c>
      <c r="B130" s="6"/>
      <c r="C130" s="8" t="s">
        <v>247</v>
      </c>
      <c r="D130" s="6"/>
      <c r="E130" s="6"/>
      <c r="F130" s="6">
        <v>0</v>
      </c>
      <c r="G130" s="7">
        <v>0</v>
      </c>
      <c r="I130" s="6"/>
      <c r="J130" s="6">
        <v>100</v>
      </c>
      <c r="K130" s="6"/>
      <c r="L130" s="6"/>
      <c r="M130" s="499"/>
      <c r="N130" s="499"/>
      <c r="O130" s="16"/>
      <c r="P130" s="16"/>
      <c r="Q130" s="16"/>
      <c r="R130" s="16"/>
      <c r="S130" s="16"/>
      <c r="T130" s="16"/>
      <c r="U130" s="16"/>
      <c r="V130" s="16"/>
      <c r="W130" s="16"/>
      <c r="X130" s="16"/>
      <c r="Y130" s="16"/>
      <c r="Z130" s="16"/>
      <c r="AA130" s="16"/>
    </row>
    <row r="131" spans="1:27" s="15" customFormat="1" ht="21" customHeight="1">
      <c r="A131" s="20"/>
      <c r="B131" s="6"/>
      <c r="C131" s="8"/>
      <c r="D131" s="6"/>
      <c r="E131" s="6"/>
      <c r="F131" s="6"/>
      <c r="G131" s="7"/>
      <c r="I131" s="6"/>
      <c r="J131" s="6"/>
      <c r="K131" s="6"/>
      <c r="L131" s="6"/>
      <c r="M131" s="499"/>
      <c r="N131" s="499"/>
      <c r="O131" s="16"/>
      <c r="P131" s="16"/>
      <c r="Q131" s="16"/>
      <c r="R131" s="16"/>
      <c r="S131" s="16"/>
      <c r="T131" s="16"/>
      <c r="U131" s="16"/>
      <c r="V131" s="16"/>
      <c r="W131" s="16"/>
      <c r="X131" s="16"/>
      <c r="Y131" s="16"/>
      <c r="Z131" s="16"/>
      <c r="AA131" s="16"/>
    </row>
    <row r="132" spans="1:27" s="15" customFormat="1" ht="21" customHeight="1">
      <c r="A132" s="501" t="s">
        <v>1009</v>
      </c>
      <c r="B132" s="502" t="s">
        <v>150</v>
      </c>
      <c r="C132" s="507" t="s">
        <v>195</v>
      </c>
      <c r="D132" s="502" t="s">
        <v>709</v>
      </c>
      <c r="E132" s="502" t="s">
        <v>710</v>
      </c>
      <c r="F132" s="502">
        <v>25</v>
      </c>
      <c r="G132" s="504">
        <v>0.38</v>
      </c>
      <c r="H132" s="505" t="s">
        <v>278</v>
      </c>
      <c r="I132" s="502">
        <v>3</v>
      </c>
      <c r="J132" s="502">
        <v>251</v>
      </c>
      <c r="K132" s="502">
        <v>4</v>
      </c>
      <c r="L132" s="502">
        <v>0</v>
      </c>
      <c r="M132" s="507">
        <v>1</v>
      </c>
      <c r="N132" s="507" t="s">
        <v>708</v>
      </c>
      <c r="O132" s="16"/>
      <c r="P132" s="16"/>
      <c r="Q132" s="16"/>
      <c r="R132" s="16"/>
      <c r="S132" s="16"/>
      <c r="T132" s="16"/>
      <c r="U132" s="16"/>
      <c r="V132" s="16"/>
      <c r="W132" s="16"/>
      <c r="X132" s="16"/>
      <c r="Y132" s="16"/>
      <c r="Z132" s="16"/>
      <c r="AA132" s="16"/>
    </row>
    <row r="133" spans="1:27" s="15" customFormat="1" ht="21" customHeight="1">
      <c r="A133" s="506" t="s">
        <v>1095</v>
      </c>
      <c r="B133" s="6"/>
      <c r="C133" s="8" t="s">
        <v>247</v>
      </c>
      <c r="D133" s="6"/>
      <c r="E133" s="6"/>
      <c r="F133" s="6">
        <v>21</v>
      </c>
      <c r="G133" s="7">
        <v>0.36</v>
      </c>
      <c r="I133" s="6"/>
      <c r="J133" s="6">
        <v>100</v>
      </c>
      <c r="K133" s="6"/>
      <c r="L133" s="6"/>
      <c r="M133" s="499"/>
      <c r="N133" s="499"/>
      <c r="O133" s="16"/>
      <c r="P133" s="16"/>
      <c r="Q133" s="16"/>
      <c r="R133" s="16"/>
      <c r="S133" s="16"/>
      <c r="T133" s="16"/>
      <c r="U133" s="16"/>
      <c r="V133" s="16"/>
      <c r="W133" s="16"/>
      <c r="X133" s="16"/>
      <c r="Y133" s="16"/>
      <c r="Z133" s="16"/>
      <c r="AA133" s="16"/>
    </row>
    <row r="134" spans="1:27" s="15" customFormat="1" ht="21" customHeight="1">
      <c r="A134" s="506" t="s">
        <v>1096</v>
      </c>
      <c r="B134" s="6"/>
      <c r="C134" s="8" t="s">
        <v>247</v>
      </c>
      <c r="D134" s="6"/>
      <c r="E134" s="6"/>
      <c r="F134" s="6">
        <v>8</v>
      </c>
      <c r="G134" s="7">
        <v>0.05</v>
      </c>
      <c r="I134" s="6"/>
      <c r="J134" s="6">
        <v>101</v>
      </c>
      <c r="K134" s="6"/>
      <c r="L134" s="6"/>
      <c r="M134" s="499"/>
      <c r="N134" s="499"/>
      <c r="O134" s="16"/>
      <c r="P134" s="16"/>
      <c r="Q134" s="16"/>
      <c r="R134" s="16"/>
      <c r="S134" s="16"/>
      <c r="T134" s="16"/>
      <c r="U134" s="16"/>
      <c r="V134" s="16"/>
      <c r="W134" s="16"/>
      <c r="X134" s="16"/>
      <c r="Y134" s="16"/>
      <c r="Z134" s="16"/>
      <c r="AA134" s="16"/>
    </row>
    <row r="135" spans="1:27" s="15" customFormat="1" ht="21" customHeight="1">
      <c r="A135" s="506" t="s">
        <v>1097</v>
      </c>
      <c r="B135" s="6"/>
      <c r="C135" s="8" t="s">
        <v>246</v>
      </c>
      <c r="D135" s="6"/>
      <c r="E135" s="6"/>
      <c r="F135" s="6">
        <v>0</v>
      </c>
      <c r="G135" s="7">
        <v>0</v>
      </c>
      <c r="I135" s="6"/>
      <c r="J135" s="6">
        <v>50</v>
      </c>
      <c r="K135" s="6"/>
      <c r="L135" s="6"/>
      <c r="M135" s="499"/>
      <c r="N135" s="499"/>
      <c r="O135" s="16"/>
      <c r="P135" s="16"/>
      <c r="Q135" s="16"/>
      <c r="R135" s="16"/>
      <c r="S135" s="16"/>
      <c r="T135" s="16"/>
      <c r="U135" s="16"/>
      <c r="V135" s="16"/>
      <c r="W135" s="16"/>
      <c r="X135" s="16"/>
      <c r="Y135" s="16"/>
      <c r="Z135" s="16"/>
      <c r="AA135" s="16"/>
    </row>
    <row r="136" spans="1:27" s="15" customFormat="1" ht="21" customHeight="1">
      <c r="A136" s="20"/>
      <c r="B136" s="6"/>
      <c r="C136" s="8"/>
      <c r="D136" s="6"/>
      <c r="E136" s="6"/>
      <c r="F136" s="6"/>
      <c r="G136" s="7"/>
      <c r="I136" s="6"/>
      <c r="J136" s="6"/>
      <c r="K136" s="6"/>
      <c r="L136" s="6"/>
      <c r="M136" s="499"/>
      <c r="N136" s="499"/>
      <c r="O136" s="16"/>
      <c r="P136" s="16"/>
      <c r="Q136" s="16"/>
      <c r="R136" s="16"/>
      <c r="S136" s="16"/>
      <c r="T136" s="16"/>
      <c r="U136" s="16"/>
      <c r="V136" s="16"/>
      <c r="W136" s="16"/>
      <c r="X136" s="16"/>
      <c r="Y136" s="16"/>
      <c r="Z136" s="16"/>
      <c r="AA136" s="16"/>
    </row>
    <row r="137" spans="1:27" s="15" customFormat="1" ht="21" customHeight="1">
      <c r="A137" s="501" t="s">
        <v>1010</v>
      </c>
      <c r="B137" s="502" t="s">
        <v>150</v>
      </c>
      <c r="C137" s="507" t="s">
        <v>195</v>
      </c>
      <c r="D137" s="502" t="s">
        <v>709</v>
      </c>
      <c r="E137" s="502" t="s">
        <v>710</v>
      </c>
      <c r="F137" s="502">
        <v>26</v>
      </c>
      <c r="G137" s="504">
        <v>0.32</v>
      </c>
      <c r="H137" s="505" t="s">
        <v>276</v>
      </c>
      <c r="I137" s="502">
        <v>3</v>
      </c>
      <c r="J137" s="502">
        <v>450</v>
      </c>
      <c r="K137" s="502">
        <v>2</v>
      </c>
      <c r="L137" s="502">
        <v>0</v>
      </c>
      <c r="M137" s="507">
        <v>1</v>
      </c>
      <c r="N137" s="507" t="s">
        <v>708</v>
      </c>
      <c r="O137" s="16"/>
      <c r="P137" s="16"/>
      <c r="Q137" s="16"/>
      <c r="R137" s="16"/>
      <c r="S137" s="16"/>
      <c r="T137" s="16"/>
      <c r="U137" s="16"/>
      <c r="V137" s="16"/>
      <c r="W137" s="16"/>
      <c r="X137" s="16"/>
      <c r="Y137" s="16"/>
      <c r="Z137" s="16"/>
      <c r="AA137" s="16"/>
    </row>
    <row r="138" spans="1:27" s="15" customFormat="1" ht="21" customHeight="1">
      <c r="A138" s="506" t="s">
        <v>1098</v>
      </c>
      <c r="B138" s="6"/>
      <c r="C138" s="8" t="s">
        <v>246</v>
      </c>
      <c r="D138" s="6"/>
      <c r="E138" s="6"/>
      <c r="F138" s="6">
        <v>0</v>
      </c>
      <c r="G138" s="7">
        <v>0</v>
      </c>
      <c r="I138" s="6"/>
      <c r="J138" s="6">
        <v>50</v>
      </c>
      <c r="K138" s="6"/>
      <c r="L138" s="6"/>
      <c r="M138" s="499"/>
      <c r="N138" s="499"/>
      <c r="O138" s="16"/>
      <c r="P138" s="16"/>
      <c r="Q138" s="16"/>
      <c r="R138" s="16"/>
      <c r="S138" s="16"/>
      <c r="T138" s="16"/>
      <c r="U138" s="16"/>
      <c r="V138" s="16"/>
      <c r="W138" s="16"/>
      <c r="X138" s="16"/>
      <c r="Y138" s="16"/>
      <c r="Z138" s="16"/>
      <c r="AA138" s="16"/>
    </row>
    <row r="139" spans="1:27" s="15" customFormat="1" ht="21" customHeight="1">
      <c r="A139" s="506" t="s">
        <v>1099</v>
      </c>
      <c r="B139" s="6"/>
      <c r="C139" s="8" t="s">
        <v>248</v>
      </c>
      <c r="D139" s="6"/>
      <c r="E139" s="6"/>
      <c r="F139" s="6">
        <v>15</v>
      </c>
      <c r="G139" s="7">
        <v>0.14000000000000001</v>
      </c>
      <c r="I139" s="6"/>
      <c r="J139" s="6">
        <v>300</v>
      </c>
      <c r="K139" s="6"/>
      <c r="L139" s="6"/>
      <c r="M139" s="499"/>
      <c r="N139" s="499"/>
      <c r="O139" s="16"/>
      <c r="P139" s="16"/>
      <c r="Q139" s="16"/>
      <c r="R139" s="16"/>
      <c r="S139" s="16"/>
      <c r="T139" s="16"/>
      <c r="U139" s="16"/>
      <c r="V139" s="16"/>
      <c r="W139" s="16"/>
      <c r="X139" s="16"/>
      <c r="Y139" s="16"/>
      <c r="Z139" s="16"/>
      <c r="AA139" s="16"/>
    </row>
    <row r="140" spans="1:27" s="15" customFormat="1" ht="21" customHeight="1">
      <c r="A140" s="506" t="s">
        <v>1100</v>
      </c>
      <c r="B140" s="6"/>
      <c r="C140" s="8" t="s">
        <v>247</v>
      </c>
      <c r="D140" s="6"/>
      <c r="E140" s="6"/>
      <c r="F140" s="6">
        <v>17</v>
      </c>
      <c r="G140" s="7">
        <v>0.26</v>
      </c>
      <c r="I140" s="6"/>
      <c r="J140" s="6">
        <v>100</v>
      </c>
      <c r="K140" s="6"/>
      <c r="L140" s="6"/>
      <c r="M140" s="499"/>
      <c r="N140" s="499"/>
      <c r="O140" s="16"/>
      <c r="P140" s="16"/>
      <c r="Q140" s="16"/>
      <c r="R140" s="16"/>
      <c r="S140" s="16"/>
      <c r="T140" s="16"/>
      <c r="U140" s="16"/>
      <c r="V140" s="16"/>
      <c r="W140" s="16"/>
      <c r="X140" s="16"/>
      <c r="Y140" s="16"/>
      <c r="Z140" s="16"/>
      <c r="AA140" s="16"/>
    </row>
    <row r="141" spans="1:27" s="15" customFormat="1" ht="21" customHeight="1">
      <c r="A141" s="20"/>
      <c r="B141" s="6"/>
      <c r="C141" s="8"/>
      <c r="D141" s="6"/>
      <c r="E141" s="6"/>
      <c r="F141" s="6"/>
      <c r="G141" s="7"/>
      <c r="I141" s="6"/>
      <c r="J141" s="6"/>
      <c r="K141" s="6"/>
      <c r="L141" s="6"/>
      <c r="M141" s="499"/>
      <c r="N141" s="499"/>
      <c r="O141" s="16"/>
      <c r="P141" s="16"/>
      <c r="Q141" s="16"/>
      <c r="R141" s="16"/>
      <c r="S141" s="16"/>
      <c r="T141" s="16"/>
      <c r="U141" s="16"/>
      <c r="V141" s="16"/>
      <c r="W141" s="16"/>
      <c r="X141" s="16"/>
      <c r="Y141" s="16"/>
      <c r="Z141" s="16"/>
      <c r="AA141" s="16"/>
    </row>
    <row r="142" spans="1:27" s="15" customFormat="1" ht="21" customHeight="1">
      <c r="A142" s="501" t="s">
        <v>1011</v>
      </c>
      <c r="B142" s="502" t="s">
        <v>150</v>
      </c>
      <c r="C142" s="507" t="s">
        <v>195</v>
      </c>
      <c r="D142" s="502" t="s">
        <v>709</v>
      </c>
      <c r="E142" s="502" t="s">
        <v>710</v>
      </c>
      <c r="F142" s="502">
        <v>37</v>
      </c>
      <c r="G142" s="504">
        <v>0.21</v>
      </c>
      <c r="H142" s="505" t="s">
        <v>276</v>
      </c>
      <c r="I142" s="502">
        <v>3</v>
      </c>
      <c r="J142" s="502">
        <v>221</v>
      </c>
      <c r="K142" s="502">
        <v>2</v>
      </c>
      <c r="L142" s="502">
        <v>0</v>
      </c>
      <c r="M142" s="507">
        <v>1</v>
      </c>
      <c r="N142" s="507" t="s">
        <v>708</v>
      </c>
      <c r="O142" s="16"/>
      <c r="P142" s="16"/>
      <c r="Q142" s="16"/>
      <c r="R142" s="16"/>
      <c r="S142" s="16"/>
      <c r="T142" s="16"/>
      <c r="U142" s="16"/>
      <c r="V142" s="16"/>
      <c r="W142" s="16"/>
      <c r="X142" s="16"/>
      <c r="Y142" s="16"/>
      <c r="Z142" s="16"/>
      <c r="AA142" s="16"/>
    </row>
    <row r="143" spans="1:27" s="15" customFormat="1" ht="21" customHeight="1">
      <c r="A143" s="506" t="s">
        <v>1101</v>
      </c>
      <c r="B143" s="6"/>
      <c r="C143" s="8" t="s">
        <v>246</v>
      </c>
      <c r="D143" s="6"/>
      <c r="E143" s="6"/>
      <c r="F143" s="6">
        <v>28</v>
      </c>
      <c r="G143" s="7">
        <v>0.16</v>
      </c>
      <c r="I143" s="6"/>
      <c r="J143" s="6">
        <v>50</v>
      </c>
      <c r="K143" s="6"/>
      <c r="L143" s="6"/>
      <c r="M143" s="499"/>
      <c r="N143" s="499"/>
      <c r="O143" s="16"/>
      <c r="P143" s="16"/>
      <c r="Q143" s="16"/>
      <c r="R143" s="16"/>
      <c r="S143" s="16"/>
      <c r="T143" s="16"/>
      <c r="U143" s="16"/>
      <c r="V143" s="16"/>
      <c r="W143" s="16"/>
      <c r="X143" s="16"/>
      <c r="Y143" s="16"/>
      <c r="Z143" s="16"/>
      <c r="AA143" s="16"/>
    </row>
    <row r="144" spans="1:27" s="15" customFormat="1" ht="21" customHeight="1">
      <c r="A144" s="506" t="s">
        <v>1102</v>
      </c>
      <c r="B144" s="6"/>
      <c r="C144" s="8" t="s">
        <v>245</v>
      </c>
      <c r="D144" s="6"/>
      <c r="E144" s="6"/>
      <c r="F144" s="6">
        <v>8</v>
      </c>
      <c r="G144" s="7">
        <v>0.05</v>
      </c>
      <c r="I144" s="6"/>
      <c r="J144" s="6">
        <v>20</v>
      </c>
      <c r="K144" s="6"/>
      <c r="L144" s="6"/>
      <c r="M144" s="499"/>
      <c r="N144" s="499"/>
      <c r="O144" s="16"/>
      <c r="P144" s="16"/>
      <c r="Q144" s="16"/>
      <c r="R144" s="16"/>
      <c r="S144" s="16"/>
      <c r="T144" s="16"/>
      <c r="U144" s="16"/>
      <c r="V144" s="16"/>
      <c r="W144" s="16"/>
      <c r="X144" s="16"/>
      <c r="Y144" s="16"/>
      <c r="Z144" s="16"/>
      <c r="AA144" s="16"/>
    </row>
    <row r="145" spans="1:27" s="15" customFormat="1" ht="21" customHeight="1">
      <c r="A145" s="506" t="s">
        <v>1103</v>
      </c>
      <c r="B145" s="6"/>
      <c r="C145" s="8" t="s">
        <v>559</v>
      </c>
      <c r="D145" s="6"/>
      <c r="E145" s="6"/>
      <c r="F145" s="6">
        <v>0</v>
      </c>
      <c r="G145" s="7">
        <v>0</v>
      </c>
      <c r="I145" s="6"/>
      <c r="J145" s="6">
        <v>151</v>
      </c>
      <c r="K145" s="6"/>
      <c r="L145" s="6"/>
      <c r="M145" s="499"/>
      <c r="N145" s="499"/>
      <c r="O145" s="16"/>
      <c r="P145" s="16"/>
      <c r="Q145" s="16"/>
      <c r="R145" s="16"/>
      <c r="S145" s="16"/>
      <c r="T145" s="16"/>
      <c r="U145" s="16"/>
      <c r="V145" s="16"/>
      <c r="W145" s="16"/>
      <c r="X145" s="16"/>
      <c r="Y145" s="16"/>
      <c r="Z145" s="16"/>
      <c r="AA145" s="16"/>
    </row>
    <row r="146" spans="1:27" s="15" customFormat="1" ht="21" customHeight="1">
      <c r="A146" s="20"/>
      <c r="B146" s="6"/>
      <c r="C146" s="8"/>
      <c r="D146" s="6"/>
      <c r="E146" s="6"/>
      <c r="F146" s="6"/>
      <c r="G146" s="7"/>
      <c r="I146" s="6"/>
      <c r="J146" s="6"/>
      <c r="K146" s="6"/>
      <c r="L146" s="6"/>
      <c r="M146" s="499"/>
      <c r="N146" s="499"/>
      <c r="O146" s="16"/>
      <c r="P146" s="16"/>
      <c r="Q146" s="16"/>
      <c r="R146" s="16"/>
      <c r="S146" s="16"/>
      <c r="T146" s="16"/>
      <c r="U146" s="16"/>
      <c r="V146" s="16"/>
      <c r="W146" s="16"/>
      <c r="X146" s="16"/>
      <c r="Y146" s="16"/>
      <c r="Z146" s="16"/>
      <c r="AA146" s="16"/>
    </row>
    <row r="147" spans="1:27" s="15" customFormat="1" ht="21" customHeight="1">
      <c r="A147" s="501" t="s">
        <v>1012</v>
      </c>
      <c r="B147" s="502" t="s">
        <v>150</v>
      </c>
      <c r="C147" s="507" t="s">
        <v>195</v>
      </c>
      <c r="D147" s="502" t="s">
        <v>709</v>
      </c>
      <c r="E147" s="502" t="s">
        <v>710</v>
      </c>
      <c r="F147" s="502">
        <v>49</v>
      </c>
      <c r="G147" s="504">
        <v>1.6</v>
      </c>
      <c r="H147" s="505" t="s">
        <v>342</v>
      </c>
      <c r="I147" s="502">
        <v>11</v>
      </c>
      <c r="J147" s="502">
        <v>5405</v>
      </c>
      <c r="K147" s="502">
        <v>16</v>
      </c>
      <c r="L147" s="502">
        <v>0</v>
      </c>
      <c r="M147" s="507">
        <v>1</v>
      </c>
      <c r="N147" s="507" t="s">
        <v>708</v>
      </c>
      <c r="O147" s="16"/>
      <c r="P147" s="16"/>
      <c r="Q147" s="16"/>
      <c r="R147" s="16"/>
      <c r="S147" s="16"/>
      <c r="T147" s="16"/>
      <c r="U147" s="16"/>
      <c r="V147" s="16"/>
      <c r="W147" s="16"/>
      <c r="X147" s="16"/>
      <c r="Y147" s="16"/>
      <c r="Z147" s="16"/>
      <c r="AA147" s="16"/>
    </row>
    <row r="148" spans="1:27" s="15" customFormat="1" ht="21" customHeight="1">
      <c r="A148" s="506" t="s">
        <v>798</v>
      </c>
      <c r="B148" s="6"/>
      <c r="C148" s="8" t="s">
        <v>247</v>
      </c>
      <c r="D148" s="6"/>
      <c r="E148" s="6"/>
      <c r="F148" s="6">
        <v>46</v>
      </c>
      <c r="G148" s="7">
        <v>1.6</v>
      </c>
      <c r="I148" s="6"/>
      <c r="J148" s="6">
        <v>100</v>
      </c>
      <c r="K148" s="6"/>
      <c r="L148" s="6"/>
      <c r="M148" s="499"/>
      <c r="N148" s="499"/>
      <c r="O148" s="16"/>
      <c r="P148" s="16"/>
      <c r="Q148" s="16"/>
      <c r="R148" s="16"/>
      <c r="S148" s="16"/>
      <c r="T148" s="16"/>
      <c r="U148" s="16"/>
      <c r="V148" s="16"/>
      <c r="W148" s="16"/>
      <c r="X148" s="16"/>
      <c r="Y148" s="16"/>
      <c r="Z148" s="16"/>
      <c r="AA148" s="16"/>
    </row>
    <row r="149" spans="1:27" s="15" customFormat="1" ht="21" customHeight="1">
      <c r="A149" s="506" t="s">
        <v>799</v>
      </c>
      <c r="B149" s="6"/>
      <c r="C149" s="8" t="s">
        <v>246</v>
      </c>
      <c r="D149" s="6"/>
      <c r="E149" s="6"/>
      <c r="F149" s="6">
        <v>8</v>
      </c>
      <c r="G149" s="7">
        <v>0.03</v>
      </c>
      <c r="I149" s="6"/>
      <c r="J149" s="6">
        <v>50</v>
      </c>
      <c r="K149" s="6"/>
      <c r="L149" s="6"/>
      <c r="M149" s="499"/>
      <c r="N149" s="499"/>
      <c r="O149" s="16"/>
      <c r="P149" s="16"/>
      <c r="Q149" s="16"/>
      <c r="R149" s="16"/>
      <c r="S149" s="16"/>
      <c r="T149" s="16"/>
      <c r="U149" s="16"/>
      <c r="V149" s="16"/>
      <c r="W149" s="16"/>
      <c r="X149" s="16"/>
      <c r="Y149" s="16"/>
      <c r="Z149" s="16"/>
      <c r="AA149" s="16"/>
    </row>
    <row r="150" spans="1:27" s="15" customFormat="1" ht="21" customHeight="1">
      <c r="A150" s="506" t="s">
        <v>800</v>
      </c>
      <c r="B150" s="6"/>
      <c r="C150" s="8" t="s">
        <v>249</v>
      </c>
      <c r="D150" s="6"/>
      <c r="E150" s="6"/>
      <c r="F150" s="6">
        <v>0</v>
      </c>
      <c r="G150" s="7">
        <v>0</v>
      </c>
      <c r="I150" s="6"/>
      <c r="J150" s="6">
        <v>901</v>
      </c>
      <c r="K150" s="6"/>
      <c r="L150" s="6"/>
      <c r="M150" s="499"/>
      <c r="N150" s="499"/>
      <c r="O150" s="16"/>
      <c r="P150" s="16"/>
      <c r="Q150" s="16"/>
      <c r="R150" s="16"/>
      <c r="S150" s="16"/>
      <c r="T150" s="16"/>
      <c r="U150" s="16"/>
      <c r="V150" s="16"/>
      <c r="W150" s="16"/>
      <c r="X150" s="16"/>
      <c r="Y150" s="16"/>
      <c r="Z150" s="16"/>
      <c r="AA150" s="16"/>
    </row>
    <row r="151" spans="1:27" s="15" customFormat="1" ht="21" customHeight="1">
      <c r="A151" s="506" t="s">
        <v>801</v>
      </c>
      <c r="B151" s="6"/>
      <c r="C151" s="8" t="s">
        <v>249</v>
      </c>
      <c r="D151" s="6"/>
      <c r="E151" s="6"/>
      <c r="F151" s="6">
        <v>0</v>
      </c>
      <c r="G151" s="7">
        <v>0</v>
      </c>
      <c r="I151" s="6"/>
      <c r="J151" s="6">
        <v>901</v>
      </c>
      <c r="K151" s="6"/>
      <c r="L151" s="6"/>
      <c r="M151" s="499"/>
      <c r="N151" s="499"/>
      <c r="O151" s="16"/>
      <c r="P151" s="16"/>
      <c r="Q151" s="16"/>
      <c r="R151" s="16"/>
      <c r="S151" s="16"/>
      <c r="T151" s="16"/>
      <c r="U151" s="16"/>
      <c r="V151" s="16"/>
      <c r="W151" s="16"/>
      <c r="X151" s="16"/>
      <c r="Y151" s="16"/>
      <c r="Z151" s="16"/>
      <c r="AA151" s="16"/>
    </row>
    <row r="152" spans="1:27" s="15" customFormat="1" ht="21" customHeight="1">
      <c r="A152" s="506" t="s">
        <v>802</v>
      </c>
      <c r="B152" s="6"/>
      <c r="C152" s="8" t="s">
        <v>249</v>
      </c>
      <c r="D152" s="6"/>
      <c r="E152" s="6"/>
      <c r="F152" s="6">
        <v>0</v>
      </c>
      <c r="G152" s="7">
        <v>0</v>
      </c>
      <c r="I152" s="6"/>
      <c r="J152" s="6">
        <v>901</v>
      </c>
      <c r="K152" s="6"/>
      <c r="L152" s="6"/>
      <c r="M152" s="499"/>
      <c r="N152" s="499"/>
      <c r="O152" s="16"/>
      <c r="P152" s="16"/>
      <c r="Q152" s="16"/>
      <c r="R152" s="16"/>
      <c r="S152" s="16"/>
      <c r="T152" s="16"/>
      <c r="U152" s="16"/>
      <c r="V152" s="16"/>
      <c r="W152" s="16"/>
      <c r="X152" s="16"/>
      <c r="Y152" s="16"/>
      <c r="Z152" s="16"/>
      <c r="AA152" s="16"/>
    </row>
    <row r="153" spans="1:27" s="15" customFormat="1" ht="21" customHeight="1">
      <c r="A153" s="506" t="s">
        <v>803</v>
      </c>
      <c r="B153" s="6"/>
      <c r="C153" s="8" t="s">
        <v>249</v>
      </c>
      <c r="D153" s="6"/>
      <c r="E153" s="6"/>
      <c r="F153" s="6">
        <v>0</v>
      </c>
      <c r="G153" s="7">
        <v>0</v>
      </c>
      <c r="I153" s="6"/>
      <c r="J153" s="6">
        <v>901</v>
      </c>
      <c r="K153" s="6"/>
      <c r="L153" s="6"/>
      <c r="M153" s="499"/>
      <c r="N153" s="499"/>
      <c r="O153" s="16"/>
      <c r="P153" s="16"/>
      <c r="Q153" s="16"/>
      <c r="R153" s="16"/>
      <c r="S153" s="16"/>
      <c r="T153" s="16"/>
      <c r="U153" s="16"/>
      <c r="V153" s="16"/>
      <c r="W153" s="16"/>
      <c r="X153" s="16"/>
      <c r="Y153" s="16"/>
      <c r="Z153" s="16"/>
      <c r="AA153" s="16"/>
    </row>
    <row r="154" spans="1:27" s="15" customFormat="1" ht="21" customHeight="1">
      <c r="A154" s="506" t="s">
        <v>804</v>
      </c>
      <c r="B154" s="6"/>
      <c r="C154" s="8" t="s">
        <v>249</v>
      </c>
      <c r="D154" s="6"/>
      <c r="E154" s="6"/>
      <c r="F154" s="6">
        <v>0</v>
      </c>
      <c r="G154" s="7">
        <v>0</v>
      </c>
      <c r="I154" s="6"/>
      <c r="J154" s="6">
        <v>901</v>
      </c>
      <c r="K154" s="6"/>
      <c r="L154" s="6"/>
      <c r="M154" s="499"/>
      <c r="N154" s="499"/>
      <c r="O154" s="16"/>
      <c r="P154" s="16"/>
      <c r="Q154" s="16"/>
      <c r="R154" s="16"/>
      <c r="S154" s="16"/>
      <c r="T154" s="16"/>
      <c r="U154" s="16"/>
      <c r="V154" s="16"/>
      <c r="W154" s="16"/>
      <c r="X154" s="16"/>
      <c r="Y154" s="16"/>
      <c r="Z154" s="16"/>
      <c r="AA154" s="16"/>
    </row>
    <row r="155" spans="1:27" s="15" customFormat="1" ht="21" customHeight="1">
      <c r="A155" s="506" t="s">
        <v>805</v>
      </c>
      <c r="B155" s="6"/>
      <c r="C155" s="8" t="s">
        <v>559</v>
      </c>
      <c r="D155" s="6"/>
      <c r="E155" s="6"/>
      <c r="F155" s="6">
        <v>0</v>
      </c>
      <c r="G155" s="7">
        <v>0</v>
      </c>
      <c r="I155" s="6"/>
      <c r="J155" s="6">
        <v>200</v>
      </c>
      <c r="K155" s="6"/>
      <c r="L155" s="6"/>
      <c r="M155" s="499"/>
      <c r="N155" s="499"/>
      <c r="O155" s="16"/>
      <c r="P155" s="16"/>
      <c r="Q155" s="16"/>
      <c r="R155" s="16"/>
      <c r="S155" s="16"/>
      <c r="T155" s="16"/>
      <c r="U155" s="16"/>
      <c r="V155" s="16"/>
      <c r="W155" s="16"/>
      <c r="X155" s="16"/>
      <c r="Y155" s="16"/>
      <c r="Z155" s="16"/>
      <c r="AA155" s="16"/>
    </row>
    <row r="156" spans="1:27" s="15" customFormat="1" ht="21" customHeight="1">
      <c r="A156" s="506" t="s">
        <v>806</v>
      </c>
      <c r="B156" s="6"/>
      <c r="C156" s="8" t="s">
        <v>559</v>
      </c>
      <c r="D156" s="6"/>
      <c r="E156" s="6"/>
      <c r="F156" s="6">
        <v>0</v>
      </c>
      <c r="G156" s="7">
        <v>0</v>
      </c>
      <c r="I156" s="6"/>
      <c r="J156" s="6">
        <v>250</v>
      </c>
      <c r="K156" s="6"/>
      <c r="L156" s="6"/>
      <c r="M156" s="499"/>
      <c r="N156" s="499"/>
      <c r="O156" s="16"/>
      <c r="P156" s="16"/>
      <c r="Q156" s="16"/>
      <c r="R156" s="16"/>
      <c r="S156" s="16"/>
      <c r="T156" s="16"/>
      <c r="U156" s="16"/>
      <c r="V156" s="16"/>
      <c r="W156" s="16"/>
      <c r="X156" s="16"/>
      <c r="Y156" s="16"/>
      <c r="Z156" s="16"/>
      <c r="AA156" s="16"/>
    </row>
    <row r="157" spans="1:27" s="15" customFormat="1" ht="21" customHeight="1">
      <c r="A157" s="506" t="s">
        <v>807</v>
      </c>
      <c r="B157" s="6"/>
      <c r="C157" s="8" t="s">
        <v>559</v>
      </c>
      <c r="D157" s="6"/>
      <c r="E157" s="6"/>
      <c r="F157" s="6">
        <v>0</v>
      </c>
      <c r="G157" s="7">
        <v>0</v>
      </c>
      <c r="I157" s="6"/>
      <c r="J157" s="6">
        <v>200</v>
      </c>
      <c r="K157" s="6"/>
      <c r="L157" s="6"/>
      <c r="M157" s="499"/>
      <c r="N157" s="499"/>
      <c r="O157" s="16"/>
      <c r="P157" s="16"/>
      <c r="Q157" s="16"/>
      <c r="R157" s="16"/>
      <c r="S157" s="16"/>
      <c r="T157" s="16"/>
      <c r="U157" s="16"/>
      <c r="V157" s="16"/>
      <c r="W157" s="16"/>
      <c r="X157" s="16"/>
      <c r="Y157" s="16"/>
      <c r="Z157" s="16"/>
      <c r="AA157" s="16"/>
    </row>
    <row r="158" spans="1:27" s="15" customFormat="1" ht="21" customHeight="1">
      <c r="A158" s="506" t="s">
        <v>808</v>
      </c>
      <c r="B158" s="6"/>
      <c r="C158" s="8" t="s">
        <v>247</v>
      </c>
      <c r="D158" s="6"/>
      <c r="E158" s="6"/>
      <c r="F158" s="6">
        <v>0</v>
      </c>
      <c r="G158" s="7">
        <v>0</v>
      </c>
      <c r="I158" s="6"/>
      <c r="J158" s="6">
        <v>100</v>
      </c>
      <c r="K158" s="6"/>
      <c r="L158" s="6"/>
      <c r="M158" s="499"/>
      <c r="N158" s="499"/>
      <c r="O158" s="16"/>
      <c r="P158" s="16"/>
      <c r="Q158" s="16"/>
      <c r="R158" s="16"/>
      <c r="S158" s="16"/>
      <c r="T158" s="16"/>
      <c r="U158" s="16"/>
      <c r="V158" s="16"/>
      <c r="W158" s="16"/>
      <c r="X158" s="16"/>
      <c r="Y158" s="16"/>
      <c r="Z158" s="16"/>
      <c r="AA158" s="16"/>
    </row>
    <row r="159" spans="1:27" s="15" customFormat="1" ht="21" customHeight="1">
      <c r="A159" s="20"/>
      <c r="B159" s="6"/>
      <c r="C159" s="8"/>
      <c r="D159" s="6"/>
      <c r="E159" s="6"/>
      <c r="F159" s="6"/>
      <c r="G159" s="7"/>
      <c r="I159" s="6"/>
      <c r="J159" s="6"/>
      <c r="K159" s="6"/>
      <c r="L159" s="6"/>
      <c r="M159" s="499"/>
      <c r="N159" s="499"/>
      <c r="O159" s="16"/>
      <c r="P159" s="16"/>
      <c r="Q159" s="16"/>
      <c r="R159" s="16"/>
      <c r="S159" s="16"/>
      <c r="T159" s="16"/>
      <c r="U159" s="16"/>
      <c r="V159" s="16"/>
      <c r="W159" s="16"/>
      <c r="X159" s="16"/>
      <c r="Y159" s="16"/>
      <c r="Z159" s="16"/>
      <c r="AA159" s="16"/>
    </row>
    <row r="160" spans="1:27" s="15" customFormat="1" ht="21" customHeight="1">
      <c r="A160" s="501" t="s">
        <v>1013</v>
      </c>
      <c r="B160" s="502" t="s">
        <v>150</v>
      </c>
      <c r="C160" s="507" t="s">
        <v>195</v>
      </c>
      <c r="D160" s="502" t="s">
        <v>709</v>
      </c>
      <c r="E160" s="502" t="s">
        <v>710</v>
      </c>
      <c r="F160" s="502">
        <v>20</v>
      </c>
      <c r="G160" s="504">
        <v>0.28999999999999998</v>
      </c>
      <c r="H160" s="505" t="s">
        <v>276</v>
      </c>
      <c r="I160" s="502">
        <v>3</v>
      </c>
      <c r="J160" s="502">
        <v>450</v>
      </c>
      <c r="K160" s="502">
        <v>2</v>
      </c>
      <c r="L160" s="502">
        <v>0</v>
      </c>
      <c r="M160" s="507">
        <v>1</v>
      </c>
      <c r="N160" s="507" t="s">
        <v>708</v>
      </c>
      <c r="O160" s="16"/>
      <c r="P160" s="16"/>
      <c r="Q160" s="16"/>
      <c r="R160" s="16"/>
      <c r="S160" s="16"/>
      <c r="T160" s="16"/>
      <c r="U160" s="16"/>
      <c r="V160" s="16"/>
      <c r="W160" s="16"/>
      <c r="X160" s="16"/>
      <c r="Y160" s="16"/>
      <c r="Z160" s="16"/>
      <c r="AA160" s="16"/>
    </row>
    <row r="161" spans="1:27" s="15" customFormat="1" ht="21" customHeight="1">
      <c r="A161" s="506" t="s">
        <v>809</v>
      </c>
      <c r="B161" s="6"/>
      <c r="C161" s="8" t="s">
        <v>247</v>
      </c>
      <c r="D161" s="6"/>
      <c r="E161" s="6"/>
      <c r="F161" s="6">
        <v>20</v>
      </c>
      <c r="G161" s="7">
        <v>0.28999999999999998</v>
      </c>
      <c r="I161" s="6"/>
      <c r="J161" s="6">
        <v>100</v>
      </c>
      <c r="K161" s="6"/>
      <c r="L161" s="6"/>
      <c r="M161" s="499"/>
      <c r="N161" s="499"/>
      <c r="O161" s="16"/>
      <c r="P161" s="16"/>
      <c r="Q161" s="16"/>
      <c r="R161" s="16"/>
      <c r="S161" s="16"/>
      <c r="T161" s="16"/>
      <c r="U161" s="16"/>
      <c r="V161" s="16"/>
      <c r="W161" s="16"/>
      <c r="X161" s="16"/>
      <c r="Y161" s="16"/>
      <c r="Z161" s="16"/>
      <c r="AA161" s="16"/>
    </row>
    <row r="162" spans="1:27" s="15" customFormat="1" ht="21" customHeight="1">
      <c r="A162" s="506" t="s">
        <v>810</v>
      </c>
      <c r="B162" s="6"/>
      <c r="C162" s="8" t="s">
        <v>246</v>
      </c>
      <c r="D162" s="6"/>
      <c r="E162" s="6"/>
      <c r="F162" s="6">
        <v>0</v>
      </c>
      <c r="G162" s="7">
        <v>0</v>
      </c>
      <c r="I162" s="6"/>
      <c r="J162" s="6">
        <v>50</v>
      </c>
      <c r="K162" s="6"/>
      <c r="L162" s="6"/>
      <c r="M162" s="499"/>
      <c r="N162" s="499"/>
      <c r="O162" s="16"/>
      <c r="P162" s="16"/>
      <c r="Q162" s="16"/>
      <c r="R162" s="16"/>
      <c r="S162" s="16"/>
      <c r="T162" s="16"/>
      <c r="U162" s="16"/>
      <c r="V162" s="16"/>
      <c r="W162" s="16"/>
      <c r="X162" s="16"/>
      <c r="Y162" s="16"/>
      <c r="Z162" s="16"/>
      <c r="AA162" s="16"/>
    </row>
    <row r="163" spans="1:27" s="15" customFormat="1" ht="21" customHeight="1">
      <c r="A163" s="506" t="s">
        <v>811</v>
      </c>
      <c r="B163" s="6"/>
      <c r="C163" s="8" t="s">
        <v>248</v>
      </c>
      <c r="D163" s="6"/>
      <c r="E163" s="6"/>
      <c r="F163" s="6">
        <v>0</v>
      </c>
      <c r="G163" s="7">
        <v>0</v>
      </c>
      <c r="I163" s="6"/>
      <c r="J163" s="6">
        <v>300</v>
      </c>
      <c r="K163" s="6"/>
      <c r="L163" s="6"/>
      <c r="M163" s="499"/>
      <c r="N163" s="499"/>
      <c r="O163" s="16"/>
      <c r="P163" s="16"/>
      <c r="Q163" s="16"/>
      <c r="R163" s="16"/>
      <c r="S163" s="16"/>
      <c r="T163" s="16"/>
      <c r="U163" s="16"/>
      <c r="V163" s="16"/>
      <c r="W163" s="16"/>
      <c r="X163" s="16"/>
      <c r="Y163" s="16"/>
      <c r="Z163" s="16"/>
      <c r="AA163" s="16"/>
    </row>
    <row r="164" spans="1:27" s="15" customFormat="1" ht="21" customHeight="1">
      <c r="A164" s="20"/>
      <c r="B164" s="6"/>
      <c r="C164" s="8"/>
      <c r="D164" s="6"/>
      <c r="E164" s="6"/>
      <c r="F164" s="6"/>
      <c r="G164" s="7"/>
      <c r="I164" s="6"/>
      <c r="J164" s="6"/>
      <c r="K164" s="6"/>
      <c r="L164" s="6"/>
      <c r="M164" s="499"/>
      <c r="N164" s="499"/>
      <c r="O164" s="16"/>
      <c r="P164" s="16"/>
      <c r="Q164" s="16"/>
      <c r="R164" s="16"/>
      <c r="S164" s="16"/>
      <c r="T164" s="16"/>
      <c r="U164" s="16"/>
      <c r="V164" s="16"/>
      <c r="W164" s="16"/>
      <c r="X164" s="16"/>
      <c r="Y164" s="16"/>
      <c r="Z164" s="16"/>
      <c r="AA164" s="16"/>
    </row>
    <row r="165" spans="1:27" s="15" customFormat="1" ht="21" customHeight="1">
      <c r="A165" s="501" t="s">
        <v>1014</v>
      </c>
      <c r="B165" s="502" t="s">
        <v>150</v>
      </c>
      <c r="C165" s="507" t="s">
        <v>195</v>
      </c>
      <c r="D165" s="502" t="s">
        <v>709</v>
      </c>
      <c r="E165" s="502" t="s">
        <v>710</v>
      </c>
      <c r="F165" s="502">
        <v>39</v>
      </c>
      <c r="G165" s="504">
        <v>0.33</v>
      </c>
      <c r="H165" s="505" t="s">
        <v>342</v>
      </c>
      <c r="I165" s="502">
        <v>3</v>
      </c>
      <c r="J165" s="502">
        <v>250</v>
      </c>
      <c r="K165" s="502">
        <v>16</v>
      </c>
      <c r="L165" s="502">
        <v>0</v>
      </c>
      <c r="M165" s="507">
        <v>2</v>
      </c>
      <c r="N165" s="507" t="s">
        <v>708</v>
      </c>
      <c r="O165" s="16"/>
      <c r="P165" s="16"/>
      <c r="Q165" s="16"/>
      <c r="R165" s="16"/>
      <c r="S165" s="16"/>
      <c r="T165" s="16"/>
      <c r="U165" s="16"/>
      <c r="V165" s="16"/>
      <c r="W165" s="16"/>
      <c r="X165" s="16"/>
      <c r="Y165" s="16"/>
      <c r="Z165" s="16"/>
      <c r="AA165" s="16"/>
    </row>
    <row r="166" spans="1:27" s="15" customFormat="1" ht="21" customHeight="1">
      <c r="A166" s="506" t="s">
        <v>812</v>
      </c>
      <c r="B166" s="6"/>
      <c r="C166" s="8" t="s">
        <v>247</v>
      </c>
      <c r="D166" s="6"/>
      <c r="E166" s="6"/>
      <c r="F166" s="6">
        <v>39</v>
      </c>
      <c r="G166" s="7">
        <v>0.33</v>
      </c>
      <c r="I166" s="6"/>
      <c r="J166" s="6">
        <v>100</v>
      </c>
      <c r="K166" s="6"/>
      <c r="L166" s="6"/>
      <c r="M166" s="499"/>
      <c r="N166" s="499"/>
      <c r="O166" s="16"/>
      <c r="P166" s="16"/>
      <c r="Q166" s="16"/>
      <c r="R166" s="16"/>
      <c r="S166" s="16"/>
      <c r="T166" s="16"/>
      <c r="U166" s="16"/>
      <c r="V166" s="16"/>
      <c r="W166" s="16"/>
      <c r="X166" s="16"/>
      <c r="Y166" s="16"/>
      <c r="Z166" s="16"/>
      <c r="AA166" s="16"/>
    </row>
    <row r="167" spans="1:27" s="15" customFormat="1" ht="21" customHeight="1">
      <c r="A167" s="506" t="s">
        <v>813</v>
      </c>
      <c r="B167" s="6"/>
      <c r="C167" s="8" t="s">
        <v>246</v>
      </c>
      <c r="D167" s="6"/>
      <c r="E167" s="6"/>
      <c r="F167" s="6">
        <v>0</v>
      </c>
      <c r="G167" s="7">
        <v>0</v>
      </c>
      <c r="I167" s="6"/>
      <c r="J167" s="6">
        <v>50</v>
      </c>
      <c r="K167" s="6"/>
      <c r="L167" s="6"/>
      <c r="M167" s="499"/>
      <c r="N167" s="499"/>
      <c r="O167" s="16"/>
      <c r="P167" s="16"/>
      <c r="Q167" s="16"/>
      <c r="R167" s="16"/>
      <c r="S167" s="16"/>
      <c r="T167" s="16"/>
      <c r="U167" s="16"/>
      <c r="V167" s="16"/>
      <c r="W167" s="16"/>
      <c r="X167" s="16"/>
      <c r="Y167" s="16"/>
      <c r="Z167" s="16"/>
      <c r="AA167" s="16"/>
    </row>
    <row r="168" spans="1:27" s="15" customFormat="1" ht="21" customHeight="1">
      <c r="A168" s="506" t="s">
        <v>814</v>
      </c>
      <c r="B168" s="6"/>
      <c r="C168" s="8" t="s">
        <v>247</v>
      </c>
      <c r="D168" s="6"/>
      <c r="E168" s="6"/>
      <c r="F168" s="6">
        <v>0</v>
      </c>
      <c r="G168" s="7">
        <v>0</v>
      </c>
      <c r="I168" s="6"/>
      <c r="J168" s="6">
        <v>100</v>
      </c>
      <c r="K168" s="6"/>
      <c r="L168" s="6"/>
      <c r="M168" s="499"/>
      <c r="N168" s="499"/>
      <c r="O168" s="16"/>
      <c r="P168" s="16"/>
      <c r="Q168" s="16"/>
      <c r="R168" s="16"/>
      <c r="S168" s="16"/>
      <c r="T168" s="16"/>
      <c r="U168" s="16"/>
      <c r="V168" s="16"/>
      <c r="W168" s="16"/>
      <c r="X168" s="16"/>
      <c r="Y168" s="16"/>
      <c r="Z168" s="16"/>
      <c r="AA168" s="16"/>
    </row>
    <row r="169" spans="1:27" s="15" customFormat="1" ht="21" customHeight="1">
      <c r="A169" s="20"/>
      <c r="B169" s="6"/>
      <c r="C169" s="8"/>
      <c r="D169" s="6"/>
      <c r="E169" s="6"/>
      <c r="F169" s="6"/>
      <c r="G169" s="7"/>
      <c r="I169" s="6"/>
      <c r="J169" s="6"/>
      <c r="K169" s="6"/>
      <c r="L169" s="6"/>
      <c r="M169" s="499"/>
      <c r="N169" s="499"/>
      <c r="O169" s="16"/>
      <c r="P169" s="16"/>
      <c r="Q169" s="16"/>
      <c r="R169" s="16"/>
      <c r="S169" s="16"/>
      <c r="T169" s="16"/>
      <c r="U169" s="16"/>
      <c r="V169" s="16"/>
      <c r="W169" s="16"/>
      <c r="X169" s="16"/>
      <c r="Y169" s="16"/>
      <c r="Z169" s="16"/>
      <c r="AA169" s="16"/>
    </row>
    <row r="170" spans="1:27" s="15" customFormat="1" ht="21" customHeight="1">
      <c r="A170" s="501" t="s">
        <v>1015</v>
      </c>
      <c r="B170" s="502" t="s">
        <v>150</v>
      </c>
      <c r="C170" s="507" t="s">
        <v>195</v>
      </c>
      <c r="D170" s="502" t="s">
        <v>709</v>
      </c>
      <c r="E170" s="502" t="s">
        <v>710</v>
      </c>
      <c r="F170" s="502">
        <v>17</v>
      </c>
      <c r="G170" s="504">
        <v>0.22</v>
      </c>
      <c r="H170" s="505" t="s">
        <v>280</v>
      </c>
      <c r="I170" s="502">
        <v>6</v>
      </c>
      <c r="J170" s="502">
        <v>1001</v>
      </c>
      <c r="K170" s="502">
        <v>8</v>
      </c>
      <c r="L170" s="502">
        <v>0</v>
      </c>
      <c r="M170" s="507">
        <v>1</v>
      </c>
      <c r="N170" s="507" t="s">
        <v>708</v>
      </c>
      <c r="O170" s="16"/>
      <c r="P170" s="16"/>
      <c r="Q170" s="16"/>
      <c r="R170" s="16"/>
      <c r="S170" s="16"/>
      <c r="T170" s="16"/>
      <c r="U170" s="16"/>
      <c r="V170" s="16"/>
      <c r="W170" s="16"/>
      <c r="X170" s="16"/>
      <c r="Y170" s="16"/>
      <c r="Z170" s="16"/>
      <c r="AA170" s="16"/>
    </row>
    <row r="171" spans="1:27" s="15" customFormat="1" ht="21" customHeight="1">
      <c r="A171" s="506" t="s">
        <v>1104</v>
      </c>
      <c r="B171" s="6"/>
      <c r="C171" s="8" t="s">
        <v>247</v>
      </c>
      <c r="D171" s="6"/>
      <c r="E171" s="6"/>
      <c r="F171" s="6">
        <v>16</v>
      </c>
      <c r="G171" s="7">
        <v>0.22</v>
      </c>
      <c r="I171" s="6"/>
      <c r="J171" s="6">
        <v>100</v>
      </c>
      <c r="K171" s="6"/>
      <c r="L171" s="6"/>
      <c r="M171" s="499"/>
      <c r="N171" s="499"/>
      <c r="O171" s="16"/>
      <c r="P171" s="16"/>
      <c r="Q171" s="16"/>
      <c r="R171" s="16"/>
      <c r="S171" s="16"/>
      <c r="T171" s="16"/>
      <c r="U171" s="16"/>
      <c r="V171" s="16"/>
      <c r="W171" s="16"/>
      <c r="X171" s="16"/>
      <c r="Y171" s="16"/>
      <c r="Z171" s="16"/>
      <c r="AA171" s="16"/>
    </row>
    <row r="172" spans="1:27" s="15" customFormat="1" ht="21" customHeight="1">
      <c r="A172" s="506" t="s">
        <v>1105</v>
      </c>
      <c r="B172" s="6"/>
      <c r="C172" s="8" t="s">
        <v>246</v>
      </c>
      <c r="D172" s="6"/>
      <c r="E172" s="6"/>
      <c r="F172" s="6">
        <v>0</v>
      </c>
      <c r="G172" s="7">
        <v>0</v>
      </c>
      <c r="I172" s="6"/>
      <c r="J172" s="6">
        <v>50</v>
      </c>
      <c r="K172" s="6"/>
      <c r="L172" s="6"/>
      <c r="M172" s="499"/>
      <c r="N172" s="499"/>
      <c r="O172" s="16"/>
      <c r="P172" s="16"/>
      <c r="Q172" s="16"/>
      <c r="R172" s="16"/>
      <c r="S172" s="16"/>
      <c r="T172" s="16"/>
      <c r="U172" s="16"/>
      <c r="V172" s="16"/>
      <c r="W172" s="16"/>
      <c r="X172" s="16"/>
      <c r="Y172" s="16"/>
      <c r="Z172" s="16"/>
      <c r="AA172" s="16"/>
    </row>
    <row r="173" spans="1:27" s="15" customFormat="1" ht="21" customHeight="1">
      <c r="A173" s="506" t="s">
        <v>1106</v>
      </c>
      <c r="B173" s="6"/>
      <c r="C173" s="8" t="s">
        <v>248</v>
      </c>
      <c r="D173" s="6"/>
      <c r="E173" s="6"/>
      <c r="F173" s="6">
        <v>0</v>
      </c>
      <c r="G173" s="7">
        <v>0</v>
      </c>
      <c r="I173" s="6"/>
      <c r="J173" s="6">
        <v>501</v>
      </c>
      <c r="K173" s="6"/>
      <c r="L173" s="6"/>
      <c r="M173" s="499"/>
      <c r="N173" s="499"/>
      <c r="O173" s="16"/>
      <c r="P173" s="16"/>
      <c r="Q173" s="16"/>
      <c r="R173" s="16"/>
      <c r="S173" s="16"/>
      <c r="T173" s="16"/>
      <c r="U173" s="16"/>
      <c r="V173" s="16"/>
      <c r="W173" s="16"/>
      <c r="X173" s="16"/>
      <c r="Y173" s="16"/>
      <c r="Z173" s="16"/>
      <c r="AA173" s="16"/>
    </row>
    <row r="174" spans="1:27" s="15" customFormat="1" ht="21" customHeight="1">
      <c r="A174" s="506" t="s">
        <v>1107</v>
      </c>
      <c r="B174" s="6"/>
      <c r="C174" s="8" t="s">
        <v>559</v>
      </c>
      <c r="D174" s="6"/>
      <c r="E174" s="6"/>
      <c r="F174" s="6">
        <v>0</v>
      </c>
      <c r="G174" s="7">
        <v>0</v>
      </c>
      <c r="I174" s="6"/>
      <c r="J174" s="6">
        <v>250</v>
      </c>
      <c r="K174" s="6"/>
      <c r="L174" s="6"/>
      <c r="M174" s="499"/>
      <c r="N174" s="499"/>
      <c r="O174" s="16"/>
      <c r="P174" s="16"/>
      <c r="Q174" s="16"/>
      <c r="R174" s="16"/>
      <c r="S174" s="16"/>
      <c r="T174" s="16"/>
      <c r="U174" s="16"/>
      <c r="V174" s="16"/>
      <c r="W174" s="16"/>
      <c r="X174" s="16"/>
      <c r="Y174" s="16"/>
      <c r="Z174" s="16"/>
      <c r="AA174" s="16"/>
    </row>
    <row r="175" spans="1:27" s="15" customFormat="1" ht="21" customHeight="1">
      <c r="A175" s="506" t="s">
        <v>1108</v>
      </c>
      <c r="B175" s="6"/>
      <c r="C175" s="8" t="s">
        <v>246</v>
      </c>
      <c r="D175" s="6"/>
      <c r="E175" s="6"/>
      <c r="F175" s="6">
        <v>0</v>
      </c>
      <c r="G175" s="7">
        <v>0</v>
      </c>
      <c r="I175" s="6"/>
      <c r="J175" s="6">
        <v>50</v>
      </c>
      <c r="K175" s="6"/>
      <c r="L175" s="6"/>
      <c r="M175" s="499"/>
      <c r="N175" s="499"/>
      <c r="O175" s="16"/>
      <c r="P175" s="16"/>
      <c r="Q175" s="16"/>
      <c r="R175" s="16"/>
      <c r="S175" s="16"/>
      <c r="T175" s="16"/>
      <c r="U175" s="16"/>
      <c r="V175" s="16"/>
      <c r="W175" s="16"/>
      <c r="X175" s="16"/>
      <c r="Y175" s="16"/>
      <c r="Z175" s="16"/>
      <c r="AA175" s="16"/>
    </row>
    <row r="176" spans="1:27" s="15" customFormat="1" ht="21" customHeight="1">
      <c r="A176" s="506" t="s">
        <v>1109</v>
      </c>
      <c r="B176" s="6"/>
      <c r="C176" s="8" t="s">
        <v>246</v>
      </c>
      <c r="D176" s="6"/>
      <c r="E176" s="6"/>
      <c r="F176" s="6">
        <v>0</v>
      </c>
      <c r="G176" s="7">
        <v>0</v>
      </c>
      <c r="I176" s="6"/>
      <c r="J176" s="6">
        <v>50</v>
      </c>
      <c r="K176" s="6"/>
      <c r="L176" s="6"/>
      <c r="M176" s="499"/>
      <c r="N176" s="499"/>
      <c r="O176" s="16"/>
      <c r="P176" s="16"/>
      <c r="Q176" s="16"/>
      <c r="R176" s="16"/>
      <c r="S176" s="16"/>
      <c r="T176" s="16"/>
      <c r="U176" s="16"/>
      <c r="V176" s="16"/>
      <c r="W176" s="16"/>
      <c r="X176" s="16"/>
      <c r="Y176" s="16"/>
      <c r="Z176" s="16"/>
      <c r="AA176" s="16"/>
    </row>
    <row r="177" spans="1:27" s="15" customFormat="1" ht="21" customHeight="1">
      <c r="A177" s="20"/>
      <c r="B177" s="6"/>
      <c r="C177" s="8"/>
      <c r="D177" s="6"/>
      <c r="E177" s="6"/>
      <c r="F177" s="6"/>
      <c r="G177" s="7"/>
      <c r="I177" s="6"/>
      <c r="J177" s="6"/>
      <c r="K177" s="6"/>
      <c r="L177" s="6"/>
      <c r="M177" s="499"/>
      <c r="N177" s="499"/>
      <c r="O177" s="16"/>
      <c r="P177" s="16"/>
      <c r="Q177" s="16"/>
      <c r="R177" s="16"/>
      <c r="S177" s="16"/>
      <c r="T177" s="16"/>
      <c r="U177" s="16"/>
      <c r="V177" s="16"/>
      <c r="W177" s="16"/>
      <c r="X177" s="16"/>
      <c r="Y177" s="16"/>
      <c r="Z177" s="16"/>
      <c r="AA177" s="16"/>
    </row>
    <row r="178" spans="1:27" s="15" customFormat="1" ht="21" customHeight="1">
      <c r="A178" s="501" t="s">
        <v>1016</v>
      </c>
      <c r="B178" s="502" t="s">
        <v>150</v>
      </c>
      <c r="C178" s="507" t="s">
        <v>195</v>
      </c>
      <c r="D178" s="502" t="s">
        <v>709</v>
      </c>
      <c r="E178" s="502" t="s">
        <v>710</v>
      </c>
      <c r="F178" s="502">
        <v>36</v>
      </c>
      <c r="G178" s="504">
        <v>0.89</v>
      </c>
      <c r="H178" s="505" t="s">
        <v>280</v>
      </c>
      <c r="I178" s="502">
        <v>2</v>
      </c>
      <c r="J178" s="502">
        <v>201</v>
      </c>
      <c r="K178" s="502">
        <v>8</v>
      </c>
      <c r="L178" s="502">
        <v>0</v>
      </c>
      <c r="M178" s="507">
        <v>1</v>
      </c>
      <c r="N178" s="507" t="s">
        <v>708</v>
      </c>
      <c r="O178" s="16"/>
      <c r="P178" s="16"/>
      <c r="Q178" s="16"/>
      <c r="R178" s="16"/>
      <c r="S178" s="16"/>
      <c r="T178" s="16"/>
      <c r="U178" s="16"/>
      <c r="V178" s="16"/>
      <c r="W178" s="16"/>
      <c r="X178" s="16"/>
      <c r="Y178" s="16"/>
      <c r="Z178" s="16"/>
      <c r="AA178" s="16"/>
    </row>
    <row r="179" spans="1:27" s="15" customFormat="1" ht="21" customHeight="1">
      <c r="A179" s="506" t="s">
        <v>1110</v>
      </c>
      <c r="B179" s="6"/>
      <c r="C179" s="8" t="s">
        <v>247</v>
      </c>
      <c r="D179" s="6"/>
      <c r="E179" s="6"/>
      <c r="F179" s="6">
        <v>0</v>
      </c>
      <c r="G179" s="7">
        <v>0</v>
      </c>
      <c r="I179" s="6"/>
      <c r="J179" s="6">
        <v>101</v>
      </c>
      <c r="K179" s="6"/>
      <c r="L179" s="6"/>
      <c r="M179" s="499"/>
      <c r="N179" s="499"/>
      <c r="O179" s="16"/>
      <c r="P179" s="16"/>
      <c r="Q179" s="16"/>
      <c r="R179" s="16"/>
      <c r="S179" s="16"/>
      <c r="T179" s="16"/>
      <c r="U179" s="16"/>
      <c r="V179" s="16"/>
      <c r="W179" s="16"/>
      <c r="X179" s="16"/>
      <c r="Y179" s="16"/>
      <c r="Z179" s="16"/>
      <c r="AA179" s="16"/>
    </row>
    <row r="180" spans="1:27" s="15" customFormat="1" ht="21" customHeight="1">
      <c r="A180" s="506" t="s">
        <v>1111</v>
      </c>
      <c r="B180" s="6"/>
      <c r="C180" s="8" t="s">
        <v>247</v>
      </c>
      <c r="D180" s="6"/>
      <c r="E180" s="6"/>
      <c r="F180" s="6">
        <v>36</v>
      </c>
      <c r="G180" s="7">
        <v>0.89</v>
      </c>
      <c r="I180" s="6"/>
      <c r="J180" s="6">
        <v>100</v>
      </c>
      <c r="K180" s="6"/>
      <c r="L180" s="6"/>
      <c r="M180" s="499"/>
      <c r="N180" s="499"/>
      <c r="O180" s="16"/>
      <c r="P180" s="16"/>
      <c r="Q180" s="16"/>
      <c r="R180" s="16"/>
      <c r="S180" s="16"/>
      <c r="T180" s="16"/>
      <c r="U180" s="16"/>
      <c r="V180" s="16"/>
      <c r="W180" s="16"/>
      <c r="X180" s="16"/>
      <c r="Y180" s="16"/>
      <c r="Z180" s="16"/>
      <c r="AA180" s="16"/>
    </row>
    <row r="181" spans="1:27" s="15" customFormat="1" ht="21" customHeight="1">
      <c r="A181" s="20"/>
      <c r="B181" s="6"/>
      <c r="C181" s="8"/>
      <c r="D181" s="6"/>
      <c r="E181" s="6"/>
      <c r="F181" s="6"/>
      <c r="G181" s="7"/>
      <c r="I181" s="6"/>
      <c r="J181" s="6"/>
      <c r="K181" s="6"/>
      <c r="L181" s="6"/>
      <c r="M181" s="499"/>
      <c r="N181" s="499"/>
      <c r="O181" s="16"/>
      <c r="P181" s="16"/>
      <c r="Q181" s="16"/>
      <c r="R181" s="16"/>
      <c r="S181" s="16"/>
      <c r="T181" s="16"/>
      <c r="U181" s="16"/>
      <c r="V181" s="16"/>
      <c r="W181" s="16"/>
      <c r="X181" s="16"/>
      <c r="Y181" s="16"/>
      <c r="Z181" s="16"/>
      <c r="AA181" s="16"/>
    </row>
    <row r="182" spans="1:27" s="15" customFormat="1" ht="21" customHeight="1">
      <c r="A182" s="501" t="s">
        <v>1017</v>
      </c>
      <c r="B182" s="502" t="s">
        <v>150</v>
      </c>
      <c r="C182" s="507" t="s">
        <v>195</v>
      </c>
      <c r="D182" s="502" t="s">
        <v>709</v>
      </c>
      <c r="E182" s="502" t="s">
        <v>710</v>
      </c>
      <c r="F182" s="502">
        <v>29</v>
      </c>
      <c r="G182" s="504">
        <v>0.32</v>
      </c>
      <c r="H182" s="505" t="s">
        <v>276</v>
      </c>
      <c r="I182" s="502">
        <v>3</v>
      </c>
      <c r="J182" s="502">
        <v>200</v>
      </c>
      <c r="K182" s="502">
        <v>2</v>
      </c>
      <c r="L182" s="502">
        <v>0</v>
      </c>
      <c r="M182" s="507">
        <v>1</v>
      </c>
      <c r="N182" s="507" t="s">
        <v>708</v>
      </c>
      <c r="O182" s="16"/>
      <c r="P182" s="16"/>
      <c r="Q182" s="16"/>
      <c r="R182" s="16"/>
      <c r="S182" s="16"/>
      <c r="T182" s="16"/>
      <c r="U182" s="16"/>
      <c r="V182" s="16"/>
      <c r="W182" s="16"/>
      <c r="X182" s="16"/>
      <c r="Y182" s="16"/>
      <c r="Z182" s="16"/>
      <c r="AA182" s="16"/>
    </row>
    <row r="183" spans="1:27" s="15" customFormat="1" ht="21" customHeight="1">
      <c r="A183" s="506" t="s">
        <v>815</v>
      </c>
      <c r="B183" s="6"/>
      <c r="C183" s="8" t="s">
        <v>247</v>
      </c>
      <c r="D183" s="6"/>
      <c r="E183" s="6"/>
      <c r="F183" s="6">
        <v>23</v>
      </c>
      <c r="G183" s="7">
        <v>0.3</v>
      </c>
      <c r="I183" s="6"/>
      <c r="J183" s="6">
        <v>100</v>
      </c>
      <c r="K183" s="6"/>
      <c r="L183" s="6"/>
      <c r="M183" s="499"/>
      <c r="N183" s="499"/>
      <c r="O183" s="16"/>
      <c r="P183" s="16"/>
      <c r="Q183" s="16"/>
      <c r="R183" s="16"/>
      <c r="S183" s="16"/>
      <c r="T183" s="16"/>
      <c r="U183" s="16"/>
      <c r="V183" s="16"/>
      <c r="W183" s="16"/>
      <c r="X183" s="16"/>
      <c r="Y183" s="16"/>
      <c r="Z183" s="16"/>
      <c r="AA183" s="16"/>
    </row>
    <row r="184" spans="1:27" s="15" customFormat="1" ht="21" customHeight="1">
      <c r="A184" s="506" t="s">
        <v>816</v>
      </c>
      <c r="B184" s="6"/>
      <c r="C184" s="8" t="s">
        <v>246</v>
      </c>
      <c r="D184" s="6"/>
      <c r="E184" s="6"/>
      <c r="F184" s="6">
        <v>8</v>
      </c>
      <c r="G184" s="7">
        <v>0.05</v>
      </c>
      <c r="I184" s="6"/>
      <c r="J184" s="6">
        <v>50</v>
      </c>
      <c r="K184" s="6"/>
      <c r="L184" s="6"/>
      <c r="M184" s="499"/>
      <c r="N184" s="499"/>
      <c r="O184" s="16"/>
      <c r="P184" s="16"/>
      <c r="Q184" s="16"/>
      <c r="R184" s="16"/>
      <c r="S184" s="16"/>
      <c r="T184" s="16"/>
      <c r="U184" s="16"/>
      <c r="V184" s="16"/>
      <c r="W184" s="16"/>
      <c r="X184" s="16"/>
      <c r="Y184" s="16"/>
      <c r="Z184" s="16"/>
      <c r="AA184" s="16"/>
    </row>
    <row r="185" spans="1:27" s="15" customFormat="1" ht="21" customHeight="1">
      <c r="A185" s="506" t="s">
        <v>817</v>
      </c>
      <c r="B185" s="6"/>
      <c r="C185" s="8" t="s">
        <v>246</v>
      </c>
      <c r="D185" s="6"/>
      <c r="E185" s="6"/>
      <c r="F185" s="6">
        <v>0</v>
      </c>
      <c r="G185" s="7">
        <v>0</v>
      </c>
      <c r="I185" s="6"/>
      <c r="J185" s="6">
        <v>50</v>
      </c>
      <c r="K185" s="6"/>
      <c r="L185" s="6"/>
      <c r="M185" s="499"/>
      <c r="N185" s="499"/>
      <c r="O185" s="16"/>
      <c r="P185" s="16"/>
      <c r="Q185" s="16"/>
      <c r="R185" s="16"/>
      <c r="S185" s="16"/>
      <c r="T185" s="16"/>
      <c r="U185" s="16"/>
      <c r="V185" s="16"/>
      <c r="W185" s="16"/>
      <c r="X185" s="16"/>
      <c r="Y185" s="16"/>
      <c r="Z185" s="16"/>
      <c r="AA185" s="16"/>
    </row>
    <row r="186" spans="1:27" s="15" customFormat="1" ht="21" customHeight="1">
      <c r="A186" s="20"/>
      <c r="B186" s="6"/>
      <c r="C186" s="8"/>
      <c r="D186" s="6"/>
      <c r="E186" s="6"/>
      <c r="F186" s="6"/>
      <c r="G186" s="7"/>
      <c r="I186" s="6"/>
      <c r="J186" s="6"/>
      <c r="K186" s="6"/>
      <c r="L186" s="6"/>
      <c r="M186" s="499"/>
      <c r="N186" s="499"/>
      <c r="O186" s="16"/>
      <c r="P186" s="16"/>
      <c r="Q186" s="16"/>
      <c r="R186" s="16"/>
      <c r="S186" s="16"/>
      <c r="T186" s="16"/>
      <c r="U186" s="16"/>
      <c r="V186" s="16"/>
      <c r="W186" s="16"/>
      <c r="X186" s="16"/>
      <c r="Y186" s="16"/>
      <c r="Z186" s="16"/>
      <c r="AA186" s="16"/>
    </row>
    <row r="187" spans="1:27" s="15" customFormat="1" ht="21" customHeight="1">
      <c r="A187" s="501" t="s">
        <v>1018</v>
      </c>
      <c r="B187" s="502" t="s">
        <v>150</v>
      </c>
      <c r="C187" s="507" t="s">
        <v>195</v>
      </c>
      <c r="D187" s="502" t="s">
        <v>709</v>
      </c>
      <c r="E187" s="502" t="s">
        <v>710</v>
      </c>
      <c r="F187" s="502">
        <v>16</v>
      </c>
      <c r="G187" s="504">
        <v>0.18</v>
      </c>
      <c r="H187" s="505" t="s">
        <v>298</v>
      </c>
      <c r="I187" s="502">
        <v>3</v>
      </c>
      <c r="J187" s="502">
        <v>450</v>
      </c>
      <c r="K187" s="502">
        <v>2</v>
      </c>
      <c r="L187" s="502">
        <v>0</v>
      </c>
      <c r="M187" s="507">
        <v>2</v>
      </c>
      <c r="N187" s="507" t="s">
        <v>708</v>
      </c>
      <c r="O187" s="16"/>
      <c r="P187" s="16"/>
      <c r="Q187" s="16"/>
      <c r="R187" s="16"/>
      <c r="S187" s="16"/>
      <c r="T187" s="16"/>
      <c r="U187" s="16"/>
      <c r="V187" s="16"/>
      <c r="W187" s="16"/>
      <c r="X187" s="16"/>
      <c r="Y187" s="16"/>
      <c r="Z187" s="16"/>
      <c r="AA187" s="16"/>
    </row>
    <row r="188" spans="1:27" s="15" customFormat="1" ht="21" customHeight="1">
      <c r="A188" s="506" t="s">
        <v>1112</v>
      </c>
      <c r="B188" s="6"/>
      <c r="C188" s="8" t="s">
        <v>246</v>
      </c>
      <c r="D188" s="6"/>
      <c r="E188" s="6"/>
      <c r="F188" s="6">
        <v>0</v>
      </c>
      <c r="G188" s="7">
        <v>0</v>
      </c>
      <c r="I188" s="6"/>
      <c r="J188" s="6">
        <v>50</v>
      </c>
      <c r="K188" s="6"/>
      <c r="L188" s="6"/>
      <c r="M188" s="499"/>
      <c r="N188" s="499"/>
      <c r="O188" s="16"/>
      <c r="P188" s="16"/>
      <c r="Q188" s="16"/>
      <c r="R188" s="16"/>
      <c r="S188" s="16"/>
      <c r="T188" s="16"/>
      <c r="U188" s="16"/>
      <c r="V188" s="16"/>
      <c r="W188" s="16"/>
      <c r="X188" s="16"/>
      <c r="Y188" s="16"/>
      <c r="Z188" s="16"/>
      <c r="AA188" s="16"/>
    </row>
    <row r="189" spans="1:27" s="15" customFormat="1" ht="21" customHeight="1">
      <c r="A189" s="506" t="s">
        <v>1113</v>
      </c>
      <c r="B189" s="6"/>
      <c r="C189" s="8" t="s">
        <v>248</v>
      </c>
      <c r="D189" s="6"/>
      <c r="E189" s="6"/>
      <c r="F189" s="6">
        <v>0</v>
      </c>
      <c r="G189" s="7">
        <v>0</v>
      </c>
      <c r="I189" s="6"/>
      <c r="J189" s="6">
        <v>300</v>
      </c>
      <c r="K189" s="6"/>
      <c r="L189" s="6"/>
      <c r="M189" s="499"/>
      <c r="N189" s="499"/>
      <c r="O189" s="16"/>
      <c r="P189" s="16"/>
      <c r="Q189" s="16"/>
      <c r="R189" s="16"/>
      <c r="S189" s="16"/>
      <c r="T189" s="16"/>
      <c r="U189" s="16"/>
      <c r="V189" s="16"/>
      <c r="W189" s="16"/>
      <c r="X189" s="16"/>
      <c r="Y189" s="16"/>
      <c r="Z189" s="16"/>
      <c r="AA189" s="16"/>
    </row>
    <row r="190" spans="1:27" s="15" customFormat="1" ht="21" customHeight="1">
      <c r="A190" s="506" t="s">
        <v>1114</v>
      </c>
      <c r="B190" s="6"/>
      <c r="C190" s="8" t="s">
        <v>247</v>
      </c>
      <c r="D190" s="6"/>
      <c r="E190" s="6"/>
      <c r="F190" s="6">
        <v>16</v>
      </c>
      <c r="G190" s="7">
        <v>0.18</v>
      </c>
      <c r="I190" s="6"/>
      <c r="J190" s="6">
        <v>100</v>
      </c>
      <c r="K190" s="6"/>
      <c r="L190" s="6"/>
      <c r="M190" s="499"/>
      <c r="N190" s="499"/>
      <c r="O190" s="16"/>
      <c r="P190" s="16"/>
      <c r="Q190" s="16"/>
      <c r="R190" s="16"/>
      <c r="S190" s="16"/>
      <c r="T190" s="16"/>
      <c r="U190" s="16"/>
      <c r="V190" s="16"/>
      <c r="W190" s="16"/>
      <c r="X190" s="16"/>
      <c r="Y190" s="16"/>
      <c r="Z190" s="16"/>
      <c r="AA190" s="16"/>
    </row>
    <row r="191" spans="1:27" s="15" customFormat="1" ht="21" customHeight="1">
      <c r="A191" s="20"/>
      <c r="B191" s="6"/>
      <c r="C191" s="8"/>
      <c r="D191" s="6"/>
      <c r="E191" s="6"/>
      <c r="F191" s="6"/>
      <c r="G191" s="7"/>
      <c r="I191" s="6"/>
      <c r="J191" s="6"/>
      <c r="K191" s="6"/>
      <c r="L191" s="6"/>
      <c r="M191" s="499"/>
      <c r="N191" s="499"/>
      <c r="O191" s="16"/>
      <c r="P191" s="16"/>
      <c r="Q191" s="16"/>
      <c r="R191" s="16"/>
      <c r="S191" s="16"/>
      <c r="T191" s="16"/>
      <c r="U191" s="16"/>
      <c r="V191" s="16"/>
      <c r="W191" s="16"/>
      <c r="X191" s="16"/>
      <c r="Y191" s="16"/>
      <c r="Z191" s="16"/>
      <c r="AA191" s="16"/>
    </row>
    <row r="192" spans="1:27" s="15" customFormat="1" ht="21" customHeight="1">
      <c r="A192" s="501" t="s">
        <v>1019</v>
      </c>
      <c r="B192" s="502" t="s">
        <v>150</v>
      </c>
      <c r="C192" s="503" t="s">
        <v>3</v>
      </c>
      <c r="D192" s="502" t="s">
        <v>706</v>
      </c>
      <c r="E192" s="502" t="s">
        <v>707</v>
      </c>
      <c r="F192" s="502">
        <v>141</v>
      </c>
      <c r="G192" s="504">
        <v>1.58</v>
      </c>
      <c r="H192" s="505" t="s">
        <v>351</v>
      </c>
      <c r="I192" s="502">
        <v>7</v>
      </c>
      <c r="J192" s="502">
        <v>2474</v>
      </c>
      <c r="K192" s="502">
        <v>8</v>
      </c>
      <c r="L192" s="502">
        <v>0</v>
      </c>
      <c r="M192" s="507">
        <v>2</v>
      </c>
      <c r="N192" s="507" t="s">
        <v>708</v>
      </c>
      <c r="O192" s="16"/>
      <c r="P192" s="16"/>
      <c r="Q192" s="16"/>
      <c r="R192" s="16"/>
      <c r="S192" s="16"/>
      <c r="T192" s="16"/>
      <c r="U192" s="16"/>
      <c r="V192" s="16"/>
      <c r="W192" s="16"/>
      <c r="X192" s="16"/>
      <c r="Y192" s="16"/>
      <c r="Z192" s="16"/>
      <c r="AA192" s="16"/>
    </row>
    <row r="193" spans="1:27" s="15" customFormat="1" ht="21" customHeight="1">
      <c r="A193" s="506" t="s">
        <v>818</v>
      </c>
      <c r="B193" s="6"/>
      <c r="C193" s="8" t="s">
        <v>233</v>
      </c>
      <c r="D193" s="6"/>
      <c r="E193" s="6"/>
      <c r="F193" s="6">
        <v>74</v>
      </c>
      <c r="G193" s="7">
        <v>0.87</v>
      </c>
      <c r="I193" s="6"/>
      <c r="J193" s="6">
        <v>100</v>
      </c>
      <c r="K193" s="6"/>
      <c r="L193" s="6"/>
      <c r="M193" s="499"/>
      <c r="N193" s="499"/>
      <c r="O193" s="16"/>
      <c r="P193" s="16"/>
      <c r="Q193" s="16"/>
      <c r="R193" s="16"/>
      <c r="S193" s="16"/>
      <c r="T193" s="16"/>
      <c r="U193" s="16"/>
      <c r="V193" s="16"/>
      <c r="W193" s="16"/>
      <c r="X193" s="16"/>
      <c r="Y193" s="16"/>
      <c r="Z193" s="16"/>
      <c r="AA193" s="16"/>
    </row>
    <row r="194" spans="1:27" s="15" customFormat="1" ht="21" customHeight="1">
      <c r="A194" s="506" t="s">
        <v>819</v>
      </c>
      <c r="B194" s="6"/>
      <c r="C194" s="8" t="s">
        <v>233</v>
      </c>
      <c r="D194" s="6"/>
      <c r="E194" s="6"/>
      <c r="F194" s="6">
        <v>10</v>
      </c>
      <c r="G194" s="7">
        <v>0.06</v>
      </c>
      <c r="I194" s="6"/>
      <c r="J194" s="6">
        <v>50</v>
      </c>
      <c r="K194" s="6"/>
      <c r="L194" s="6"/>
      <c r="M194" s="499"/>
      <c r="N194" s="499"/>
      <c r="O194" s="16"/>
      <c r="P194" s="16"/>
      <c r="Q194" s="16"/>
      <c r="R194" s="16"/>
      <c r="S194" s="16"/>
      <c r="T194" s="16"/>
      <c r="U194" s="16"/>
      <c r="V194" s="16"/>
      <c r="W194" s="16"/>
      <c r="X194" s="16"/>
      <c r="Y194" s="16"/>
      <c r="Z194" s="16"/>
      <c r="AA194" s="16"/>
    </row>
    <row r="195" spans="1:27" s="15" customFormat="1" ht="21" customHeight="1">
      <c r="A195" s="506" t="s">
        <v>820</v>
      </c>
      <c r="B195" s="6"/>
      <c r="C195" s="8" t="s">
        <v>237</v>
      </c>
      <c r="D195" s="6"/>
      <c r="E195" s="6"/>
      <c r="F195" s="6">
        <v>54</v>
      </c>
      <c r="G195" s="7">
        <v>0</v>
      </c>
      <c r="I195" s="6"/>
      <c r="J195" s="6">
        <v>800</v>
      </c>
      <c r="K195" s="6"/>
      <c r="L195" s="6"/>
      <c r="M195" s="499"/>
      <c r="N195" s="499"/>
      <c r="O195" s="16"/>
      <c r="P195" s="16"/>
      <c r="Q195" s="16"/>
      <c r="R195" s="16"/>
      <c r="S195" s="16"/>
      <c r="T195" s="16"/>
      <c r="U195" s="16"/>
      <c r="V195" s="16"/>
      <c r="W195" s="16"/>
      <c r="X195" s="16"/>
      <c r="Y195" s="16"/>
      <c r="Z195" s="16"/>
      <c r="AA195" s="16"/>
    </row>
    <row r="196" spans="1:27" s="15" customFormat="1" ht="21" customHeight="1">
      <c r="A196" s="506" t="s">
        <v>821</v>
      </c>
      <c r="B196" s="6"/>
      <c r="C196" s="8" t="s">
        <v>233</v>
      </c>
      <c r="D196" s="6"/>
      <c r="E196" s="6"/>
      <c r="F196" s="6">
        <v>0</v>
      </c>
      <c r="G196" s="7">
        <v>0</v>
      </c>
      <c r="I196" s="6"/>
      <c r="J196" s="6">
        <v>100</v>
      </c>
      <c r="K196" s="6"/>
      <c r="L196" s="6"/>
      <c r="M196" s="499"/>
      <c r="N196" s="499"/>
      <c r="O196" s="16"/>
      <c r="P196" s="16"/>
      <c r="Q196" s="16"/>
      <c r="R196" s="16"/>
      <c r="S196" s="16"/>
      <c r="T196" s="16"/>
      <c r="U196" s="16"/>
      <c r="V196" s="16"/>
      <c r="W196" s="16"/>
      <c r="X196" s="16"/>
      <c r="Y196" s="16"/>
      <c r="Z196" s="16"/>
      <c r="AA196" s="16"/>
    </row>
    <row r="197" spans="1:27" s="15" customFormat="1" ht="21" customHeight="1">
      <c r="A197" s="506" t="s">
        <v>822</v>
      </c>
      <c r="B197" s="6"/>
      <c r="C197" s="8" t="s">
        <v>237</v>
      </c>
      <c r="D197" s="6"/>
      <c r="E197" s="6"/>
      <c r="F197" s="6">
        <v>7</v>
      </c>
      <c r="G197" s="7">
        <v>0.03</v>
      </c>
      <c r="I197" s="6"/>
      <c r="J197" s="6">
        <v>1024</v>
      </c>
      <c r="K197" s="6"/>
      <c r="L197" s="6"/>
      <c r="M197" s="499"/>
      <c r="N197" s="499"/>
      <c r="O197" s="16"/>
      <c r="P197" s="16"/>
      <c r="Q197" s="16"/>
      <c r="R197" s="16"/>
      <c r="S197" s="16"/>
      <c r="T197" s="16"/>
      <c r="U197" s="16"/>
      <c r="V197" s="16"/>
      <c r="W197" s="16"/>
      <c r="X197" s="16"/>
      <c r="Y197" s="16"/>
      <c r="Z197" s="16"/>
      <c r="AA197" s="16"/>
    </row>
    <row r="198" spans="1:27" s="15" customFormat="1" ht="21" customHeight="1">
      <c r="A198" s="506" t="s">
        <v>823</v>
      </c>
      <c r="B198" s="6"/>
      <c r="C198" s="8" t="s">
        <v>560</v>
      </c>
      <c r="D198" s="6"/>
      <c r="E198" s="6"/>
      <c r="F198" s="6">
        <v>3</v>
      </c>
      <c r="G198" s="7">
        <v>0.04</v>
      </c>
      <c r="I198" s="6"/>
      <c r="J198" s="6">
        <v>200</v>
      </c>
      <c r="K198" s="6"/>
      <c r="L198" s="6"/>
      <c r="M198" s="499"/>
      <c r="N198" s="499"/>
      <c r="O198" s="16"/>
      <c r="P198" s="16"/>
      <c r="Q198" s="16"/>
      <c r="R198" s="16"/>
      <c r="S198" s="16"/>
      <c r="T198" s="16"/>
      <c r="U198" s="16"/>
      <c r="V198" s="16"/>
      <c r="W198" s="16"/>
      <c r="X198" s="16"/>
      <c r="Y198" s="16"/>
      <c r="Z198" s="16"/>
      <c r="AA198" s="16"/>
    </row>
    <row r="199" spans="1:27" s="15" customFormat="1" ht="21" customHeight="1">
      <c r="A199" s="506" t="s">
        <v>824</v>
      </c>
      <c r="B199" s="6"/>
      <c r="C199" s="8" t="s">
        <v>560</v>
      </c>
      <c r="D199" s="6"/>
      <c r="E199" s="6"/>
      <c r="F199" s="6">
        <v>0</v>
      </c>
      <c r="G199" s="7">
        <v>0</v>
      </c>
      <c r="I199" s="6"/>
      <c r="J199" s="6">
        <v>200</v>
      </c>
      <c r="K199" s="6"/>
      <c r="L199" s="6"/>
      <c r="M199" s="499"/>
      <c r="N199" s="499"/>
      <c r="O199" s="16"/>
      <c r="P199" s="16"/>
      <c r="Q199" s="16"/>
      <c r="R199" s="16"/>
      <c r="S199" s="16"/>
      <c r="T199" s="16"/>
      <c r="U199" s="16"/>
      <c r="V199" s="16"/>
      <c r="W199" s="16"/>
      <c r="X199" s="16"/>
      <c r="Y199" s="16"/>
      <c r="Z199" s="16"/>
      <c r="AA199" s="16"/>
    </row>
    <row r="200" spans="1:27" s="15" customFormat="1" ht="21" customHeight="1">
      <c r="A200" s="20"/>
      <c r="B200" s="6"/>
      <c r="C200" s="8"/>
      <c r="D200" s="6"/>
      <c r="E200" s="6"/>
      <c r="F200" s="6"/>
      <c r="G200" s="7"/>
      <c r="I200" s="6"/>
      <c r="J200" s="6"/>
      <c r="K200" s="6"/>
      <c r="L200" s="6"/>
      <c r="M200" s="499"/>
      <c r="N200" s="499"/>
      <c r="O200" s="16"/>
      <c r="P200" s="16"/>
      <c r="Q200" s="16"/>
      <c r="R200" s="16"/>
      <c r="S200" s="16"/>
      <c r="T200" s="16"/>
      <c r="U200" s="16"/>
      <c r="V200" s="16"/>
      <c r="W200" s="16"/>
      <c r="X200" s="16"/>
      <c r="Y200" s="16"/>
      <c r="Z200" s="16"/>
      <c r="AA200" s="16"/>
    </row>
    <row r="201" spans="1:27" s="15" customFormat="1" ht="21" customHeight="1">
      <c r="A201" s="501" t="s">
        <v>1020</v>
      </c>
      <c r="B201" s="502" t="s">
        <v>150</v>
      </c>
      <c r="C201" s="507" t="s">
        <v>195</v>
      </c>
      <c r="D201" s="502" t="s">
        <v>709</v>
      </c>
      <c r="E201" s="502" t="s">
        <v>710</v>
      </c>
      <c r="F201" s="502">
        <v>38</v>
      </c>
      <c r="G201" s="504">
        <v>0.46</v>
      </c>
      <c r="H201" s="505" t="s">
        <v>276</v>
      </c>
      <c r="I201" s="502">
        <v>3</v>
      </c>
      <c r="J201" s="502">
        <v>251</v>
      </c>
      <c r="K201" s="502">
        <v>2</v>
      </c>
      <c r="L201" s="502">
        <v>0</v>
      </c>
      <c r="M201" s="507">
        <v>1</v>
      </c>
      <c r="N201" s="507" t="s">
        <v>708</v>
      </c>
      <c r="O201" s="16"/>
      <c r="P201" s="16"/>
      <c r="Q201" s="16"/>
      <c r="R201" s="16"/>
      <c r="S201" s="16"/>
      <c r="T201" s="16"/>
      <c r="U201" s="16"/>
      <c r="V201" s="16"/>
      <c r="W201" s="16"/>
      <c r="X201" s="16"/>
      <c r="Y201" s="16"/>
      <c r="Z201" s="16"/>
      <c r="AA201" s="16"/>
    </row>
    <row r="202" spans="1:27" s="15" customFormat="1" ht="21" customHeight="1">
      <c r="A202" s="506" t="s">
        <v>1115</v>
      </c>
      <c r="B202" s="6"/>
      <c r="C202" s="8" t="s">
        <v>247</v>
      </c>
      <c r="D202" s="6"/>
      <c r="E202" s="6"/>
      <c r="F202" s="6">
        <v>32</v>
      </c>
      <c r="G202" s="7">
        <v>0.45</v>
      </c>
      <c r="I202" s="6"/>
      <c r="J202" s="6">
        <v>100</v>
      </c>
      <c r="K202" s="6"/>
      <c r="L202" s="6"/>
      <c r="M202" s="499"/>
      <c r="N202" s="499"/>
      <c r="O202" s="16"/>
      <c r="P202" s="16"/>
      <c r="Q202" s="16"/>
      <c r="R202" s="16"/>
      <c r="S202" s="16"/>
      <c r="T202" s="16"/>
      <c r="U202" s="16"/>
      <c r="V202" s="16"/>
      <c r="W202" s="16"/>
      <c r="X202" s="16"/>
      <c r="Y202" s="16"/>
      <c r="Z202" s="16"/>
      <c r="AA202" s="16"/>
    </row>
    <row r="203" spans="1:27" s="15" customFormat="1" ht="21" customHeight="1">
      <c r="A203" s="506" t="s">
        <v>1116</v>
      </c>
      <c r="B203" s="6"/>
      <c r="C203" s="8" t="s">
        <v>247</v>
      </c>
      <c r="D203" s="6"/>
      <c r="E203" s="6"/>
      <c r="F203" s="6">
        <v>10</v>
      </c>
      <c r="G203" s="7">
        <v>0.05</v>
      </c>
      <c r="I203" s="6"/>
      <c r="J203" s="6">
        <v>101</v>
      </c>
      <c r="K203" s="6"/>
      <c r="L203" s="6"/>
      <c r="M203" s="499"/>
      <c r="N203" s="499"/>
      <c r="O203" s="16"/>
      <c r="P203" s="16"/>
      <c r="Q203" s="16"/>
      <c r="R203" s="16"/>
      <c r="S203" s="16"/>
      <c r="T203" s="16"/>
      <c r="U203" s="16"/>
      <c r="V203" s="16"/>
      <c r="W203" s="16"/>
      <c r="X203" s="16"/>
      <c r="Y203" s="16"/>
      <c r="Z203" s="16"/>
      <c r="AA203" s="16"/>
    </row>
    <row r="204" spans="1:27" s="15" customFormat="1" ht="21" customHeight="1">
      <c r="A204" s="506" t="s">
        <v>1117</v>
      </c>
      <c r="B204" s="6"/>
      <c r="C204" s="8" t="s">
        <v>246</v>
      </c>
      <c r="D204" s="6"/>
      <c r="E204" s="6"/>
      <c r="F204" s="6">
        <v>0</v>
      </c>
      <c r="G204" s="7">
        <v>0</v>
      </c>
      <c r="I204" s="6"/>
      <c r="J204" s="6">
        <v>50</v>
      </c>
      <c r="K204" s="6"/>
      <c r="L204" s="6"/>
      <c r="M204" s="499"/>
      <c r="N204" s="499"/>
      <c r="O204" s="16"/>
      <c r="P204" s="16"/>
      <c r="Q204" s="16"/>
      <c r="R204" s="16"/>
      <c r="S204" s="16"/>
      <c r="T204" s="16"/>
      <c r="U204" s="16"/>
      <c r="V204" s="16"/>
      <c r="W204" s="16"/>
      <c r="X204" s="16"/>
      <c r="Y204" s="16"/>
      <c r="Z204" s="16"/>
      <c r="AA204" s="16"/>
    </row>
    <row r="205" spans="1:27" s="15" customFormat="1" ht="21" customHeight="1">
      <c r="A205" s="20"/>
      <c r="B205" s="6"/>
      <c r="C205" s="8"/>
      <c r="D205" s="6"/>
      <c r="E205" s="6"/>
      <c r="F205" s="6"/>
      <c r="G205" s="7"/>
      <c r="I205" s="6"/>
      <c r="J205" s="6"/>
      <c r="K205" s="6"/>
      <c r="L205" s="6"/>
      <c r="M205" s="499"/>
      <c r="N205" s="499"/>
      <c r="O205" s="16"/>
      <c r="P205" s="16"/>
      <c r="Q205" s="16"/>
      <c r="R205" s="16"/>
      <c r="S205" s="16"/>
      <c r="T205" s="16"/>
      <c r="U205" s="16"/>
      <c r="V205" s="16"/>
      <c r="W205" s="16"/>
      <c r="X205" s="16"/>
      <c r="Y205" s="16"/>
      <c r="Z205" s="16"/>
      <c r="AA205" s="16"/>
    </row>
    <row r="206" spans="1:27" s="15" customFormat="1" ht="21" customHeight="1">
      <c r="A206" s="501" t="s">
        <v>1021</v>
      </c>
      <c r="B206" s="502" t="s">
        <v>150</v>
      </c>
      <c r="C206" s="507" t="s">
        <v>195</v>
      </c>
      <c r="D206" s="502" t="s">
        <v>709</v>
      </c>
      <c r="E206" s="502" t="s">
        <v>710</v>
      </c>
      <c r="F206" s="502">
        <v>24</v>
      </c>
      <c r="G206" s="504">
        <v>0.32</v>
      </c>
      <c r="H206" s="505" t="s">
        <v>280</v>
      </c>
      <c r="I206" s="502">
        <v>3</v>
      </c>
      <c r="J206" s="502">
        <v>200</v>
      </c>
      <c r="K206" s="502">
        <v>8</v>
      </c>
      <c r="L206" s="502">
        <v>0</v>
      </c>
      <c r="M206" s="507">
        <v>2</v>
      </c>
      <c r="N206" s="507" t="s">
        <v>708</v>
      </c>
      <c r="O206" s="16"/>
      <c r="P206" s="16"/>
      <c r="Q206" s="16"/>
      <c r="R206" s="16"/>
      <c r="S206" s="16"/>
      <c r="T206" s="16"/>
      <c r="U206" s="16"/>
      <c r="V206" s="16"/>
      <c r="W206" s="16"/>
      <c r="X206" s="16"/>
      <c r="Y206" s="16"/>
      <c r="Z206" s="16"/>
      <c r="AA206" s="16"/>
    </row>
    <row r="207" spans="1:27" s="15" customFormat="1" ht="21" customHeight="1">
      <c r="A207" s="506" t="s">
        <v>825</v>
      </c>
      <c r="B207" s="6"/>
      <c r="C207" s="8" t="s">
        <v>247</v>
      </c>
      <c r="D207" s="6"/>
      <c r="E207" s="6"/>
      <c r="F207" s="6">
        <v>15</v>
      </c>
      <c r="G207" s="7">
        <v>0.28999999999999998</v>
      </c>
      <c r="I207" s="6"/>
      <c r="J207" s="6">
        <v>100</v>
      </c>
      <c r="K207" s="6"/>
      <c r="L207" s="6"/>
      <c r="M207" s="499"/>
      <c r="N207" s="499"/>
      <c r="O207" s="16"/>
      <c r="P207" s="16"/>
      <c r="Q207" s="16"/>
      <c r="R207" s="16"/>
      <c r="S207" s="16"/>
      <c r="T207" s="16"/>
      <c r="U207" s="16"/>
      <c r="V207" s="16"/>
      <c r="W207" s="16"/>
      <c r="X207" s="16"/>
      <c r="Y207" s="16"/>
      <c r="Z207" s="16"/>
      <c r="AA207" s="16"/>
    </row>
    <row r="208" spans="1:27" s="15" customFormat="1" ht="21" customHeight="1">
      <c r="A208" s="506" t="s">
        <v>826</v>
      </c>
      <c r="B208" s="6"/>
      <c r="C208" s="8" t="s">
        <v>246</v>
      </c>
      <c r="D208" s="6"/>
      <c r="E208" s="6"/>
      <c r="F208" s="6">
        <v>8</v>
      </c>
      <c r="G208" s="7">
        <v>0.06</v>
      </c>
      <c r="I208" s="6"/>
      <c r="J208" s="6">
        <v>50</v>
      </c>
      <c r="K208" s="6"/>
      <c r="L208" s="6"/>
      <c r="M208" s="499"/>
      <c r="N208" s="499"/>
      <c r="O208" s="16"/>
      <c r="P208" s="16"/>
      <c r="Q208" s="16"/>
      <c r="R208" s="16"/>
      <c r="S208" s="16"/>
      <c r="T208" s="16"/>
      <c r="U208" s="16"/>
      <c r="V208" s="16"/>
      <c r="W208" s="16"/>
      <c r="X208" s="16"/>
      <c r="Y208" s="16"/>
      <c r="Z208" s="16"/>
      <c r="AA208" s="16"/>
    </row>
    <row r="209" spans="1:27" s="15" customFormat="1" ht="21" customHeight="1">
      <c r="A209" s="506" t="s">
        <v>827</v>
      </c>
      <c r="B209" s="6"/>
      <c r="C209" s="8" t="s">
        <v>246</v>
      </c>
      <c r="D209" s="6"/>
      <c r="E209" s="6"/>
      <c r="F209" s="6">
        <v>0</v>
      </c>
      <c r="G209" s="7">
        <v>0</v>
      </c>
      <c r="I209" s="6"/>
      <c r="J209" s="6">
        <v>50</v>
      </c>
      <c r="K209" s="6"/>
      <c r="L209" s="6"/>
      <c r="M209" s="499"/>
      <c r="N209" s="499"/>
      <c r="O209" s="16"/>
      <c r="P209" s="16"/>
      <c r="Q209" s="16"/>
      <c r="R209" s="16"/>
      <c r="S209" s="16"/>
      <c r="T209" s="16"/>
      <c r="U209" s="16"/>
      <c r="V209" s="16"/>
      <c r="W209" s="16"/>
      <c r="X209" s="16"/>
      <c r="Y209" s="16"/>
      <c r="Z209" s="16"/>
      <c r="AA209" s="16"/>
    </row>
    <row r="210" spans="1:27" s="15" customFormat="1" ht="21" customHeight="1">
      <c r="A210" s="20"/>
      <c r="B210" s="6"/>
      <c r="C210" s="8"/>
      <c r="D210" s="6"/>
      <c r="E210" s="6"/>
      <c r="F210" s="6"/>
      <c r="G210" s="7"/>
      <c r="I210" s="6"/>
      <c r="J210" s="6"/>
      <c r="K210" s="6"/>
      <c r="L210" s="6"/>
      <c r="M210" s="499"/>
      <c r="N210" s="499"/>
      <c r="O210" s="16"/>
      <c r="P210" s="16"/>
      <c r="Q210" s="16"/>
      <c r="R210" s="16"/>
      <c r="S210" s="16"/>
      <c r="T210" s="16"/>
      <c r="U210" s="16"/>
      <c r="V210" s="16"/>
      <c r="W210" s="16"/>
      <c r="X210" s="16"/>
      <c r="Y210" s="16"/>
      <c r="Z210" s="16"/>
      <c r="AA210" s="16"/>
    </row>
    <row r="211" spans="1:27" s="15" customFormat="1" ht="21" customHeight="1">
      <c r="A211" s="501" t="s">
        <v>1022</v>
      </c>
      <c r="B211" s="502" t="s">
        <v>150</v>
      </c>
      <c r="C211" s="507" t="s">
        <v>195</v>
      </c>
      <c r="D211" s="502" t="s">
        <v>709</v>
      </c>
      <c r="E211" s="502" t="s">
        <v>710</v>
      </c>
      <c r="F211" s="502">
        <v>33</v>
      </c>
      <c r="G211" s="504">
        <v>0.56000000000000005</v>
      </c>
      <c r="H211" s="505" t="s">
        <v>276</v>
      </c>
      <c r="I211" s="502">
        <v>3</v>
      </c>
      <c r="J211" s="502">
        <v>251</v>
      </c>
      <c r="K211" s="502">
        <v>2</v>
      </c>
      <c r="L211" s="502">
        <v>0</v>
      </c>
      <c r="M211" s="507">
        <v>1</v>
      </c>
      <c r="N211" s="507" t="s">
        <v>708</v>
      </c>
      <c r="O211" s="16"/>
      <c r="P211" s="16"/>
      <c r="Q211" s="16"/>
      <c r="R211" s="16"/>
      <c r="S211" s="16"/>
      <c r="T211" s="16"/>
      <c r="U211" s="16"/>
      <c r="V211" s="16"/>
      <c r="W211" s="16"/>
      <c r="X211" s="16"/>
      <c r="Y211" s="16"/>
      <c r="Z211" s="16"/>
      <c r="AA211" s="16"/>
    </row>
    <row r="212" spans="1:27" s="15" customFormat="1" ht="21" customHeight="1">
      <c r="A212" s="506" t="s">
        <v>1118</v>
      </c>
      <c r="B212" s="6"/>
      <c r="C212" s="8" t="s">
        <v>247</v>
      </c>
      <c r="D212" s="6"/>
      <c r="E212" s="6"/>
      <c r="F212" s="6">
        <v>22</v>
      </c>
      <c r="G212" s="7">
        <v>0.56000000000000005</v>
      </c>
      <c r="I212" s="6"/>
      <c r="J212" s="6">
        <v>100</v>
      </c>
      <c r="K212" s="6"/>
      <c r="L212" s="6"/>
      <c r="M212" s="499"/>
      <c r="N212" s="499"/>
      <c r="O212" s="16"/>
      <c r="P212" s="16"/>
      <c r="Q212" s="16"/>
      <c r="R212" s="16"/>
      <c r="S212" s="16"/>
      <c r="T212" s="16"/>
      <c r="U212" s="16"/>
      <c r="V212" s="16"/>
      <c r="W212" s="16"/>
      <c r="X212" s="16"/>
      <c r="Y212" s="16"/>
      <c r="Z212" s="16"/>
      <c r="AA212" s="16"/>
    </row>
    <row r="213" spans="1:27" s="15" customFormat="1" ht="21" customHeight="1">
      <c r="A213" s="506" t="s">
        <v>1119</v>
      </c>
      <c r="B213" s="6"/>
      <c r="C213" s="8" t="s">
        <v>247</v>
      </c>
      <c r="D213" s="6"/>
      <c r="E213" s="6"/>
      <c r="F213" s="6">
        <v>8</v>
      </c>
      <c r="G213" s="7">
        <v>0.06</v>
      </c>
      <c r="I213" s="6"/>
      <c r="J213" s="6">
        <v>101</v>
      </c>
      <c r="K213" s="6"/>
      <c r="L213" s="6"/>
      <c r="M213" s="499"/>
      <c r="N213" s="499"/>
      <c r="O213" s="16"/>
      <c r="P213" s="16"/>
      <c r="Q213" s="16"/>
      <c r="R213" s="16"/>
      <c r="S213" s="16"/>
      <c r="T213" s="16"/>
      <c r="U213" s="16"/>
      <c r="V213" s="16"/>
      <c r="W213" s="16"/>
      <c r="X213" s="16"/>
      <c r="Y213" s="16"/>
      <c r="Z213" s="16"/>
      <c r="AA213" s="16"/>
    </row>
    <row r="214" spans="1:27" s="15" customFormat="1" ht="21" customHeight="1">
      <c r="A214" s="506" t="s">
        <v>1120</v>
      </c>
      <c r="B214" s="6"/>
      <c r="C214" s="8" t="s">
        <v>246</v>
      </c>
      <c r="D214" s="6"/>
      <c r="E214" s="6"/>
      <c r="F214" s="6">
        <v>0</v>
      </c>
      <c r="G214" s="7">
        <v>0</v>
      </c>
      <c r="I214" s="6"/>
      <c r="J214" s="6">
        <v>50</v>
      </c>
      <c r="K214" s="6"/>
      <c r="L214" s="6"/>
      <c r="M214" s="499"/>
      <c r="N214" s="499"/>
      <c r="O214" s="16"/>
      <c r="P214" s="16"/>
      <c r="Q214" s="16"/>
      <c r="R214" s="16"/>
      <c r="S214" s="16"/>
      <c r="T214" s="16"/>
      <c r="U214" s="16"/>
      <c r="V214" s="16"/>
      <c r="W214" s="16"/>
      <c r="X214" s="16"/>
      <c r="Y214" s="16"/>
      <c r="Z214" s="16"/>
      <c r="AA214" s="16"/>
    </row>
    <row r="215" spans="1:27" s="15" customFormat="1" ht="21" customHeight="1">
      <c r="A215" s="20"/>
      <c r="B215" s="6"/>
      <c r="C215" s="8"/>
      <c r="D215" s="6"/>
      <c r="E215" s="6"/>
      <c r="F215" s="6"/>
      <c r="G215" s="7"/>
      <c r="I215" s="6"/>
      <c r="J215" s="6"/>
      <c r="K215" s="6"/>
      <c r="L215" s="6"/>
      <c r="M215" s="499"/>
      <c r="N215" s="499"/>
      <c r="O215" s="16"/>
      <c r="P215" s="16"/>
      <c r="Q215" s="16"/>
      <c r="R215" s="16"/>
      <c r="S215" s="16"/>
      <c r="T215" s="16"/>
      <c r="U215" s="16"/>
      <c r="V215" s="16"/>
      <c r="W215" s="16"/>
      <c r="X215" s="16"/>
      <c r="Y215" s="16"/>
      <c r="Z215" s="16"/>
      <c r="AA215" s="16"/>
    </row>
    <row r="216" spans="1:27" s="15" customFormat="1" ht="21" customHeight="1">
      <c r="A216" s="501" t="s">
        <v>1023</v>
      </c>
      <c r="B216" s="502" t="s">
        <v>150</v>
      </c>
      <c r="C216" s="507" t="s">
        <v>195</v>
      </c>
      <c r="D216" s="502" t="s">
        <v>709</v>
      </c>
      <c r="E216" s="502" t="s">
        <v>710</v>
      </c>
      <c r="F216" s="502">
        <v>88</v>
      </c>
      <c r="G216" s="504">
        <v>1.66</v>
      </c>
      <c r="H216" s="505" t="s">
        <v>342</v>
      </c>
      <c r="I216" s="502">
        <v>31</v>
      </c>
      <c r="J216" s="502">
        <v>200</v>
      </c>
      <c r="K216" s="502">
        <v>16</v>
      </c>
      <c r="L216" s="502">
        <v>0</v>
      </c>
      <c r="M216" s="507">
        <v>4</v>
      </c>
      <c r="N216" s="507" t="s">
        <v>708</v>
      </c>
      <c r="O216" s="16"/>
      <c r="P216" s="16"/>
      <c r="Q216" s="16"/>
      <c r="R216" s="16"/>
      <c r="S216" s="16"/>
      <c r="T216" s="16"/>
      <c r="U216" s="16"/>
      <c r="V216" s="16"/>
      <c r="W216" s="16"/>
      <c r="X216" s="16"/>
      <c r="Y216" s="16"/>
      <c r="Z216" s="16"/>
      <c r="AA216" s="16"/>
    </row>
    <row r="217" spans="1:27" s="15" customFormat="1" ht="21" customHeight="1">
      <c r="A217" s="506" t="s">
        <v>828</v>
      </c>
      <c r="B217" s="6"/>
      <c r="C217" s="8" t="s">
        <v>247</v>
      </c>
      <c r="D217" s="6"/>
      <c r="E217" s="6"/>
      <c r="F217" s="6">
        <v>88</v>
      </c>
      <c r="G217" s="7">
        <v>1.66</v>
      </c>
      <c r="I217" s="6"/>
      <c r="J217" s="6">
        <v>100</v>
      </c>
      <c r="K217" s="6"/>
      <c r="L217" s="6"/>
      <c r="M217" s="499"/>
      <c r="N217" s="499"/>
      <c r="O217" s="16"/>
      <c r="P217" s="16"/>
      <c r="Q217" s="16"/>
      <c r="R217" s="16"/>
      <c r="S217" s="16"/>
      <c r="T217" s="16"/>
      <c r="U217" s="16"/>
      <c r="V217" s="16"/>
      <c r="W217" s="16"/>
      <c r="X217" s="16"/>
      <c r="Y217" s="16"/>
      <c r="Z217" s="16"/>
      <c r="AA217" s="16"/>
    </row>
    <row r="218" spans="1:27" s="15" customFormat="1" ht="21" customHeight="1">
      <c r="A218" s="506" t="s">
        <v>829</v>
      </c>
      <c r="B218" s="6"/>
      <c r="C218" s="8" t="s">
        <v>246</v>
      </c>
      <c r="D218" s="6"/>
      <c r="E218" s="6"/>
      <c r="F218" s="6">
        <v>0</v>
      </c>
      <c r="G218" s="7">
        <v>0</v>
      </c>
      <c r="I218" s="6"/>
      <c r="J218" s="6">
        <v>50</v>
      </c>
      <c r="K218" s="6"/>
      <c r="L218" s="6"/>
      <c r="M218" s="499"/>
      <c r="N218" s="499"/>
      <c r="O218" s="16"/>
      <c r="P218" s="16"/>
      <c r="Q218" s="16"/>
      <c r="R218" s="16"/>
      <c r="S218" s="16"/>
      <c r="T218" s="16"/>
      <c r="U218" s="16"/>
      <c r="V218" s="16"/>
      <c r="W218" s="16"/>
      <c r="X218" s="16"/>
      <c r="Y218" s="16"/>
      <c r="Z218" s="16"/>
      <c r="AA218" s="16"/>
    </row>
    <row r="219" spans="1:27" s="15" customFormat="1" ht="21" customHeight="1">
      <c r="A219" s="506" t="s">
        <v>830</v>
      </c>
      <c r="B219" s="6"/>
      <c r="C219" s="8" t="s">
        <v>246</v>
      </c>
      <c r="D219" s="6"/>
      <c r="E219" s="6"/>
      <c r="F219" s="6">
        <v>0</v>
      </c>
      <c r="G219" s="7">
        <v>0</v>
      </c>
      <c r="I219" s="6"/>
      <c r="J219" s="6">
        <v>50</v>
      </c>
      <c r="K219" s="6"/>
      <c r="L219" s="6"/>
      <c r="M219" s="499"/>
      <c r="N219" s="499"/>
      <c r="O219" s="16"/>
      <c r="P219" s="16"/>
      <c r="Q219" s="16"/>
      <c r="R219" s="16"/>
      <c r="S219" s="16"/>
      <c r="T219" s="16"/>
      <c r="U219" s="16"/>
      <c r="V219" s="16"/>
      <c r="W219" s="16"/>
      <c r="X219" s="16"/>
      <c r="Y219" s="16"/>
      <c r="Z219" s="16"/>
      <c r="AA219" s="16"/>
    </row>
    <row r="220" spans="1:27" s="15" customFormat="1" ht="21" customHeight="1">
      <c r="A220" s="20"/>
      <c r="B220" s="6"/>
      <c r="C220" s="8"/>
      <c r="D220" s="6"/>
      <c r="E220" s="6"/>
      <c r="F220" s="6"/>
      <c r="G220" s="7"/>
      <c r="I220" s="6"/>
      <c r="J220" s="6"/>
      <c r="K220" s="6"/>
      <c r="L220" s="6"/>
      <c r="M220" s="499"/>
      <c r="N220" s="499"/>
      <c r="O220" s="16"/>
      <c r="P220" s="16"/>
      <c r="Q220" s="16"/>
      <c r="R220" s="16"/>
      <c r="S220" s="16"/>
      <c r="T220" s="16"/>
      <c r="U220" s="16"/>
      <c r="V220" s="16"/>
      <c r="W220" s="16"/>
      <c r="X220" s="16"/>
      <c r="Y220" s="16"/>
      <c r="Z220" s="16"/>
      <c r="AA220" s="16"/>
    </row>
    <row r="221" spans="1:27" s="15" customFormat="1" ht="21" customHeight="1">
      <c r="A221" s="501" t="s">
        <v>1024</v>
      </c>
      <c r="B221" s="502" t="s">
        <v>150</v>
      </c>
      <c r="C221" s="507" t="s">
        <v>195</v>
      </c>
      <c r="D221" s="502" t="s">
        <v>709</v>
      </c>
      <c r="E221" s="502" t="s">
        <v>710</v>
      </c>
      <c r="F221" s="502">
        <v>190</v>
      </c>
      <c r="G221" s="504">
        <v>1.5</v>
      </c>
      <c r="H221" s="505" t="s">
        <v>342</v>
      </c>
      <c r="I221" s="502">
        <v>12</v>
      </c>
      <c r="J221" s="502">
        <v>150</v>
      </c>
      <c r="K221" s="502">
        <v>16</v>
      </c>
      <c r="L221" s="502">
        <v>0</v>
      </c>
      <c r="M221" s="507">
        <v>2</v>
      </c>
      <c r="N221" s="507" t="s">
        <v>708</v>
      </c>
      <c r="O221" s="16"/>
      <c r="P221" s="16"/>
      <c r="Q221" s="16"/>
      <c r="R221" s="16"/>
      <c r="S221" s="16"/>
      <c r="T221" s="16"/>
      <c r="U221" s="16"/>
      <c r="V221" s="16"/>
      <c r="W221" s="16"/>
      <c r="X221" s="16"/>
      <c r="Y221" s="16"/>
      <c r="Z221" s="16"/>
      <c r="AA221" s="16"/>
    </row>
    <row r="222" spans="1:27" s="15" customFormat="1" ht="21" customHeight="1">
      <c r="A222" s="506" t="s">
        <v>831</v>
      </c>
      <c r="B222" s="6"/>
      <c r="C222" s="8" t="s">
        <v>247</v>
      </c>
      <c r="D222" s="6"/>
      <c r="E222" s="6"/>
      <c r="F222" s="6">
        <v>189</v>
      </c>
      <c r="G222" s="7">
        <v>1.49</v>
      </c>
      <c r="I222" s="6"/>
      <c r="J222" s="6">
        <v>100</v>
      </c>
      <c r="K222" s="6"/>
      <c r="L222" s="6"/>
      <c r="M222" s="499"/>
      <c r="N222" s="499"/>
      <c r="O222" s="16"/>
      <c r="P222" s="16"/>
      <c r="Q222" s="16"/>
      <c r="R222" s="16"/>
      <c r="S222" s="16"/>
      <c r="T222" s="16"/>
      <c r="U222" s="16"/>
      <c r="V222" s="16"/>
      <c r="W222" s="16"/>
      <c r="X222" s="16"/>
      <c r="Y222" s="16"/>
      <c r="Z222" s="16"/>
      <c r="AA222" s="16"/>
    </row>
    <row r="223" spans="1:27" s="15" customFormat="1" ht="21" customHeight="1">
      <c r="A223" s="506" t="s">
        <v>832</v>
      </c>
      <c r="B223" s="6"/>
      <c r="C223" s="8" t="s">
        <v>246</v>
      </c>
      <c r="D223" s="6"/>
      <c r="E223" s="6"/>
      <c r="F223" s="6">
        <v>8</v>
      </c>
      <c r="G223" s="7">
        <v>0.05</v>
      </c>
      <c r="I223" s="6"/>
      <c r="J223" s="6">
        <v>50</v>
      </c>
      <c r="K223" s="6"/>
      <c r="L223" s="6"/>
      <c r="M223" s="499"/>
      <c r="N223" s="499"/>
      <c r="O223" s="16"/>
      <c r="P223" s="16"/>
      <c r="Q223" s="16"/>
      <c r="R223" s="16"/>
      <c r="S223" s="16"/>
      <c r="T223" s="16"/>
      <c r="U223" s="16"/>
      <c r="V223" s="16"/>
      <c r="W223" s="16"/>
      <c r="X223" s="16"/>
      <c r="Y223" s="16"/>
      <c r="Z223" s="16"/>
      <c r="AA223" s="16"/>
    </row>
    <row r="224" spans="1:27" s="15" customFormat="1" ht="21" customHeight="1">
      <c r="A224" s="20"/>
      <c r="B224" s="6"/>
      <c r="C224" s="8"/>
      <c r="D224" s="6"/>
      <c r="E224" s="6"/>
      <c r="F224" s="6"/>
      <c r="G224" s="7"/>
      <c r="I224" s="6"/>
      <c r="J224" s="6"/>
      <c r="K224" s="6"/>
      <c r="L224" s="6"/>
      <c r="M224" s="499"/>
      <c r="N224" s="499"/>
      <c r="O224" s="16"/>
      <c r="P224" s="16"/>
      <c r="Q224" s="16"/>
      <c r="R224" s="16"/>
      <c r="S224" s="16"/>
      <c r="T224" s="16"/>
      <c r="U224" s="16"/>
      <c r="V224" s="16"/>
      <c r="W224" s="16"/>
      <c r="X224" s="16"/>
      <c r="Y224" s="16"/>
      <c r="Z224" s="16"/>
      <c r="AA224" s="16"/>
    </row>
    <row r="225" spans="1:27" s="15" customFormat="1" ht="21" customHeight="1">
      <c r="A225" s="501" t="s">
        <v>1025</v>
      </c>
      <c r="B225" s="502" t="s">
        <v>150</v>
      </c>
      <c r="C225" s="507" t="s">
        <v>195</v>
      </c>
      <c r="D225" s="502" t="s">
        <v>709</v>
      </c>
      <c r="E225" s="502" t="s">
        <v>710</v>
      </c>
      <c r="F225" s="502">
        <v>21</v>
      </c>
      <c r="G225" s="504">
        <v>0.32</v>
      </c>
      <c r="H225" s="505" t="s">
        <v>276</v>
      </c>
      <c r="I225" s="502">
        <v>2</v>
      </c>
      <c r="J225" s="502">
        <v>150</v>
      </c>
      <c r="K225" s="502">
        <v>2</v>
      </c>
      <c r="L225" s="502">
        <v>0</v>
      </c>
      <c r="M225" s="507">
        <v>1</v>
      </c>
      <c r="N225" s="507" t="s">
        <v>708</v>
      </c>
      <c r="O225" s="16"/>
      <c r="P225" s="16"/>
      <c r="Q225" s="16"/>
      <c r="R225" s="16"/>
      <c r="S225" s="16"/>
      <c r="T225" s="16"/>
      <c r="U225" s="16"/>
      <c r="V225" s="16"/>
      <c r="W225" s="16"/>
      <c r="X225" s="16"/>
      <c r="Y225" s="16"/>
      <c r="Z225" s="16"/>
      <c r="AA225" s="16"/>
    </row>
    <row r="226" spans="1:27" s="15" customFormat="1" ht="21" customHeight="1">
      <c r="A226" s="506" t="s">
        <v>1121</v>
      </c>
      <c r="B226" s="6"/>
      <c r="C226" s="8" t="s">
        <v>246</v>
      </c>
      <c r="D226" s="6"/>
      <c r="E226" s="6"/>
      <c r="F226" s="6">
        <v>0</v>
      </c>
      <c r="G226" s="7">
        <v>0</v>
      </c>
      <c r="I226" s="6"/>
      <c r="J226" s="6">
        <v>50</v>
      </c>
      <c r="K226" s="6"/>
      <c r="L226" s="6"/>
      <c r="M226" s="499"/>
      <c r="N226" s="499"/>
      <c r="O226" s="16"/>
      <c r="P226" s="16"/>
      <c r="Q226" s="16"/>
      <c r="R226" s="16"/>
      <c r="S226" s="16"/>
      <c r="T226" s="16"/>
      <c r="U226" s="16"/>
      <c r="V226" s="16"/>
      <c r="W226" s="16"/>
      <c r="X226" s="16"/>
      <c r="Y226" s="16"/>
      <c r="Z226" s="16"/>
      <c r="AA226" s="16"/>
    </row>
    <row r="227" spans="1:27" s="15" customFormat="1" ht="21" customHeight="1">
      <c r="A227" s="506" t="s">
        <v>1122</v>
      </c>
      <c r="B227" s="6"/>
      <c r="C227" s="8" t="s">
        <v>247</v>
      </c>
      <c r="D227" s="6"/>
      <c r="E227" s="6"/>
      <c r="F227" s="6">
        <v>21</v>
      </c>
      <c r="G227" s="7">
        <v>0.32</v>
      </c>
      <c r="I227" s="6"/>
      <c r="J227" s="6">
        <v>100</v>
      </c>
      <c r="K227" s="6"/>
      <c r="L227" s="6"/>
      <c r="M227" s="499"/>
      <c r="N227" s="499"/>
      <c r="O227" s="16"/>
      <c r="P227" s="16"/>
      <c r="Q227" s="16"/>
      <c r="R227" s="16"/>
      <c r="S227" s="16"/>
      <c r="T227" s="16"/>
      <c r="U227" s="16"/>
      <c r="V227" s="16"/>
      <c r="W227" s="16"/>
      <c r="X227" s="16"/>
      <c r="Y227" s="16"/>
      <c r="Z227" s="16"/>
      <c r="AA227" s="16"/>
    </row>
    <row r="228" spans="1:27" s="15" customFormat="1" ht="21" customHeight="1">
      <c r="A228" s="20"/>
      <c r="B228" s="6"/>
      <c r="C228" s="8"/>
      <c r="D228" s="6"/>
      <c r="E228" s="6"/>
      <c r="F228" s="6"/>
      <c r="G228" s="7"/>
      <c r="I228" s="6"/>
      <c r="J228" s="6"/>
      <c r="K228" s="6"/>
      <c r="L228" s="6"/>
      <c r="M228" s="499"/>
      <c r="N228" s="499"/>
      <c r="O228" s="16"/>
      <c r="P228" s="16"/>
      <c r="Q228" s="16"/>
      <c r="R228" s="16"/>
      <c r="S228" s="16"/>
      <c r="T228" s="16"/>
      <c r="U228" s="16"/>
      <c r="V228" s="16"/>
      <c r="W228" s="16"/>
      <c r="X228" s="16"/>
      <c r="Y228" s="16"/>
      <c r="Z228" s="16"/>
      <c r="AA228" s="16"/>
    </row>
    <row r="229" spans="1:27" s="15" customFormat="1" ht="21" customHeight="1">
      <c r="A229" s="501" t="s">
        <v>1026</v>
      </c>
      <c r="B229" s="502" t="s">
        <v>150</v>
      </c>
      <c r="C229" s="507" t="s">
        <v>195</v>
      </c>
      <c r="D229" s="502" t="s">
        <v>709</v>
      </c>
      <c r="E229" s="502" t="s">
        <v>710</v>
      </c>
      <c r="F229" s="502">
        <v>45</v>
      </c>
      <c r="G229" s="504">
        <v>0.65</v>
      </c>
      <c r="H229" s="505" t="s">
        <v>276</v>
      </c>
      <c r="I229" s="502">
        <v>3</v>
      </c>
      <c r="J229" s="502">
        <v>200</v>
      </c>
      <c r="K229" s="502">
        <v>2</v>
      </c>
      <c r="L229" s="502">
        <v>0</v>
      </c>
      <c r="M229" s="507">
        <v>1</v>
      </c>
      <c r="N229" s="507" t="s">
        <v>708</v>
      </c>
      <c r="O229" s="16"/>
      <c r="P229" s="16"/>
      <c r="Q229" s="16"/>
      <c r="R229" s="16"/>
      <c r="S229" s="16"/>
      <c r="T229" s="16"/>
      <c r="U229" s="16"/>
      <c r="V229" s="16"/>
      <c r="W229" s="16"/>
      <c r="X229" s="16"/>
      <c r="Y229" s="16"/>
      <c r="Z229" s="16"/>
      <c r="AA229" s="16"/>
    </row>
    <row r="230" spans="1:27" s="15" customFormat="1" ht="21" customHeight="1">
      <c r="A230" s="506" t="s">
        <v>833</v>
      </c>
      <c r="B230" s="6"/>
      <c r="C230" s="8" t="s">
        <v>246</v>
      </c>
      <c r="D230" s="6"/>
      <c r="E230" s="6"/>
      <c r="F230" s="6">
        <v>0</v>
      </c>
      <c r="G230" s="7">
        <v>0</v>
      </c>
      <c r="I230" s="6"/>
      <c r="J230" s="6">
        <v>50</v>
      </c>
      <c r="K230" s="6"/>
      <c r="L230" s="6"/>
      <c r="M230" s="499"/>
      <c r="N230" s="499"/>
      <c r="O230" s="16"/>
      <c r="P230" s="16"/>
      <c r="Q230" s="16"/>
      <c r="R230" s="16"/>
      <c r="S230" s="16"/>
      <c r="T230" s="16"/>
      <c r="U230" s="16"/>
      <c r="V230" s="16"/>
      <c r="W230" s="16"/>
      <c r="X230" s="16"/>
      <c r="Y230" s="16"/>
      <c r="Z230" s="16"/>
      <c r="AA230" s="16"/>
    </row>
    <row r="231" spans="1:27" s="15" customFormat="1" ht="21" customHeight="1">
      <c r="A231" s="506" t="s">
        <v>834</v>
      </c>
      <c r="B231" s="6"/>
      <c r="C231" s="8" t="s">
        <v>246</v>
      </c>
      <c r="D231" s="6"/>
      <c r="E231" s="6"/>
      <c r="F231" s="6">
        <v>0</v>
      </c>
      <c r="G231" s="7">
        <v>0</v>
      </c>
      <c r="I231" s="6"/>
      <c r="J231" s="6">
        <v>50</v>
      </c>
      <c r="K231" s="6"/>
      <c r="L231" s="6"/>
      <c r="M231" s="499"/>
      <c r="N231" s="499"/>
      <c r="O231" s="16"/>
      <c r="P231" s="16"/>
      <c r="Q231" s="16"/>
      <c r="R231" s="16"/>
      <c r="S231" s="16"/>
      <c r="T231" s="16"/>
      <c r="U231" s="16"/>
      <c r="V231" s="16"/>
      <c r="W231" s="16"/>
      <c r="X231" s="16"/>
      <c r="Y231" s="16"/>
      <c r="Z231" s="16"/>
      <c r="AA231" s="16"/>
    </row>
    <row r="232" spans="1:27" s="15" customFormat="1" ht="21" customHeight="1">
      <c r="A232" s="506" t="s">
        <v>835</v>
      </c>
      <c r="B232" s="6"/>
      <c r="C232" s="8" t="s">
        <v>247</v>
      </c>
      <c r="D232" s="6"/>
      <c r="E232" s="6"/>
      <c r="F232" s="6">
        <v>45</v>
      </c>
      <c r="G232" s="7">
        <v>0.65</v>
      </c>
      <c r="I232" s="6"/>
      <c r="J232" s="6">
        <v>100</v>
      </c>
      <c r="K232" s="6"/>
      <c r="L232" s="6"/>
      <c r="M232" s="499"/>
      <c r="N232" s="499"/>
      <c r="O232" s="16"/>
      <c r="P232" s="16"/>
      <c r="Q232" s="16"/>
      <c r="R232" s="16"/>
      <c r="S232" s="16"/>
      <c r="T232" s="16"/>
      <c r="U232" s="16"/>
      <c r="V232" s="16"/>
      <c r="W232" s="16"/>
      <c r="X232" s="16"/>
      <c r="Y232" s="16"/>
      <c r="Z232" s="16"/>
      <c r="AA232" s="16"/>
    </row>
    <row r="233" spans="1:27" s="15" customFormat="1" ht="21" customHeight="1">
      <c r="A233" s="20"/>
      <c r="B233" s="6"/>
      <c r="C233" s="8"/>
      <c r="D233" s="6"/>
      <c r="E233" s="6"/>
      <c r="F233" s="6"/>
      <c r="G233" s="7"/>
      <c r="I233" s="6"/>
      <c r="J233" s="6"/>
      <c r="K233" s="6"/>
      <c r="L233" s="6"/>
      <c r="M233" s="499"/>
      <c r="N233" s="499"/>
      <c r="O233" s="16"/>
      <c r="P233" s="16"/>
      <c r="Q233" s="16"/>
      <c r="R233" s="16"/>
      <c r="S233" s="16"/>
      <c r="T233" s="16"/>
      <c r="U233" s="16"/>
      <c r="V233" s="16"/>
      <c r="W233" s="16"/>
      <c r="X233" s="16"/>
      <c r="Y233" s="16"/>
      <c r="Z233" s="16"/>
      <c r="AA233" s="16"/>
    </row>
    <row r="234" spans="1:27" s="15" customFormat="1" ht="21" customHeight="1">
      <c r="A234" s="501" t="s">
        <v>1027</v>
      </c>
      <c r="B234" s="502" t="s">
        <v>150</v>
      </c>
      <c r="C234" s="507" t="s">
        <v>195</v>
      </c>
      <c r="D234" s="502" t="s">
        <v>709</v>
      </c>
      <c r="E234" s="502" t="s">
        <v>710</v>
      </c>
      <c r="F234" s="502">
        <v>33</v>
      </c>
      <c r="G234" s="504">
        <v>0.36</v>
      </c>
      <c r="H234" s="505" t="s">
        <v>276</v>
      </c>
      <c r="I234" s="502">
        <v>3</v>
      </c>
      <c r="J234" s="502">
        <v>200</v>
      </c>
      <c r="K234" s="502">
        <v>2</v>
      </c>
      <c r="L234" s="502">
        <v>0</v>
      </c>
      <c r="M234" s="507">
        <v>1</v>
      </c>
      <c r="N234" s="507" t="s">
        <v>708</v>
      </c>
      <c r="O234" s="16"/>
      <c r="P234" s="16"/>
      <c r="Q234" s="16"/>
      <c r="R234" s="16"/>
      <c r="S234" s="16"/>
      <c r="T234" s="16"/>
      <c r="U234" s="16"/>
      <c r="V234" s="16"/>
      <c r="W234" s="16"/>
      <c r="X234" s="16"/>
      <c r="Y234" s="16"/>
      <c r="Z234" s="16"/>
      <c r="AA234" s="16"/>
    </row>
    <row r="235" spans="1:27" s="15" customFormat="1" ht="21" customHeight="1">
      <c r="A235" s="506" t="s">
        <v>836</v>
      </c>
      <c r="B235" s="6"/>
      <c r="C235" s="8" t="s">
        <v>246</v>
      </c>
      <c r="D235" s="6"/>
      <c r="E235" s="6"/>
      <c r="F235" s="6">
        <v>8</v>
      </c>
      <c r="G235" s="7">
        <v>0.06</v>
      </c>
      <c r="I235" s="6"/>
      <c r="J235" s="6">
        <v>50</v>
      </c>
      <c r="K235" s="6"/>
      <c r="L235" s="6"/>
      <c r="M235" s="499"/>
      <c r="N235" s="499"/>
      <c r="O235" s="16"/>
      <c r="P235" s="16"/>
      <c r="Q235" s="16"/>
      <c r="R235" s="16"/>
      <c r="S235" s="16"/>
      <c r="T235" s="16"/>
      <c r="U235" s="16"/>
      <c r="V235" s="16"/>
      <c r="W235" s="16"/>
      <c r="X235" s="16"/>
      <c r="Y235" s="16"/>
      <c r="Z235" s="16"/>
      <c r="AA235" s="16"/>
    </row>
    <row r="236" spans="1:27" s="15" customFormat="1" ht="21" customHeight="1">
      <c r="A236" s="506" t="s">
        <v>837</v>
      </c>
      <c r="B236" s="6"/>
      <c r="C236" s="8" t="s">
        <v>246</v>
      </c>
      <c r="D236" s="6"/>
      <c r="E236" s="6"/>
      <c r="F236" s="6">
        <v>0</v>
      </c>
      <c r="G236" s="7">
        <v>0</v>
      </c>
      <c r="I236" s="6"/>
      <c r="J236" s="6">
        <v>50</v>
      </c>
      <c r="K236" s="6"/>
      <c r="L236" s="6"/>
      <c r="M236" s="499"/>
      <c r="N236" s="499"/>
      <c r="O236" s="16"/>
      <c r="P236" s="16"/>
      <c r="Q236" s="16"/>
      <c r="R236" s="16"/>
      <c r="S236" s="16"/>
      <c r="T236" s="16"/>
      <c r="U236" s="16"/>
      <c r="V236" s="16"/>
      <c r="W236" s="16"/>
      <c r="X236" s="16"/>
      <c r="Y236" s="16"/>
      <c r="Z236" s="16"/>
      <c r="AA236" s="16"/>
    </row>
    <row r="237" spans="1:27" s="15" customFormat="1" ht="21" customHeight="1">
      <c r="A237" s="506" t="s">
        <v>838</v>
      </c>
      <c r="B237" s="6"/>
      <c r="C237" s="8" t="s">
        <v>247</v>
      </c>
      <c r="D237" s="6"/>
      <c r="E237" s="6"/>
      <c r="F237" s="6">
        <v>29</v>
      </c>
      <c r="G237" s="7">
        <v>0.33</v>
      </c>
      <c r="I237" s="6"/>
      <c r="J237" s="6">
        <v>100</v>
      </c>
      <c r="K237" s="6"/>
      <c r="L237" s="6"/>
      <c r="M237" s="499"/>
      <c r="N237" s="499"/>
      <c r="O237" s="16"/>
      <c r="P237" s="16"/>
      <c r="Q237" s="16"/>
      <c r="R237" s="16"/>
      <c r="S237" s="16"/>
      <c r="T237" s="16"/>
      <c r="U237" s="16"/>
      <c r="V237" s="16"/>
      <c r="W237" s="16"/>
      <c r="X237" s="16"/>
      <c r="Y237" s="16"/>
      <c r="Z237" s="16"/>
      <c r="AA237" s="16"/>
    </row>
    <row r="238" spans="1:27" s="15" customFormat="1" ht="21" customHeight="1">
      <c r="A238" s="20"/>
      <c r="B238" s="6"/>
      <c r="C238" s="8"/>
      <c r="D238" s="6"/>
      <c r="E238" s="6"/>
      <c r="F238" s="6"/>
      <c r="G238" s="7"/>
      <c r="I238" s="6"/>
      <c r="J238" s="6"/>
      <c r="K238" s="6"/>
      <c r="L238" s="6"/>
      <c r="M238" s="499"/>
      <c r="N238" s="499"/>
      <c r="O238" s="16"/>
      <c r="P238" s="16"/>
      <c r="Q238" s="16"/>
      <c r="R238" s="16"/>
      <c r="S238" s="16"/>
      <c r="T238" s="16"/>
      <c r="U238" s="16"/>
      <c r="V238" s="16"/>
      <c r="W238" s="16"/>
      <c r="X238" s="16"/>
      <c r="Y238" s="16"/>
      <c r="Z238" s="16"/>
      <c r="AA238" s="16"/>
    </row>
    <row r="239" spans="1:27" s="15" customFormat="1" ht="21" customHeight="1">
      <c r="A239" s="501" t="s">
        <v>1028</v>
      </c>
      <c r="B239" s="502" t="s">
        <v>150</v>
      </c>
      <c r="C239" s="507" t="s">
        <v>195</v>
      </c>
      <c r="D239" s="502" t="s">
        <v>709</v>
      </c>
      <c r="E239" s="502" t="s">
        <v>710</v>
      </c>
      <c r="F239" s="502">
        <v>56</v>
      </c>
      <c r="G239" s="504">
        <v>0.83</v>
      </c>
      <c r="H239" s="505" t="s">
        <v>280</v>
      </c>
      <c r="I239" s="502">
        <v>9</v>
      </c>
      <c r="J239" s="502">
        <v>2619</v>
      </c>
      <c r="K239" s="502">
        <v>4</v>
      </c>
      <c r="L239" s="502">
        <v>0</v>
      </c>
      <c r="M239" s="507">
        <v>1</v>
      </c>
      <c r="N239" s="507" t="s">
        <v>708</v>
      </c>
      <c r="O239" s="16"/>
      <c r="P239" s="16"/>
      <c r="Q239" s="16"/>
      <c r="R239" s="16"/>
      <c r="S239" s="16"/>
      <c r="T239" s="16"/>
      <c r="U239" s="16"/>
      <c r="V239" s="16"/>
      <c r="W239" s="16"/>
      <c r="X239" s="16"/>
      <c r="Y239" s="16"/>
      <c r="Z239" s="16"/>
      <c r="AA239" s="16"/>
    </row>
    <row r="240" spans="1:27" s="15" customFormat="1" ht="21" customHeight="1">
      <c r="A240" s="506" t="s">
        <v>1123</v>
      </c>
      <c r="B240" s="6"/>
      <c r="C240" s="8" t="s">
        <v>248</v>
      </c>
      <c r="D240" s="6"/>
      <c r="E240" s="6"/>
      <c r="F240" s="6">
        <v>0</v>
      </c>
      <c r="G240" s="7">
        <v>0</v>
      </c>
      <c r="I240" s="6"/>
      <c r="J240" s="6">
        <v>302</v>
      </c>
      <c r="K240" s="6"/>
      <c r="L240" s="6"/>
      <c r="M240" s="499"/>
      <c r="N240" s="499"/>
      <c r="O240" s="16"/>
      <c r="P240" s="16"/>
      <c r="Q240" s="16"/>
      <c r="R240" s="16"/>
      <c r="S240" s="16"/>
      <c r="T240" s="16"/>
      <c r="U240" s="16"/>
      <c r="V240" s="16"/>
      <c r="W240" s="16"/>
      <c r="X240" s="16"/>
      <c r="Y240" s="16"/>
      <c r="Z240" s="16"/>
      <c r="AA240" s="16"/>
    </row>
    <row r="241" spans="1:27" s="15" customFormat="1" ht="21" customHeight="1">
      <c r="A241" s="506" t="s">
        <v>1124</v>
      </c>
      <c r="B241" s="6"/>
      <c r="C241" s="8" t="s">
        <v>247</v>
      </c>
      <c r="D241" s="6"/>
      <c r="E241" s="6"/>
      <c r="F241" s="6">
        <v>0</v>
      </c>
      <c r="G241" s="7">
        <v>0</v>
      </c>
      <c r="I241" s="6"/>
      <c r="J241" s="6">
        <v>101</v>
      </c>
      <c r="K241" s="6"/>
      <c r="L241" s="6"/>
      <c r="M241" s="499"/>
      <c r="N241" s="499"/>
      <c r="O241" s="16"/>
      <c r="P241" s="16"/>
      <c r="Q241" s="16"/>
      <c r="R241" s="16"/>
      <c r="S241" s="16"/>
      <c r="T241" s="16"/>
      <c r="U241" s="16"/>
      <c r="V241" s="16"/>
      <c r="W241" s="16"/>
      <c r="X241" s="16"/>
      <c r="Y241" s="16"/>
      <c r="Z241" s="16"/>
      <c r="AA241" s="16"/>
    </row>
    <row r="242" spans="1:27" s="15" customFormat="1" ht="21" customHeight="1">
      <c r="A242" s="506" t="s">
        <v>1125</v>
      </c>
      <c r="B242" s="6"/>
      <c r="C242" s="8" t="s">
        <v>559</v>
      </c>
      <c r="D242" s="6"/>
      <c r="E242" s="6"/>
      <c r="F242" s="6">
        <v>0</v>
      </c>
      <c r="G242" s="7">
        <v>0</v>
      </c>
      <c r="I242" s="6"/>
      <c r="J242" s="6">
        <v>250</v>
      </c>
      <c r="K242" s="6"/>
      <c r="L242" s="6"/>
      <c r="M242" s="499"/>
      <c r="N242" s="499"/>
      <c r="O242" s="16"/>
      <c r="P242" s="16"/>
      <c r="Q242" s="16"/>
      <c r="R242" s="16"/>
      <c r="S242" s="16"/>
      <c r="T242" s="16"/>
      <c r="U242" s="16"/>
      <c r="V242" s="16"/>
      <c r="W242" s="16"/>
      <c r="X242" s="16"/>
      <c r="Y242" s="16"/>
      <c r="Z242" s="16"/>
      <c r="AA242" s="16"/>
    </row>
    <row r="243" spans="1:27" s="15" customFormat="1" ht="21" customHeight="1">
      <c r="A243" s="506" t="s">
        <v>1126</v>
      </c>
      <c r="B243" s="6"/>
      <c r="C243" s="8" t="s">
        <v>248</v>
      </c>
      <c r="D243" s="6"/>
      <c r="E243" s="6"/>
      <c r="F243" s="6">
        <v>0</v>
      </c>
      <c r="G243" s="7">
        <v>0</v>
      </c>
      <c r="I243" s="6"/>
      <c r="J243" s="6">
        <v>401</v>
      </c>
      <c r="K243" s="6"/>
      <c r="L243" s="6"/>
      <c r="M243" s="499"/>
      <c r="N243" s="499"/>
      <c r="O243" s="16"/>
      <c r="P243" s="16"/>
      <c r="Q243" s="16"/>
      <c r="R243" s="16"/>
      <c r="S243" s="16"/>
      <c r="T243" s="16"/>
      <c r="U243" s="16"/>
      <c r="V243" s="16"/>
      <c r="W243" s="16"/>
      <c r="X243" s="16"/>
      <c r="Y243" s="16"/>
      <c r="Z243" s="16"/>
      <c r="AA243" s="16"/>
    </row>
    <row r="244" spans="1:27" s="15" customFormat="1" ht="21" customHeight="1">
      <c r="A244" s="506" t="s">
        <v>1127</v>
      </c>
      <c r="B244" s="6"/>
      <c r="C244" s="8" t="s">
        <v>245</v>
      </c>
      <c r="D244" s="6"/>
      <c r="E244" s="6"/>
      <c r="F244" s="6">
        <v>10</v>
      </c>
      <c r="G244" s="7">
        <v>0.08</v>
      </c>
      <c r="I244" s="6"/>
      <c r="J244" s="6">
        <v>25</v>
      </c>
      <c r="K244" s="6"/>
      <c r="L244" s="6"/>
      <c r="M244" s="499"/>
      <c r="N244" s="499"/>
      <c r="O244" s="16"/>
      <c r="P244" s="16"/>
      <c r="Q244" s="16"/>
      <c r="R244" s="16"/>
      <c r="S244" s="16"/>
      <c r="T244" s="16"/>
      <c r="U244" s="16"/>
      <c r="V244" s="16"/>
      <c r="W244" s="16"/>
      <c r="X244" s="16"/>
      <c r="Y244" s="16"/>
      <c r="Z244" s="16"/>
      <c r="AA244" s="16"/>
    </row>
    <row r="245" spans="1:27" s="15" customFormat="1" ht="21" customHeight="1">
      <c r="A245" s="506" t="s">
        <v>1128</v>
      </c>
      <c r="B245" s="6"/>
      <c r="C245" s="8" t="s">
        <v>245</v>
      </c>
      <c r="D245" s="6"/>
      <c r="E245" s="6"/>
      <c r="F245" s="6">
        <v>0</v>
      </c>
      <c r="G245" s="7">
        <v>0</v>
      </c>
      <c r="I245" s="6"/>
      <c r="J245" s="6">
        <v>16</v>
      </c>
      <c r="K245" s="6"/>
      <c r="L245" s="6"/>
      <c r="M245" s="499"/>
      <c r="N245" s="499"/>
      <c r="O245" s="16"/>
      <c r="P245" s="16"/>
      <c r="Q245" s="16"/>
      <c r="R245" s="16"/>
      <c r="S245" s="16"/>
      <c r="T245" s="16"/>
      <c r="U245" s="16"/>
      <c r="V245" s="16"/>
      <c r="W245" s="16"/>
      <c r="X245" s="16"/>
      <c r="Y245" s="16"/>
      <c r="Z245" s="16"/>
      <c r="AA245" s="16"/>
    </row>
    <row r="246" spans="1:27" s="15" customFormat="1" ht="21" customHeight="1">
      <c r="A246" s="506" t="s">
        <v>1129</v>
      </c>
      <c r="B246" s="6"/>
      <c r="C246" s="8" t="s">
        <v>248</v>
      </c>
      <c r="D246" s="6"/>
      <c r="E246" s="6"/>
      <c r="F246" s="6">
        <v>0</v>
      </c>
      <c r="G246" s="7">
        <v>0</v>
      </c>
      <c r="I246" s="6"/>
      <c r="J246" s="6">
        <v>400</v>
      </c>
      <c r="K246" s="6"/>
      <c r="L246" s="6"/>
      <c r="M246" s="499"/>
      <c r="N246" s="499"/>
      <c r="O246" s="16"/>
      <c r="P246" s="16"/>
      <c r="Q246" s="16"/>
      <c r="R246" s="16"/>
      <c r="S246" s="16"/>
      <c r="T246" s="16"/>
      <c r="U246" s="16"/>
      <c r="V246" s="16"/>
      <c r="W246" s="16"/>
      <c r="X246" s="16"/>
      <c r="Y246" s="16"/>
      <c r="Z246" s="16"/>
      <c r="AA246" s="16"/>
    </row>
    <row r="247" spans="1:27" s="15" customFormat="1" ht="21" customHeight="1">
      <c r="A247" s="506" t="s">
        <v>1130</v>
      </c>
      <c r="B247" s="6"/>
      <c r="C247" s="8" t="s">
        <v>249</v>
      </c>
      <c r="D247" s="6"/>
      <c r="E247" s="6"/>
      <c r="F247" s="6">
        <v>0</v>
      </c>
      <c r="G247" s="7">
        <v>0</v>
      </c>
      <c r="I247" s="6"/>
      <c r="J247" s="6">
        <v>1024</v>
      </c>
      <c r="K247" s="6"/>
      <c r="L247" s="6"/>
      <c r="M247" s="499"/>
      <c r="N247" s="499"/>
      <c r="O247" s="16"/>
      <c r="P247" s="16"/>
      <c r="Q247" s="16"/>
      <c r="R247" s="16"/>
      <c r="S247" s="16"/>
      <c r="T247" s="16"/>
      <c r="U247" s="16"/>
      <c r="V247" s="16"/>
      <c r="W247" s="16"/>
      <c r="X247" s="16"/>
      <c r="Y247" s="16"/>
      <c r="Z247" s="16"/>
      <c r="AA247" s="16"/>
    </row>
    <row r="248" spans="1:27" s="15" customFormat="1" ht="21" customHeight="1">
      <c r="A248" s="506" t="s">
        <v>1131</v>
      </c>
      <c r="B248" s="6"/>
      <c r="C248" s="8" t="s">
        <v>247</v>
      </c>
      <c r="D248" s="6"/>
      <c r="E248" s="6"/>
      <c r="F248" s="6">
        <v>52</v>
      </c>
      <c r="G248" s="7">
        <v>0.81</v>
      </c>
      <c r="I248" s="6"/>
      <c r="J248" s="6">
        <v>100</v>
      </c>
      <c r="K248" s="6"/>
      <c r="L248" s="6"/>
      <c r="M248" s="499"/>
      <c r="N248" s="499"/>
      <c r="O248" s="16"/>
      <c r="P248" s="16"/>
      <c r="Q248" s="16"/>
      <c r="R248" s="16"/>
      <c r="S248" s="16"/>
      <c r="T248" s="16"/>
      <c r="U248" s="16"/>
      <c r="V248" s="16"/>
      <c r="W248" s="16"/>
      <c r="X248" s="16"/>
      <c r="Y248" s="16"/>
      <c r="Z248" s="16"/>
      <c r="AA248" s="16"/>
    </row>
    <row r="249" spans="1:27" s="15" customFormat="1" ht="21" customHeight="1">
      <c r="A249" s="20"/>
      <c r="B249" s="6"/>
      <c r="C249" s="8"/>
      <c r="D249" s="6"/>
      <c r="E249" s="6"/>
      <c r="F249" s="6"/>
      <c r="G249" s="7"/>
      <c r="I249" s="6"/>
      <c r="J249" s="6"/>
      <c r="K249" s="6"/>
      <c r="L249" s="6"/>
      <c r="M249" s="499"/>
      <c r="N249" s="499"/>
      <c r="O249" s="16"/>
      <c r="P249" s="16"/>
      <c r="Q249" s="16"/>
      <c r="R249" s="16"/>
      <c r="S249" s="16"/>
      <c r="T249" s="16"/>
      <c r="U249" s="16"/>
      <c r="V249" s="16"/>
      <c r="W249" s="16"/>
      <c r="X249" s="16"/>
      <c r="Y249" s="16"/>
      <c r="Z249" s="16"/>
      <c r="AA249" s="16"/>
    </row>
    <row r="250" spans="1:27" s="15" customFormat="1" ht="21" customHeight="1">
      <c r="A250" s="501" t="s">
        <v>1029</v>
      </c>
      <c r="B250" s="502" t="s">
        <v>150</v>
      </c>
      <c r="C250" s="507" t="s">
        <v>195</v>
      </c>
      <c r="D250" s="502" t="s">
        <v>709</v>
      </c>
      <c r="E250" s="502" t="s">
        <v>710</v>
      </c>
      <c r="F250" s="502">
        <v>38</v>
      </c>
      <c r="G250" s="504">
        <v>0.65</v>
      </c>
      <c r="H250" s="505" t="s">
        <v>280</v>
      </c>
      <c r="I250" s="502">
        <v>2</v>
      </c>
      <c r="J250" s="502">
        <v>150</v>
      </c>
      <c r="K250" s="502">
        <v>8</v>
      </c>
      <c r="L250" s="502">
        <v>0</v>
      </c>
      <c r="M250" s="507">
        <v>2</v>
      </c>
      <c r="N250" s="507" t="s">
        <v>708</v>
      </c>
      <c r="O250" s="16"/>
      <c r="P250" s="16"/>
      <c r="Q250" s="16"/>
      <c r="R250" s="16"/>
      <c r="S250" s="16"/>
      <c r="T250" s="16"/>
      <c r="U250" s="16"/>
      <c r="V250" s="16"/>
      <c r="W250" s="16"/>
      <c r="X250" s="16"/>
      <c r="Y250" s="16"/>
      <c r="Z250" s="16"/>
      <c r="AA250" s="16"/>
    </row>
    <row r="251" spans="1:27" s="15" customFormat="1" ht="21" customHeight="1">
      <c r="A251" s="506" t="s">
        <v>1132</v>
      </c>
      <c r="B251" s="6"/>
      <c r="C251" s="8" t="s">
        <v>247</v>
      </c>
      <c r="D251" s="6"/>
      <c r="E251" s="6"/>
      <c r="F251" s="6">
        <v>38</v>
      </c>
      <c r="G251" s="7">
        <v>0.65</v>
      </c>
      <c r="I251" s="6"/>
      <c r="J251" s="6">
        <v>100</v>
      </c>
      <c r="K251" s="6"/>
      <c r="L251" s="6"/>
      <c r="M251" s="499"/>
      <c r="N251" s="499"/>
      <c r="O251" s="16"/>
      <c r="P251" s="16"/>
      <c r="Q251" s="16"/>
      <c r="R251" s="16"/>
      <c r="S251" s="16"/>
      <c r="T251" s="16"/>
      <c r="U251" s="16"/>
      <c r="V251" s="16"/>
      <c r="W251" s="16"/>
      <c r="X251" s="16"/>
      <c r="Y251" s="16"/>
      <c r="Z251" s="16"/>
      <c r="AA251" s="16"/>
    </row>
    <row r="252" spans="1:27" s="15" customFormat="1" ht="21" customHeight="1">
      <c r="A252" s="506" t="s">
        <v>1133</v>
      </c>
      <c r="B252" s="6"/>
      <c r="C252" s="8" t="s">
        <v>246</v>
      </c>
      <c r="D252" s="6"/>
      <c r="E252" s="6"/>
      <c r="F252" s="6">
        <v>0</v>
      </c>
      <c r="G252" s="7">
        <v>0</v>
      </c>
      <c r="I252" s="6"/>
      <c r="J252" s="6">
        <v>50</v>
      </c>
      <c r="K252" s="6"/>
      <c r="L252" s="6"/>
      <c r="M252" s="499"/>
      <c r="N252" s="499"/>
      <c r="O252" s="16"/>
      <c r="P252" s="16"/>
      <c r="Q252" s="16"/>
      <c r="R252" s="16"/>
      <c r="S252" s="16"/>
      <c r="T252" s="16"/>
      <c r="U252" s="16"/>
      <c r="V252" s="16"/>
      <c r="W252" s="16"/>
      <c r="X252" s="16"/>
      <c r="Y252" s="16"/>
      <c r="Z252" s="16"/>
      <c r="AA252" s="16"/>
    </row>
    <row r="253" spans="1:27" s="15" customFormat="1" ht="21" customHeight="1">
      <c r="A253" s="20"/>
      <c r="B253" s="6"/>
      <c r="C253" s="8"/>
      <c r="D253" s="6"/>
      <c r="E253" s="6"/>
      <c r="F253" s="6"/>
      <c r="G253" s="7"/>
      <c r="I253" s="6"/>
      <c r="J253" s="6"/>
      <c r="K253" s="6"/>
      <c r="L253" s="6"/>
      <c r="M253" s="499"/>
      <c r="N253" s="499"/>
      <c r="O253" s="16"/>
      <c r="P253" s="16"/>
      <c r="Q253" s="16"/>
      <c r="R253" s="16"/>
      <c r="S253" s="16"/>
      <c r="T253" s="16"/>
      <c r="U253" s="16"/>
      <c r="V253" s="16"/>
      <c r="W253" s="16"/>
      <c r="X253" s="16"/>
      <c r="Y253" s="16"/>
      <c r="Z253" s="16"/>
      <c r="AA253" s="16"/>
    </row>
    <row r="254" spans="1:27" s="15" customFormat="1" ht="21" customHeight="1">
      <c r="A254" s="501" t="s">
        <v>1030</v>
      </c>
      <c r="B254" s="502" t="s">
        <v>150</v>
      </c>
      <c r="C254" s="507" t="s">
        <v>195</v>
      </c>
      <c r="D254" s="502" t="s">
        <v>709</v>
      </c>
      <c r="E254" s="502" t="s">
        <v>710</v>
      </c>
      <c r="F254" s="502">
        <v>29</v>
      </c>
      <c r="G254" s="504">
        <v>0.53</v>
      </c>
      <c r="H254" s="505" t="s">
        <v>276</v>
      </c>
      <c r="I254" s="502">
        <v>2</v>
      </c>
      <c r="J254" s="502">
        <v>150</v>
      </c>
      <c r="K254" s="502">
        <v>2</v>
      </c>
      <c r="L254" s="502">
        <v>0</v>
      </c>
      <c r="M254" s="507">
        <v>1</v>
      </c>
      <c r="N254" s="507" t="s">
        <v>708</v>
      </c>
      <c r="O254" s="16"/>
      <c r="P254" s="16"/>
      <c r="Q254" s="16"/>
      <c r="R254" s="16"/>
      <c r="S254" s="16"/>
      <c r="T254" s="16"/>
      <c r="U254" s="16"/>
      <c r="V254" s="16"/>
      <c r="W254" s="16"/>
      <c r="X254" s="16"/>
      <c r="Y254" s="16"/>
      <c r="Z254" s="16"/>
      <c r="AA254" s="16"/>
    </row>
    <row r="255" spans="1:27" s="15" customFormat="1" ht="21" customHeight="1">
      <c r="A255" s="506" t="s">
        <v>839</v>
      </c>
      <c r="B255" s="6"/>
      <c r="C255" s="8" t="s">
        <v>247</v>
      </c>
      <c r="D255" s="6"/>
      <c r="E255" s="6"/>
      <c r="F255" s="6">
        <v>29</v>
      </c>
      <c r="G255" s="7">
        <v>0.53</v>
      </c>
      <c r="I255" s="6"/>
      <c r="J255" s="6">
        <v>100</v>
      </c>
      <c r="K255" s="6"/>
      <c r="L255" s="6"/>
      <c r="M255" s="499"/>
      <c r="N255" s="499"/>
      <c r="O255" s="16"/>
      <c r="P255" s="16"/>
      <c r="Q255" s="16"/>
      <c r="R255" s="16"/>
      <c r="S255" s="16"/>
      <c r="T255" s="16"/>
      <c r="U255" s="16"/>
      <c r="V255" s="16"/>
      <c r="W255" s="16"/>
      <c r="X255" s="16"/>
      <c r="Y255" s="16"/>
      <c r="Z255" s="16"/>
      <c r="AA255" s="16"/>
    </row>
    <row r="256" spans="1:27" s="15" customFormat="1" ht="21" customHeight="1">
      <c r="A256" s="506" t="s">
        <v>840</v>
      </c>
      <c r="B256" s="6"/>
      <c r="C256" s="8" t="s">
        <v>246</v>
      </c>
      <c r="D256" s="6"/>
      <c r="E256" s="6"/>
      <c r="F256" s="6">
        <v>0</v>
      </c>
      <c r="G256" s="7">
        <v>0</v>
      </c>
      <c r="I256" s="6"/>
      <c r="J256" s="6">
        <v>50</v>
      </c>
      <c r="K256" s="6"/>
      <c r="L256" s="6"/>
      <c r="M256" s="499"/>
      <c r="N256" s="499"/>
      <c r="O256" s="16"/>
      <c r="P256" s="16"/>
      <c r="Q256" s="16"/>
      <c r="R256" s="16"/>
      <c r="S256" s="16"/>
      <c r="T256" s="16"/>
      <c r="U256" s="16"/>
      <c r="V256" s="16"/>
      <c r="W256" s="16"/>
      <c r="X256" s="16"/>
      <c r="Y256" s="16"/>
      <c r="Z256" s="16"/>
      <c r="AA256" s="16"/>
    </row>
    <row r="257" spans="1:27" s="15" customFormat="1" ht="21" customHeight="1">
      <c r="A257" s="20"/>
      <c r="B257" s="6"/>
      <c r="C257" s="8"/>
      <c r="D257" s="6"/>
      <c r="E257" s="6"/>
      <c r="F257" s="6"/>
      <c r="G257" s="7"/>
      <c r="I257" s="6"/>
      <c r="J257" s="6"/>
      <c r="K257" s="6"/>
      <c r="L257" s="6"/>
      <c r="M257" s="499"/>
      <c r="N257" s="499"/>
      <c r="O257" s="16"/>
      <c r="P257" s="16"/>
      <c r="Q257" s="16"/>
      <c r="R257" s="16"/>
      <c r="S257" s="16"/>
      <c r="T257" s="16"/>
      <c r="U257" s="16"/>
      <c r="V257" s="16"/>
      <c r="W257" s="16"/>
      <c r="X257" s="16"/>
      <c r="Y257" s="16"/>
      <c r="Z257" s="16"/>
      <c r="AA257" s="16"/>
    </row>
    <row r="258" spans="1:27" s="15" customFormat="1" ht="21" customHeight="1">
      <c r="A258" s="501" t="s">
        <v>1031</v>
      </c>
      <c r="B258" s="502" t="s">
        <v>150</v>
      </c>
      <c r="C258" s="507" t="s">
        <v>195</v>
      </c>
      <c r="D258" s="502" t="s">
        <v>709</v>
      </c>
      <c r="E258" s="502" t="s">
        <v>710</v>
      </c>
      <c r="F258" s="502">
        <v>26</v>
      </c>
      <c r="G258" s="504">
        <v>0.28000000000000003</v>
      </c>
      <c r="H258" s="505" t="s">
        <v>342</v>
      </c>
      <c r="I258" s="502">
        <v>3</v>
      </c>
      <c r="J258" s="502">
        <v>250</v>
      </c>
      <c r="K258" s="502">
        <v>16</v>
      </c>
      <c r="L258" s="502">
        <v>0</v>
      </c>
      <c r="M258" s="507">
        <v>2</v>
      </c>
      <c r="N258" s="507" t="s">
        <v>708</v>
      </c>
      <c r="O258" s="16"/>
      <c r="P258" s="16"/>
      <c r="Q258" s="16"/>
      <c r="R258" s="16"/>
      <c r="S258" s="16"/>
      <c r="T258" s="16"/>
      <c r="U258" s="16"/>
      <c r="V258" s="16"/>
      <c r="W258" s="16"/>
      <c r="X258" s="16"/>
      <c r="Y258" s="16"/>
      <c r="Z258" s="16"/>
      <c r="AA258" s="16"/>
    </row>
    <row r="259" spans="1:27" s="15" customFormat="1" ht="21" customHeight="1">
      <c r="A259" s="506" t="s">
        <v>841</v>
      </c>
      <c r="B259" s="6"/>
      <c r="C259" s="8" t="s">
        <v>247</v>
      </c>
      <c r="D259" s="6"/>
      <c r="E259" s="6"/>
      <c r="F259" s="6">
        <v>26</v>
      </c>
      <c r="G259" s="7">
        <v>0.25</v>
      </c>
      <c r="I259" s="6"/>
      <c r="J259" s="6">
        <v>100</v>
      </c>
      <c r="K259" s="6"/>
      <c r="L259" s="6"/>
      <c r="M259" s="499"/>
      <c r="N259" s="499"/>
      <c r="O259" s="16"/>
      <c r="P259" s="16"/>
      <c r="Q259" s="16"/>
      <c r="R259" s="16"/>
      <c r="S259" s="16"/>
      <c r="T259" s="16"/>
      <c r="U259" s="16"/>
      <c r="V259" s="16"/>
      <c r="W259" s="16"/>
      <c r="X259" s="16"/>
      <c r="Y259" s="16"/>
      <c r="Z259" s="16"/>
      <c r="AA259" s="16"/>
    </row>
    <row r="260" spans="1:27" s="15" customFormat="1" ht="21" customHeight="1">
      <c r="A260" s="506" t="s">
        <v>842</v>
      </c>
      <c r="B260" s="6"/>
      <c r="C260" s="8" t="s">
        <v>246</v>
      </c>
      <c r="D260" s="6"/>
      <c r="E260" s="6"/>
      <c r="F260" s="6">
        <v>0</v>
      </c>
      <c r="G260" s="7">
        <v>0</v>
      </c>
      <c r="I260" s="6"/>
      <c r="J260" s="6">
        <v>50</v>
      </c>
      <c r="K260" s="6"/>
      <c r="L260" s="6"/>
      <c r="M260" s="499"/>
      <c r="N260" s="499"/>
      <c r="O260" s="16"/>
      <c r="P260" s="16"/>
      <c r="Q260" s="16"/>
      <c r="R260" s="16"/>
      <c r="S260" s="16"/>
      <c r="T260" s="16"/>
      <c r="U260" s="16"/>
      <c r="V260" s="16"/>
      <c r="W260" s="16"/>
      <c r="X260" s="16"/>
      <c r="Y260" s="16"/>
      <c r="Z260" s="16"/>
      <c r="AA260" s="16"/>
    </row>
    <row r="261" spans="1:27" s="15" customFormat="1" ht="21" customHeight="1">
      <c r="A261" s="506" t="s">
        <v>843</v>
      </c>
      <c r="B261" s="6"/>
      <c r="C261" s="8" t="s">
        <v>247</v>
      </c>
      <c r="D261" s="6"/>
      <c r="E261" s="6"/>
      <c r="F261" s="6">
        <v>0</v>
      </c>
      <c r="G261" s="7">
        <v>0</v>
      </c>
      <c r="I261" s="6"/>
      <c r="J261" s="6">
        <v>100</v>
      </c>
      <c r="K261" s="6"/>
      <c r="L261" s="6"/>
      <c r="M261" s="499"/>
      <c r="N261" s="499"/>
      <c r="O261" s="16"/>
      <c r="P261" s="16"/>
      <c r="Q261" s="16"/>
      <c r="R261" s="16"/>
      <c r="S261" s="16"/>
      <c r="T261" s="16"/>
      <c r="U261" s="16"/>
      <c r="V261" s="16"/>
      <c r="W261" s="16"/>
      <c r="X261" s="16"/>
      <c r="Y261" s="16"/>
      <c r="Z261" s="16"/>
      <c r="AA261" s="16"/>
    </row>
    <row r="262" spans="1:27" s="15" customFormat="1" ht="21" customHeight="1">
      <c r="A262" s="20"/>
      <c r="B262" s="6"/>
      <c r="C262" s="8"/>
      <c r="D262" s="6"/>
      <c r="E262" s="6"/>
      <c r="F262" s="6"/>
      <c r="G262" s="7"/>
      <c r="I262" s="6"/>
      <c r="J262" s="6"/>
      <c r="K262" s="6"/>
      <c r="L262" s="6"/>
      <c r="M262" s="499"/>
      <c r="N262" s="499"/>
      <c r="O262" s="16"/>
      <c r="P262" s="16"/>
      <c r="Q262" s="16"/>
      <c r="R262" s="16"/>
      <c r="S262" s="16"/>
      <c r="T262" s="16"/>
      <c r="U262" s="16"/>
      <c r="V262" s="16"/>
      <c r="W262" s="16"/>
      <c r="X262" s="16"/>
      <c r="Y262" s="16"/>
      <c r="Z262" s="16"/>
      <c r="AA262" s="16"/>
    </row>
    <row r="263" spans="1:27" s="15" customFormat="1" ht="21" customHeight="1">
      <c r="A263" s="501" t="s">
        <v>1032</v>
      </c>
      <c r="B263" s="502" t="s">
        <v>150</v>
      </c>
      <c r="C263" s="507" t="s">
        <v>195</v>
      </c>
      <c r="D263" s="502" t="s">
        <v>709</v>
      </c>
      <c r="E263" s="502" t="s">
        <v>710</v>
      </c>
      <c r="F263" s="502">
        <v>96</v>
      </c>
      <c r="G263" s="504">
        <v>0.79</v>
      </c>
      <c r="H263" s="505" t="s">
        <v>280</v>
      </c>
      <c r="I263" s="502">
        <v>12</v>
      </c>
      <c r="J263" s="502">
        <v>251</v>
      </c>
      <c r="K263" s="502">
        <v>4</v>
      </c>
      <c r="L263" s="502">
        <v>0</v>
      </c>
      <c r="M263" s="507">
        <v>3</v>
      </c>
      <c r="N263" s="507" t="s">
        <v>708</v>
      </c>
      <c r="O263" s="16"/>
      <c r="P263" s="16"/>
      <c r="Q263" s="16"/>
      <c r="R263" s="16"/>
      <c r="S263" s="16"/>
      <c r="T263" s="16"/>
      <c r="U263" s="16"/>
      <c r="V263" s="16"/>
      <c r="W263" s="16"/>
      <c r="X263" s="16"/>
      <c r="Y263" s="16"/>
      <c r="Z263" s="16"/>
      <c r="AA263" s="16"/>
    </row>
    <row r="264" spans="1:27" s="15" customFormat="1" ht="21" customHeight="1">
      <c r="A264" s="506" t="s">
        <v>844</v>
      </c>
      <c r="B264" s="6"/>
      <c r="C264" s="8" t="s">
        <v>559</v>
      </c>
      <c r="D264" s="6"/>
      <c r="E264" s="6"/>
      <c r="F264" s="6">
        <v>0</v>
      </c>
      <c r="G264" s="7">
        <v>0</v>
      </c>
      <c r="I264" s="6"/>
      <c r="J264" s="6">
        <v>151</v>
      </c>
      <c r="K264" s="6"/>
      <c r="L264" s="6"/>
      <c r="M264" s="499"/>
      <c r="N264" s="499"/>
      <c r="O264" s="16"/>
      <c r="P264" s="16"/>
      <c r="Q264" s="16"/>
      <c r="R264" s="16"/>
      <c r="S264" s="16"/>
      <c r="T264" s="16"/>
      <c r="U264" s="16"/>
      <c r="V264" s="16"/>
      <c r="W264" s="16"/>
      <c r="X264" s="16"/>
      <c r="Y264" s="16"/>
      <c r="Z264" s="16"/>
      <c r="AA264" s="16"/>
    </row>
    <row r="265" spans="1:27" s="15" customFormat="1" ht="21" customHeight="1">
      <c r="A265" s="506" t="s">
        <v>845</v>
      </c>
      <c r="B265" s="6"/>
      <c r="C265" s="8" t="s">
        <v>247</v>
      </c>
      <c r="D265" s="6"/>
      <c r="E265" s="6"/>
      <c r="F265" s="6">
        <v>95</v>
      </c>
      <c r="G265" s="7">
        <v>0.79</v>
      </c>
      <c r="I265" s="6"/>
      <c r="J265" s="6">
        <v>100</v>
      </c>
      <c r="K265" s="6"/>
      <c r="L265" s="6"/>
      <c r="M265" s="499"/>
      <c r="N265" s="499"/>
      <c r="O265" s="16"/>
      <c r="P265" s="16"/>
      <c r="Q265" s="16"/>
      <c r="R265" s="16"/>
      <c r="S265" s="16"/>
      <c r="T265" s="16"/>
      <c r="U265" s="16"/>
      <c r="V265" s="16"/>
      <c r="W265" s="16"/>
      <c r="X265" s="16"/>
      <c r="Y265" s="16"/>
      <c r="Z265" s="16"/>
      <c r="AA265" s="16"/>
    </row>
    <row r="266" spans="1:27" s="15" customFormat="1" ht="21" customHeight="1">
      <c r="A266" s="20"/>
      <c r="B266" s="6"/>
      <c r="C266" s="8"/>
      <c r="D266" s="6"/>
      <c r="E266" s="6"/>
      <c r="F266" s="6"/>
      <c r="G266" s="7"/>
      <c r="I266" s="6"/>
      <c r="J266" s="6"/>
      <c r="K266" s="6"/>
      <c r="L266" s="6"/>
      <c r="M266" s="499"/>
      <c r="N266" s="499"/>
      <c r="O266" s="16"/>
      <c r="P266" s="16"/>
      <c r="Q266" s="16"/>
      <c r="R266" s="16"/>
      <c r="S266" s="16"/>
      <c r="T266" s="16"/>
      <c r="U266" s="16"/>
      <c r="V266" s="16"/>
      <c r="W266" s="16"/>
      <c r="X266" s="16"/>
      <c r="Y266" s="16"/>
      <c r="Z266" s="16"/>
      <c r="AA266" s="16"/>
    </row>
    <row r="267" spans="1:27" s="15" customFormat="1" ht="21" customHeight="1">
      <c r="A267" s="501" t="s">
        <v>1033</v>
      </c>
      <c r="B267" s="502" t="s">
        <v>150</v>
      </c>
      <c r="C267" s="507" t="s">
        <v>195</v>
      </c>
      <c r="D267" s="502" t="s">
        <v>709</v>
      </c>
      <c r="E267" s="502" t="s">
        <v>710</v>
      </c>
      <c r="F267" s="502">
        <v>50</v>
      </c>
      <c r="G267" s="504">
        <v>0.77</v>
      </c>
      <c r="H267" s="505" t="s">
        <v>342</v>
      </c>
      <c r="I267" s="502">
        <v>6</v>
      </c>
      <c r="J267" s="502">
        <v>7268</v>
      </c>
      <c r="K267" s="502">
        <v>16</v>
      </c>
      <c r="L267" s="502">
        <v>0</v>
      </c>
      <c r="M267" s="507">
        <v>1</v>
      </c>
      <c r="N267" s="507" t="s">
        <v>708</v>
      </c>
      <c r="O267" s="16"/>
      <c r="P267" s="16"/>
      <c r="Q267" s="16"/>
      <c r="R267" s="16"/>
      <c r="S267" s="16"/>
      <c r="T267" s="16"/>
      <c r="U267" s="16"/>
      <c r="V267" s="16"/>
      <c r="W267" s="16"/>
      <c r="X267" s="16"/>
      <c r="Y267" s="16"/>
      <c r="Z267" s="16"/>
      <c r="AA267" s="16"/>
    </row>
    <row r="268" spans="1:27" s="15" customFormat="1" ht="21" customHeight="1">
      <c r="A268" s="506" t="s">
        <v>846</v>
      </c>
      <c r="B268" s="6"/>
      <c r="C268" s="8" t="s">
        <v>247</v>
      </c>
      <c r="D268" s="6"/>
      <c r="E268" s="6"/>
      <c r="F268" s="6">
        <v>45</v>
      </c>
      <c r="G268" s="7">
        <v>0.77</v>
      </c>
      <c r="I268" s="6"/>
      <c r="J268" s="6">
        <v>100</v>
      </c>
      <c r="K268" s="6"/>
      <c r="L268" s="6"/>
      <c r="M268" s="499"/>
      <c r="N268" s="499"/>
      <c r="O268" s="16"/>
      <c r="P268" s="16"/>
      <c r="Q268" s="16"/>
      <c r="R268" s="16"/>
      <c r="S268" s="16"/>
      <c r="T268" s="16"/>
      <c r="U268" s="16"/>
      <c r="V268" s="16"/>
      <c r="W268" s="16"/>
      <c r="X268" s="16"/>
      <c r="Y268" s="16"/>
      <c r="Z268" s="16"/>
      <c r="AA268" s="16"/>
    </row>
    <row r="269" spans="1:27" s="15" customFormat="1" ht="21" customHeight="1">
      <c r="A269" s="506" t="s">
        <v>847</v>
      </c>
      <c r="B269" s="6"/>
      <c r="C269" s="8" t="s">
        <v>249</v>
      </c>
      <c r="D269" s="6"/>
      <c r="E269" s="6"/>
      <c r="F269" s="6">
        <v>8</v>
      </c>
      <c r="G269" s="7">
        <v>0.05</v>
      </c>
      <c r="I269" s="6"/>
      <c r="J269" s="6">
        <v>1024</v>
      </c>
      <c r="K269" s="6"/>
      <c r="L269" s="6"/>
      <c r="M269" s="499"/>
      <c r="N269" s="499"/>
      <c r="O269" s="16"/>
      <c r="P269" s="16"/>
      <c r="Q269" s="16"/>
      <c r="R269" s="16"/>
      <c r="S269" s="16"/>
      <c r="T269" s="16"/>
      <c r="U269" s="16"/>
      <c r="V269" s="16"/>
      <c r="W269" s="16"/>
      <c r="X269" s="16"/>
      <c r="Y269" s="16"/>
      <c r="Z269" s="16"/>
      <c r="AA269" s="16"/>
    </row>
    <row r="270" spans="1:27" s="15" customFormat="1" ht="21" customHeight="1">
      <c r="A270" s="506" t="s">
        <v>848</v>
      </c>
      <c r="B270" s="6"/>
      <c r="C270" s="8" t="s">
        <v>249</v>
      </c>
      <c r="D270" s="6"/>
      <c r="E270" s="6"/>
      <c r="F270" s="6">
        <v>0</v>
      </c>
      <c r="G270" s="7">
        <v>0</v>
      </c>
      <c r="I270" s="6"/>
      <c r="J270" s="6">
        <v>1024</v>
      </c>
      <c r="K270" s="6"/>
      <c r="L270" s="6"/>
      <c r="M270" s="499"/>
      <c r="N270" s="499"/>
      <c r="O270" s="16"/>
      <c r="P270" s="16"/>
      <c r="Q270" s="16"/>
      <c r="R270" s="16"/>
      <c r="S270" s="16"/>
      <c r="T270" s="16"/>
      <c r="U270" s="16"/>
      <c r="V270" s="16"/>
      <c r="W270" s="16"/>
      <c r="X270" s="16"/>
      <c r="Y270" s="16"/>
      <c r="Z270" s="16"/>
      <c r="AA270" s="16"/>
    </row>
    <row r="271" spans="1:27" s="15" customFormat="1" ht="21" customHeight="1">
      <c r="A271" s="506" t="s">
        <v>849</v>
      </c>
      <c r="B271" s="6"/>
      <c r="C271" s="8" t="s">
        <v>259</v>
      </c>
      <c r="D271" s="6"/>
      <c r="E271" s="6"/>
      <c r="F271" s="6">
        <v>6</v>
      </c>
      <c r="G271" s="7">
        <v>0.01</v>
      </c>
      <c r="I271" s="6"/>
      <c r="J271" s="6">
        <v>2048</v>
      </c>
      <c r="K271" s="6"/>
      <c r="L271" s="6"/>
      <c r="M271" s="499"/>
      <c r="N271" s="499"/>
      <c r="O271" s="16"/>
      <c r="P271" s="16"/>
      <c r="Q271" s="16"/>
      <c r="R271" s="16"/>
      <c r="S271" s="16"/>
      <c r="T271" s="16"/>
      <c r="U271" s="16"/>
      <c r="V271" s="16"/>
      <c r="W271" s="16"/>
      <c r="X271" s="16"/>
      <c r="Y271" s="16"/>
      <c r="Z271" s="16"/>
      <c r="AA271" s="16"/>
    </row>
    <row r="272" spans="1:27" s="15" customFormat="1" ht="21" customHeight="1">
      <c r="A272" s="506" t="s">
        <v>850</v>
      </c>
      <c r="B272" s="6"/>
      <c r="C272" s="8" t="s">
        <v>259</v>
      </c>
      <c r="D272" s="6"/>
      <c r="E272" s="6"/>
      <c r="F272" s="6">
        <v>0</v>
      </c>
      <c r="G272" s="7">
        <v>0</v>
      </c>
      <c r="I272" s="6"/>
      <c r="J272" s="6">
        <v>2048</v>
      </c>
      <c r="K272" s="6"/>
      <c r="L272" s="6"/>
      <c r="M272" s="499"/>
      <c r="N272" s="499"/>
      <c r="O272" s="16"/>
      <c r="P272" s="16"/>
      <c r="Q272" s="16"/>
      <c r="R272" s="16"/>
      <c r="S272" s="16"/>
      <c r="T272" s="16"/>
      <c r="U272" s="16"/>
      <c r="V272" s="16"/>
      <c r="W272" s="16"/>
      <c r="X272" s="16"/>
      <c r="Y272" s="16"/>
      <c r="Z272" s="16"/>
      <c r="AA272" s="16"/>
    </row>
    <row r="273" spans="1:27" s="15" customFormat="1" ht="21" customHeight="1">
      <c r="A273" s="506" t="s">
        <v>851</v>
      </c>
      <c r="B273" s="6"/>
      <c r="C273" s="8" t="s">
        <v>249</v>
      </c>
      <c r="D273" s="6"/>
      <c r="E273" s="6"/>
      <c r="F273" s="6">
        <v>0</v>
      </c>
      <c r="G273" s="7">
        <v>0</v>
      </c>
      <c r="I273" s="6"/>
      <c r="J273" s="6">
        <v>1024</v>
      </c>
      <c r="K273" s="6"/>
      <c r="L273" s="6"/>
      <c r="M273" s="499"/>
      <c r="N273" s="499"/>
      <c r="O273" s="16"/>
      <c r="P273" s="16"/>
      <c r="Q273" s="16"/>
      <c r="R273" s="16"/>
      <c r="S273" s="16"/>
      <c r="T273" s="16"/>
      <c r="U273" s="16"/>
      <c r="V273" s="16"/>
      <c r="W273" s="16"/>
      <c r="X273" s="16"/>
      <c r="Y273" s="16"/>
      <c r="Z273" s="16"/>
      <c r="AA273" s="16"/>
    </row>
    <row r="274" spans="1:27" s="15" customFormat="1" ht="21" customHeight="1">
      <c r="A274" s="20"/>
      <c r="B274" s="6"/>
      <c r="C274" s="8"/>
      <c r="D274" s="6"/>
      <c r="E274" s="6"/>
      <c r="F274" s="6"/>
      <c r="G274" s="7"/>
      <c r="I274" s="6"/>
      <c r="J274" s="6"/>
      <c r="K274" s="6"/>
      <c r="L274" s="6"/>
      <c r="M274" s="499"/>
      <c r="N274" s="499"/>
      <c r="O274" s="16"/>
      <c r="P274" s="16"/>
      <c r="Q274" s="16"/>
      <c r="R274" s="16"/>
      <c r="S274" s="16"/>
      <c r="T274" s="16"/>
      <c r="U274" s="16"/>
      <c r="V274" s="16"/>
      <c r="W274" s="16"/>
      <c r="X274" s="16"/>
      <c r="Y274" s="16"/>
      <c r="Z274" s="16"/>
      <c r="AA274" s="16"/>
    </row>
    <row r="275" spans="1:27" s="15" customFormat="1" ht="21" customHeight="1">
      <c r="A275" s="501" t="s">
        <v>1034</v>
      </c>
      <c r="B275" s="502" t="s">
        <v>150</v>
      </c>
      <c r="C275" s="507" t="s">
        <v>195</v>
      </c>
      <c r="D275" s="502" t="s">
        <v>709</v>
      </c>
      <c r="E275" s="502" t="s">
        <v>710</v>
      </c>
      <c r="F275" s="502">
        <v>77</v>
      </c>
      <c r="G275" s="504">
        <v>0.67</v>
      </c>
      <c r="H275" s="505" t="s">
        <v>280</v>
      </c>
      <c r="I275" s="502">
        <v>13</v>
      </c>
      <c r="J275" s="502">
        <v>271</v>
      </c>
      <c r="K275" s="502">
        <v>4</v>
      </c>
      <c r="L275" s="502">
        <v>0</v>
      </c>
      <c r="M275" s="507">
        <v>3</v>
      </c>
      <c r="N275" s="507" t="s">
        <v>708</v>
      </c>
      <c r="O275" s="16"/>
      <c r="P275" s="16"/>
      <c r="Q275" s="16"/>
      <c r="R275" s="16"/>
      <c r="S275" s="16"/>
      <c r="T275" s="16"/>
      <c r="U275" s="16"/>
      <c r="V275" s="16"/>
      <c r="W275" s="16"/>
      <c r="X275" s="16"/>
      <c r="Y275" s="16"/>
      <c r="Z275" s="16"/>
      <c r="AA275" s="16"/>
    </row>
    <row r="276" spans="1:27" s="15" customFormat="1" ht="21" customHeight="1">
      <c r="A276" s="506" t="s">
        <v>852</v>
      </c>
      <c r="B276" s="6"/>
      <c r="C276" s="8" t="s">
        <v>559</v>
      </c>
      <c r="D276" s="6"/>
      <c r="E276" s="6"/>
      <c r="F276" s="6">
        <v>0</v>
      </c>
      <c r="G276" s="7">
        <v>0</v>
      </c>
      <c r="I276" s="6"/>
      <c r="J276" s="6">
        <v>151</v>
      </c>
      <c r="K276" s="6"/>
      <c r="L276" s="6"/>
      <c r="M276" s="499"/>
      <c r="N276" s="499"/>
      <c r="O276" s="16"/>
      <c r="P276" s="16"/>
      <c r="Q276" s="16"/>
      <c r="R276" s="16"/>
      <c r="S276" s="16"/>
      <c r="T276" s="16"/>
      <c r="U276" s="16"/>
      <c r="V276" s="16"/>
      <c r="W276" s="16"/>
      <c r="X276" s="16"/>
      <c r="Y276" s="16"/>
      <c r="Z276" s="16"/>
      <c r="AA276" s="16"/>
    </row>
    <row r="277" spans="1:27" s="15" customFormat="1" ht="21" customHeight="1">
      <c r="A277" s="506" t="s">
        <v>853</v>
      </c>
      <c r="B277" s="6"/>
      <c r="C277" s="8" t="s">
        <v>245</v>
      </c>
      <c r="D277" s="6"/>
      <c r="E277" s="6"/>
      <c r="F277" s="6">
        <v>0</v>
      </c>
      <c r="G277" s="7">
        <v>0</v>
      </c>
      <c r="I277" s="6"/>
      <c r="J277" s="6">
        <v>20</v>
      </c>
      <c r="K277" s="6"/>
      <c r="L277" s="6"/>
      <c r="M277" s="499"/>
      <c r="N277" s="499"/>
      <c r="O277" s="16"/>
      <c r="P277" s="16"/>
      <c r="Q277" s="16"/>
      <c r="R277" s="16"/>
      <c r="S277" s="16"/>
      <c r="T277" s="16"/>
      <c r="U277" s="16"/>
      <c r="V277" s="16"/>
      <c r="W277" s="16"/>
      <c r="X277" s="16"/>
      <c r="Y277" s="16"/>
      <c r="Z277" s="16"/>
      <c r="AA277" s="16"/>
    </row>
    <row r="278" spans="1:27" s="15" customFormat="1" ht="21" customHeight="1">
      <c r="A278" s="506" t="s">
        <v>854</v>
      </c>
      <c r="B278" s="6"/>
      <c r="C278" s="8" t="s">
        <v>247</v>
      </c>
      <c r="D278" s="6"/>
      <c r="E278" s="6"/>
      <c r="F278" s="6">
        <v>77</v>
      </c>
      <c r="G278" s="7">
        <v>0.67</v>
      </c>
      <c r="I278" s="6"/>
      <c r="J278" s="6">
        <v>100</v>
      </c>
      <c r="K278" s="6"/>
      <c r="L278" s="6"/>
      <c r="M278" s="499"/>
      <c r="N278" s="499"/>
      <c r="O278" s="16"/>
      <c r="P278" s="16"/>
      <c r="Q278" s="16"/>
      <c r="R278" s="16"/>
      <c r="S278" s="16"/>
      <c r="T278" s="16"/>
      <c r="U278" s="16"/>
      <c r="V278" s="16"/>
      <c r="W278" s="16"/>
      <c r="X278" s="16"/>
      <c r="Y278" s="16"/>
      <c r="Z278" s="16"/>
      <c r="AA278" s="16"/>
    </row>
    <row r="279" spans="1:27" s="15" customFormat="1" ht="21" customHeight="1">
      <c r="A279" s="20"/>
      <c r="B279" s="6"/>
      <c r="C279" s="8"/>
      <c r="D279" s="6"/>
      <c r="E279" s="6"/>
      <c r="F279" s="6"/>
      <c r="G279" s="7"/>
      <c r="I279" s="6"/>
      <c r="J279" s="6"/>
      <c r="K279" s="6"/>
      <c r="L279" s="6"/>
      <c r="M279" s="499"/>
      <c r="N279" s="499"/>
      <c r="O279" s="16"/>
      <c r="P279" s="16"/>
      <c r="Q279" s="16"/>
      <c r="R279" s="16"/>
      <c r="S279" s="16"/>
      <c r="T279" s="16"/>
      <c r="U279" s="16"/>
      <c r="V279" s="16"/>
      <c r="W279" s="16"/>
      <c r="X279" s="16"/>
      <c r="Y279" s="16"/>
      <c r="Z279" s="16"/>
      <c r="AA279" s="16"/>
    </row>
    <row r="280" spans="1:27" s="15" customFormat="1" ht="21" customHeight="1">
      <c r="A280" s="501" t="s">
        <v>1035</v>
      </c>
      <c r="B280" s="502" t="s">
        <v>713</v>
      </c>
      <c r="C280" s="503" t="s">
        <v>3</v>
      </c>
      <c r="D280" s="502" t="s">
        <v>706</v>
      </c>
      <c r="E280" s="502" t="s">
        <v>707</v>
      </c>
      <c r="F280" s="502">
        <v>2019</v>
      </c>
      <c r="G280" s="504">
        <v>8.18</v>
      </c>
      <c r="H280" s="505" t="s">
        <v>350</v>
      </c>
      <c r="I280" s="502">
        <v>2</v>
      </c>
      <c r="J280" s="502">
        <v>150</v>
      </c>
      <c r="K280" s="502">
        <v>4</v>
      </c>
      <c r="L280" s="502">
        <v>0</v>
      </c>
      <c r="M280" s="507">
        <v>1</v>
      </c>
      <c r="N280" s="507" t="s">
        <v>708</v>
      </c>
      <c r="O280" s="16"/>
      <c r="P280" s="16"/>
      <c r="Q280" s="16"/>
      <c r="R280" s="16"/>
      <c r="S280" s="16"/>
      <c r="T280" s="16"/>
      <c r="U280" s="16"/>
      <c r="V280" s="16"/>
      <c r="W280" s="16"/>
      <c r="X280" s="16"/>
      <c r="Y280" s="16"/>
      <c r="Z280" s="16"/>
      <c r="AA280" s="16"/>
    </row>
    <row r="281" spans="1:27" s="15" customFormat="1" ht="142.5">
      <c r="A281" s="506" t="s">
        <v>855</v>
      </c>
      <c r="B281" s="509" t="s">
        <v>715</v>
      </c>
      <c r="C281" s="8" t="s">
        <v>714</v>
      </c>
      <c r="D281" s="6"/>
      <c r="E281" s="6"/>
      <c r="F281" s="6">
        <v>2019</v>
      </c>
      <c r="G281" s="7">
        <v>8.18</v>
      </c>
      <c r="I281" s="6"/>
      <c r="J281" s="6">
        <v>100</v>
      </c>
      <c r="K281" s="6"/>
      <c r="L281" s="6"/>
      <c r="M281" s="499"/>
      <c r="N281" s="499"/>
      <c r="O281" s="16"/>
      <c r="P281" s="16"/>
      <c r="Q281" s="16"/>
      <c r="R281" s="16"/>
      <c r="S281" s="16"/>
      <c r="T281" s="16"/>
      <c r="U281" s="16"/>
      <c r="V281" s="16"/>
      <c r="W281" s="16"/>
      <c r="X281" s="16"/>
      <c r="Y281" s="16"/>
      <c r="Z281" s="16"/>
      <c r="AA281" s="16"/>
    </row>
    <row r="282" spans="1:27" s="15" customFormat="1" ht="21" customHeight="1">
      <c r="A282" s="506" t="s">
        <v>856</v>
      </c>
      <c r="B282" s="6"/>
      <c r="C282" s="8" t="s">
        <v>233</v>
      </c>
      <c r="D282" s="6"/>
      <c r="E282" s="6"/>
      <c r="F282" s="6">
        <v>6</v>
      </c>
      <c r="G282" s="7">
        <v>0.02</v>
      </c>
      <c r="I282" s="6"/>
      <c r="J282" s="6">
        <v>50</v>
      </c>
      <c r="K282" s="6"/>
      <c r="L282" s="6"/>
      <c r="M282" s="499"/>
      <c r="N282" s="499"/>
      <c r="O282" s="16"/>
      <c r="P282" s="16"/>
      <c r="Q282" s="16"/>
      <c r="R282" s="16"/>
      <c r="S282" s="16"/>
      <c r="T282" s="16"/>
      <c r="U282" s="16"/>
      <c r="V282" s="16"/>
      <c r="W282" s="16"/>
      <c r="X282" s="16"/>
      <c r="Y282" s="16"/>
      <c r="Z282" s="16"/>
      <c r="AA282" s="16"/>
    </row>
    <row r="283" spans="1:27" s="15" customFormat="1" ht="21" customHeight="1">
      <c r="A283" s="20"/>
      <c r="B283" s="6"/>
      <c r="C283" s="8"/>
      <c r="D283" s="6"/>
      <c r="E283" s="6"/>
      <c r="F283" s="6"/>
      <c r="G283" s="7"/>
      <c r="I283" s="6"/>
      <c r="J283" s="6"/>
      <c r="K283" s="6"/>
      <c r="L283" s="6"/>
      <c r="M283" s="499"/>
      <c r="N283" s="499"/>
      <c r="O283" s="16"/>
      <c r="P283" s="16"/>
      <c r="Q283" s="16"/>
      <c r="R283" s="16"/>
      <c r="S283" s="16"/>
      <c r="T283" s="16"/>
      <c r="U283" s="16"/>
      <c r="V283" s="16"/>
      <c r="W283" s="16"/>
      <c r="X283" s="16"/>
      <c r="Y283" s="16"/>
      <c r="Z283" s="16"/>
      <c r="AA283" s="16"/>
    </row>
    <row r="284" spans="1:27" s="15" customFormat="1" ht="21" customHeight="1">
      <c r="A284" s="501" t="s">
        <v>1036</v>
      </c>
      <c r="B284" s="502" t="s">
        <v>150</v>
      </c>
      <c r="C284" s="507" t="s">
        <v>195</v>
      </c>
      <c r="D284" s="502" t="s">
        <v>709</v>
      </c>
      <c r="E284" s="502" t="s">
        <v>710</v>
      </c>
      <c r="F284" s="502">
        <v>36</v>
      </c>
      <c r="G284" s="504">
        <v>0.32</v>
      </c>
      <c r="H284" s="505" t="s">
        <v>280</v>
      </c>
      <c r="I284" s="502">
        <v>6</v>
      </c>
      <c r="J284" s="502">
        <v>900</v>
      </c>
      <c r="K284" s="502">
        <v>8</v>
      </c>
      <c r="L284" s="502">
        <v>0</v>
      </c>
      <c r="M284" s="507">
        <v>2</v>
      </c>
      <c r="N284" s="507" t="s">
        <v>708</v>
      </c>
      <c r="O284" s="16"/>
      <c r="P284" s="16"/>
      <c r="Q284" s="16"/>
      <c r="R284" s="16"/>
      <c r="S284" s="16"/>
      <c r="T284" s="16"/>
      <c r="U284" s="16"/>
      <c r="V284" s="16"/>
      <c r="W284" s="16"/>
      <c r="X284" s="16"/>
      <c r="Y284" s="16"/>
      <c r="Z284" s="16"/>
      <c r="AA284" s="16"/>
    </row>
    <row r="285" spans="1:27" s="15" customFormat="1" ht="21" customHeight="1">
      <c r="A285" s="506" t="s">
        <v>857</v>
      </c>
      <c r="B285" s="6"/>
      <c r="C285" s="8" t="s">
        <v>247</v>
      </c>
      <c r="D285" s="6"/>
      <c r="E285" s="6"/>
      <c r="F285" s="6">
        <v>33</v>
      </c>
      <c r="G285" s="7">
        <v>0.32</v>
      </c>
      <c r="I285" s="6"/>
      <c r="J285" s="6">
        <v>100</v>
      </c>
      <c r="K285" s="6"/>
      <c r="L285" s="6"/>
      <c r="M285" s="499"/>
      <c r="N285" s="499"/>
      <c r="O285" s="16"/>
      <c r="P285" s="16"/>
      <c r="Q285" s="16"/>
      <c r="R285" s="16"/>
      <c r="S285" s="16"/>
      <c r="T285" s="16"/>
      <c r="U285" s="16"/>
      <c r="V285" s="16"/>
      <c r="W285" s="16"/>
      <c r="X285" s="16"/>
      <c r="Y285" s="16"/>
      <c r="Z285" s="16"/>
      <c r="AA285" s="16"/>
    </row>
    <row r="286" spans="1:27" s="15" customFormat="1" ht="21" customHeight="1">
      <c r="A286" s="506" t="s">
        <v>858</v>
      </c>
      <c r="B286" s="6"/>
      <c r="C286" s="8" t="s">
        <v>246</v>
      </c>
      <c r="D286" s="6"/>
      <c r="E286" s="6"/>
      <c r="F286" s="6">
        <v>0</v>
      </c>
      <c r="G286" s="7">
        <v>0</v>
      </c>
      <c r="I286" s="6"/>
      <c r="J286" s="6">
        <v>50</v>
      </c>
      <c r="K286" s="6"/>
      <c r="L286" s="6"/>
      <c r="M286" s="499"/>
      <c r="N286" s="499"/>
      <c r="O286" s="16"/>
      <c r="P286" s="16"/>
      <c r="Q286" s="16"/>
      <c r="R286" s="16"/>
      <c r="S286" s="16"/>
      <c r="T286" s="16"/>
      <c r="U286" s="16"/>
      <c r="V286" s="16"/>
      <c r="W286" s="16"/>
      <c r="X286" s="16"/>
      <c r="Y286" s="16"/>
      <c r="Z286" s="16"/>
      <c r="AA286" s="16"/>
    </row>
    <row r="287" spans="1:27" s="15" customFormat="1" ht="21" customHeight="1">
      <c r="A287" s="506" t="s">
        <v>859</v>
      </c>
      <c r="B287" s="6"/>
      <c r="C287" s="8" t="s">
        <v>559</v>
      </c>
      <c r="D287" s="6"/>
      <c r="E287" s="6"/>
      <c r="F287" s="6">
        <v>0</v>
      </c>
      <c r="G287" s="7">
        <v>0</v>
      </c>
      <c r="I287" s="6"/>
      <c r="J287" s="6">
        <v>200</v>
      </c>
      <c r="K287" s="6"/>
      <c r="L287" s="6"/>
      <c r="M287" s="499"/>
      <c r="N287" s="499"/>
      <c r="O287" s="16"/>
      <c r="P287" s="16"/>
      <c r="Q287" s="16"/>
      <c r="R287" s="16"/>
      <c r="S287" s="16"/>
      <c r="T287" s="16"/>
      <c r="U287" s="16"/>
      <c r="V287" s="16"/>
      <c r="W287" s="16"/>
      <c r="X287" s="16"/>
      <c r="Y287" s="16"/>
      <c r="Z287" s="16"/>
      <c r="AA287" s="16"/>
    </row>
    <row r="288" spans="1:27" s="15" customFormat="1" ht="21" customHeight="1">
      <c r="A288" s="506" t="s">
        <v>860</v>
      </c>
      <c r="B288" s="6"/>
      <c r="C288" s="8" t="s">
        <v>559</v>
      </c>
      <c r="D288" s="6"/>
      <c r="E288" s="6"/>
      <c r="F288" s="6">
        <v>0</v>
      </c>
      <c r="G288" s="7">
        <v>0</v>
      </c>
      <c r="I288" s="6"/>
      <c r="J288" s="6">
        <v>250</v>
      </c>
      <c r="K288" s="6"/>
      <c r="L288" s="6"/>
      <c r="M288" s="499"/>
      <c r="N288" s="499"/>
      <c r="O288" s="16"/>
      <c r="P288" s="16"/>
      <c r="Q288" s="16"/>
      <c r="R288" s="16"/>
      <c r="S288" s="16"/>
      <c r="T288" s="16"/>
      <c r="U288" s="16"/>
      <c r="V288" s="16"/>
      <c r="W288" s="16"/>
      <c r="X288" s="16"/>
      <c r="Y288" s="16"/>
      <c r="Z288" s="16"/>
      <c r="AA288" s="16"/>
    </row>
    <row r="289" spans="1:27" s="15" customFormat="1" ht="21" customHeight="1">
      <c r="A289" s="506" t="s">
        <v>861</v>
      </c>
      <c r="B289" s="6"/>
      <c r="C289" s="8" t="s">
        <v>559</v>
      </c>
      <c r="D289" s="6"/>
      <c r="E289" s="6"/>
      <c r="F289" s="6">
        <v>0</v>
      </c>
      <c r="G289" s="7">
        <v>0</v>
      </c>
      <c r="I289" s="6"/>
      <c r="J289" s="6">
        <v>200</v>
      </c>
      <c r="K289" s="6"/>
      <c r="L289" s="6"/>
      <c r="M289" s="499"/>
      <c r="N289" s="499"/>
      <c r="O289" s="16"/>
      <c r="P289" s="16"/>
      <c r="Q289" s="16"/>
      <c r="R289" s="16"/>
      <c r="S289" s="16"/>
      <c r="T289" s="16"/>
      <c r="U289" s="16"/>
      <c r="V289" s="16"/>
      <c r="W289" s="16"/>
      <c r="X289" s="16"/>
      <c r="Y289" s="16"/>
      <c r="Z289" s="16"/>
      <c r="AA289" s="16"/>
    </row>
    <row r="290" spans="1:27" s="15" customFormat="1" ht="21" customHeight="1">
      <c r="A290" s="506" t="s">
        <v>862</v>
      </c>
      <c r="B290" s="6"/>
      <c r="C290" s="8" t="s">
        <v>247</v>
      </c>
      <c r="D290" s="6"/>
      <c r="E290" s="6"/>
      <c r="F290" s="6">
        <v>0</v>
      </c>
      <c r="G290" s="7">
        <v>0</v>
      </c>
      <c r="I290" s="6"/>
      <c r="J290" s="6">
        <v>100</v>
      </c>
      <c r="K290" s="6"/>
      <c r="L290" s="6"/>
      <c r="M290" s="499"/>
      <c r="N290" s="499"/>
      <c r="O290" s="16"/>
      <c r="P290" s="16"/>
      <c r="Q290" s="16"/>
      <c r="R290" s="16"/>
      <c r="S290" s="16"/>
      <c r="T290" s="16"/>
      <c r="U290" s="16"/>
      <c r="V290" s="16"/>
      <c r="W290" s="16"/>
      <c r="X290" s="16"/>
      <c r="Y290" s="16"/>
      <c r="Z290" s="16"/>
      <c r="AA290" s="16"/>
    </row>
    <row r="291" spans="1:27" s="15" customFormat="1" ht="21" customHeight="1">
      <c r="A291" s="20"/>
      <c r="B291" s="6"/>
      <c r="C291" s="8"/>
      <c r="D291" s="6"/>
      <c r="E291" s="6"/>
      <c r="F291" s="6"/>
      <c r="G291" s="7"/>
      <c r="I291" s="6"/>
      <c r="J291" s="6"/>
      <c r="K291" s="6"/>
      <c r="L291" s="6"/>
      <c r="M291" s="499"/>
      <c r="N291" s="499"/>
      <c r="O291" s="16"/>
      <c r="P291" s="16"/>
      <c r="Q291" s="16"/>
      <c r="R291" s="16"/>
      <c r="S291" s="16"/>
      <c r="T291" s="16"/>
      <c r="U291" s="16"/>
      <c r="V291" s="16"/>
      <c r="W291" s="16"/>
      <c r="X291" s="16"/>
      <c r="Y291" s="16"/>
      <c r="Z291" s="16"/>
      <c r="AA291" s="16"/>
    </row>
    <row r="292" spans="1:27" s="15" customFormat="1" ht="21" customHeight="1">
      <c r="A292" s="501" t="s">
        <v>1037</v>
      </c>
      <c r="B292" s="502" t="s">
        <v>150</v>
      </c>
      <c r="C292" s="507" t="s">
        <v>195</v>
      </c>
      <c r="D292" s="502" t="s">
        <v>709</v>
      </c>
      <c r="E292" s="502" t="s">
        <v>710</v>
      </c>
      <c r="F292" s="502">
        <v>34</v>
      </c>
      <c r="G292" s="504">
        <v>0.34</v>
      </c>
      <c r="H292" s="505" t="s">
        <v>342</v>
      </c>
      <c r="I292" s="502">
        <v>3</v>
      </c>
      <c r="J292" s="502">
        <v>250</v>
      </c>
      <c r="K292" s="502">
        <v>16</v>
      </c>
      <c r="L292" s="502">
        <v>0</v>
      </c>
      <c r="M292" s="507">
        <v>2</v>
      </c>
      <c r="N292" s="507" t="s">
        <v>708</v>
      </c>
      <c r="O292" s="16"/>
      <c r="P292" s="16"/>
      <c r="Q292" s="16"/>
      <c r="R292" s="16"/>
      <c r="S292" s="16"/>
      <c r="T292" s="16"/>
      <c r="U292" s="16"/>
      <c r="V292" s="16"/>
      <c r="W292" s="16"/>
      <c r="X292" s="16"/>
      <c r="Y292" s="16"/>
      <c r="Z292" s="16"/>
      <c r="AA292" s="16"/>
    </row>
    <row r="293" spans="1:27" s="15" customFormat="1" ht="21" customHeight="1">
      <c r="A293" s="506" t="s">
        <v>863</v>
      </c>
      <c r="B293" s="6"/>
      <c r="C293" s="8" t="s">
        <v>247</v>
      </c>
      <c r="D293" s="6"/>
      <c r="E293" s="6"/>
      <c r="F293" s="6">
        <v>32</v>
      </c>
      <c r="G293" s="7">
        <v>0.33</v>
      </c>
      <c r="I293" s="6"/>
      <c r="J293" s="6">
        <v>100</v>
      </c>
      <c r="K293" s="6"/>
      <c r="L293" s="6"/>
      <c r="M293" s="499"/>
      <c r="N293" s="499"/>
      <c r="O293" s="16"/>
      <c r="P293" s="16"/>
      <c r="Q293" s="16"/>
      <c r="R293" s="16"/>
      <c r="S293" s="16"/>
      <c r="T293" s="16"/>
      <c r="U293" s="16"/>
      <c r="V293" s="16"/>
      <c r="W293" s="16"/>
      <c r="X293" s="16"/>
      <c r="Y293" s="16"/>
      <c r="Z293" s="16"/>
      <c r="AA293" s="16"/>
    </row>
    <row r="294" spans="1:27" s="15" customFormat="1" ht="21" customHeight="1">
      <c r="A294" s="506" t="s">
        <v>864</v>
      </c>
      <c r="B294" s="6"/>
      <c r="C294" s="8" t="s">
        <v>246</v>
      </c>
      <c r="D294" s="6"/>
      <c r="E294" s="6"/>
      <c r="F294" s="6">
        <v>6</v>
      </c>
      <c r="G294" s="7">
        <v>0.05</v>
      </c>
      <c r="I294" s="6"/>
      <c r="J294" s="6">
        <v>50</v>
      </c>
      <c r="K294" s="6"/>
      <c r="L294" s="6"/>
      <c r="M294" s="499"/>
      <c r="N294" s="499"/>
      <c r="O294" s="16"/>
      <c r="P294" s="16"/>
      <c r="Q294" s="16"/>
      <c r="R294" s="16"/>
      <c r="S294" s="16"/>
      <c r="T294" s="16"/>
      <c r="U294" s="16"/>
      <c r="V294" s="16"/>
      <c r="W294" s="16"/>
      <c r="X294" s="16"/>
      <c r="Y294" s="16"/>
      <c r="Z294" s="16"/>
      <c r="AA294" s="16"/>
    </row>
    <row r="295" spans="1:27" s="15" customFormat="1" ht="21" customHeight="1">
      <c r="A295" s="506" t="s">
        <v>865</v>
      </c>
      <c r="B295" s="6"/>
      <c r="C295" s="8" t="s">
        <v>247</v>
      </c>
      <c r="D295" s="6"/>
      <c r="E295" s="6"/>
      <c r="F295" s="6">
        <v>0</v>
      </c>
      <c r="G295" s="7">
        <v>0</v>
      </c>
      <c r="I295" s="6"/>
      <c r="J295" s="6">
        <v>100</v>
      </c>
      <c r="K295" s="6"/>
      <c r="L295" s="6"/>
      <c r="M295" s="499"/>
      <c r="N295" s="499"/>
      <c r="O295" s="16"/>
      <c r="P295" s="16"/>
      <c r="Q295" s="16"/>
      <c r="R295" s="16"/>
      <c r="S295" s="16"/>
      <c r="T295" s="16"/>
      <c r="U295" s="16"/>
      <c r="V295" s="16"/>
      <c r="W295" s="16"/>
      <c r="X295" s="16"/>
      <c r="Y295" s="16"/>
      <c r="Z295" s="16"/>
      <c r="AA295" s="16"/>
    </row>
    <row r="296" spans="1:27" s="15" customFormat="1" ht="21" customHeight="1">
      <c r="A296" s="20"/>
      <c r="B296" s="6"/>
      <c r="C296" s="8"/>
      <c r="D296" s="6"/>
      <c r="E296" s="6"/>
      <c r="F296" s="6"/>
      <c r="G296" s="7"/>
      <c r="I296" s="6"/>
      <c r="J296" s="6"/>
      <c r="K296" s="6"/>
      <c r="L296" s="6"/>
      <c r="M296" s="499"/>
      <c r="N296" s="499"/>
      <c r="O296" s="16"/>
      <c r="P296" s="16"/>
      <c r="Q296" s="16"/>
      <c r="R296" s="16"/>
      <c r="S296" s="16"/>
      <c r="T296" s="16"/>
      <c r="U296" s="16"/>
      <c r="V296" s="16"/>
      <c r="W296" s="16"/>
      <c r="X296" s="16"/>
      <c r="Y296" s="16"/>
      <c r="Z296" s="16"/>
      <c r="AA296" s="16"/>
    </row>
    <row r="297" spans="1:27" s="15" customFormat="1" ht="21" customHeight="1">
      <c r="A297" s="501" t="s">
        <v>1038</v>
      </c>
      <c r="B297" s="502" t="s">
        <v>150</v>
      </c>
      <c r="C297" s="507" t="s">
        <v>195</v>
      </c>
      <c r="D297" s="502" t="s">
        <v>709</v>
      </c>
      <c r="E297" s="502" t="s">
        <v>710</v>
      </c>
      <c r="F297" s="502">
        <v>21</v>
      </c>
      <c r="G297" s="504">
        <v>0.38</v>
      </c>
      <c r="H297" s="505" t="s">
        <v>278</v>
      </c>
      <c r="I297" s="502">
        <v>7</v>
      </c>
      <c r="J297" s="502">
        <v>4494</v>
      </c>
      <c r="K297" s="502">
        <v>2</v>
      </c>
      <c r="L297" s="502">
        <v>0</v>
      </c>
      <c r="M297" s="507">
        <v>1</v>
      </c>
      <c r="N297" s="507" t="s">
        <v>708</v>
      </c>
      <c r="O297" s="16"/>
      <c r="P297" s="16"/>
      <c r="Q297" s="16"/>
      <c r="R297" s="16"/>
      <c r="S297" s="16"/>
      <c r="T297" s="16"/>
      <c r="U297" s="16"/>
      <c r="V297" s="16"/>
      <c r="W297" s="16"/>
      <c r="X297" s="16"/>
      <c r="Y297" s="16"/>
      <c r="Z297" s="16"/>
      <c r="AA297" s="16"/>
    </row>
    <row r="298" spans="1:27" s="15" customFormat="1" ht="21" customHeight="1">
      <c r="A298" s="506" t="s">
        <v>866</v>
      </c>
      <c r="B298" s="6"/>
      <c r="C298" s="8" t="s">
        <v>247</v>
      </c>
      <c r="D298" s="6"/>
      <c r="E298" s="6"/>
      <c r="F298" s="6">
        <v>21</v>
      </c>
      <c r="G298" s="7">
        <v>0.37</v>
      </c>
      <c r="I298" s="6"/>
      <c r="J298" s="6">
        <v>100</v>
      </c>
      <c r="K298" s="6"/>
      <c r="L298" s="6"/>
      <c r="M298" s="499"/>
      <c r="N298" s="499"/>
      <c r="O298" s="16"/>
      <c r="P298" s="16"/>
      <c r="Q298" s="16"/>
      <c r="R298" s="16"/>
      <c r="S298" s="16"/>
      <c r="T298" s="16"/>
      <c r="U298" s="16"/>
      <c r="V298" s="16"/>
      <c r="W298" s="16"/>
      <c r="X298" s="16"/>
      <c r="Y298" s="16"/>
      <c r="Z298" s="16"/>
      <c r="AA298" s="16"/>
    </row>
    <row r="299" spans="1:27" s="15" customFormat="1" ht="21" customHeight="1">
      <c r="A299" s="506" t="s">
        <v>867</v>
      </c>
      <c r="B299" s="6"/>
      <c r="C299" s="8" t="s">
        <v>247</v>
      </c>
      <c r="D299" s="6"/>
      <c r="E299" s="6"/>
      <c r="F299" s="6">
        <v>0</v>
      </c>
      <c r="G299" s="7">
        <v>0</v>
      </c>
      <c r="I299" s="6"/>
      <c r="J299" s="6">
        <v>70</v>
      </c>
      <c r="K299" s="6"/>
      <c r="L299" s="6"/>
      <c r="M299" s="499"/>
      <c r="N299" s="499"/>
      <c r="O299" s="16"/>
      <c r="P299" s="16"/>
      <c r="Q299" s="16"/>
      <c r="R299" s="16"/>
      <c r="S299" s="16"/>
      <c r="T299" s="16"/>
      <c r="U299" s="16"/>
      <c r="V299" s="16"/>
      <c r="W299" s="16"/>
      <c r="X299" s="16"/>
      <c r="Y299" s="16"/>
      <c r="Z299" s="16"/>
      <c r="AA299" s="16"/>
    </row>
    <row r="300" spans="1:27" s="15" customFormat="1" ht="21" customHeight="1">
      <c r="A300" s="506" t="s">
        <v>868</v>
      </c>
      <c r="B300" s="6"/>
      <c r="C300" s="8" t="s">
        <v>248</v>
      </c>
      <c r="D300" s="6"/>
      <c r="E300" s="6"/>
      <c r="F300" s="6">
        <v>0</v>
      </c>
      <c r="G300" s="7">
        <v>0</v>
      </c>
      <c r="I300" s="6"/>
      <c r="J300" s="6">
        <v>500</v>
      </c>
      <c r="K300" s="6"/>
      <c r="L300" s="6"/>
      <c r="M300" s="499"/>
      <c r="N300" s="499"/>
      <c r="O300" s="16"/>
      <c r="P300" s="16"/>
      <c r="Q300" s="16"/>
      <c r="R300" s="16"/>
      <c r="S300" s="16"/>
      <c r="T300" s="16"/>
      <c r="U300" s="16"/>
      <c r="V300" s="16"/>
      <c r="W300" s="16"/>
      <c r="X300" s="16"/>
      <c r="Y300" s="16"/>
      <c r="Z300" s="16"/>
      <c r="AA300" s="16"/>
    </row>
    <row r="301" spans="1:27" s="15" customFormat="1" ht="21" customHeight="1">
      <c r="A301" s="506" t="s">
        <v>869</v>
      </c>
      <c r="B301" s="6"/>
      <c r="C301" s="8" t="s">
        <v>247</v>
      </c>
      <c r="D301" s="6"/>
      <c r="E301" s="6"/>
      <c r="F301" s="6">
        <v>0</v>
      </c>
      <c r="G301" s="7">
        <v>0</v>
      </c>
      <c r="I301" s="6"/>
      <c r="J301" s="6">
        <v>70</v>
      </c>
      <c r="K301" s="6"/>
      <c r="L301" s="6"/>
      <c r="M301" s="499"/>
      <c r="N301" s="499"/>
      <c r="O301" s="16"/>
      <c r="P301" s="16"/>
      <c r="Q301" s="16"/>
      <c r="R301" s="16"/>
      <c r="S301" s="16"/>
      <c r="T301" s="16"/>
      <c r="U301" s="16"/>
      <c r="V301" s="16"/>
      <c r="W301" s="16"/>
      <c r="X301" s="16"/>
      <c r="Y301" s="16"/>
      <c r="Z301" s="16"/>
      <c r="AA301" s="16"/>
    </row>
    <row r="302" spans="1:27" s="15" customFormat="1" ht="21" customHeight="1">
      <c r="A302" s="506" t="s">
        <v>870</v>
      </c>
      <c r="B302" s="6"/>
      <c r="C302" s="8" t="s">
        <v>260</v>
      </c>
      <c r="D302" s="6"/>
      <c r="E302" s="6"/>
      <c r="F302" s="6">
        <v>0</v>
      </c>
      <c r="G302" s="7">
        <v>0</v>
      </c>
      <c r="I302" s="6"/>
      <c r="J302" s="6">
        <v>2502</v>
      </c>
      <c r="K302" s="6"/>
      <c r="L302" s="6"/>
      <c r="M302" s="499"/>
      <c r="N302" s="499"/>
      <c r="O302" s="16"/>
      <c r="P302" s="16"/>
      <c r="Q302" s="16"/>
      <c r="R302" s="16"/>
      <c r="S302" s="16"/>
      <c r="T302" s="16"/>
      <c r="U302" s="16"/>
      <c r="V302" s="16"/>
      <c r="W302" s="16"/>
      <c r="X302" s="16"/>
      <c r="Y302" s="16"/>
      <c r="Z302" s="16"/>
      <c r="AA302" s="16"/>
    </row>
    <row r="303" spans="1:27" s="15" customFormat="1" ht="21" customHeight="1">
      <c r="A303" s="506" t="s">
        <v>871</v>
      </c>
      <c r="B303" s="6"/>
      <c r="C303" s="8" t="s">
        <v>249</v>
      </c>
      <c r="D303" s="6"/>
      <c r="E303" s="6"/>
      <c r="F303" s="6">
        <v>0</v>
      </c>
      <c r="G303" s="7">
        <v>0</v>
      </c>
      <c r="I303" s="6"/>
      <c r="J303" s="6">
        <v>626</v>
      </c>
      <c r="K303" s="6"/>
      <c r="L303" s="6"/>
      <c r="M303" s="499"/>
      <c r="N303" s="499"/>
      <c r="O303" s="16"/>
      <c r="P303" s="16"/>
      <c r="Q303" s="16"/>
      <c r="R303" s="16"/>
      <c r="S303" s="16"/>
      <c r="T303" s="16"/>
      <c r="U303" s="16"/>
      <c r="V303" s="16"/>
      <c r="W303" s="16"/>
      <c r="X303" s="16"/>
      <c r="Y303" s="16"/>
      <c r="Z303" s="16"/>
      <c r="AA303" s="16"/>
    </row>
    <row r="304" spans="1:27" s="15" customFormat="1" ht="21" customHeight="1">
      <c r="A304" s="506" t="s">
        <v>872</v>
      </c>
      <c r="B304" s="6"/>
      <c r="C304" s="8" t="s">
        <v>249</v>
      </c>
      <c r="D304" s="6"/>
      <c r="E304" s="6"/>
      <c r="F304" s="6">
        <v>0</v>
      </c>
      <c r="G304" s="7">
        <v>0</v>
      </c>
      <c r="I304" s="6"/>
      <c r="J304" s="6">
        <v>626</v>
      </c>
      <c r="K304" s="6"/>
      <c r="L304" s="6"/>
      <c r="M304" s="499"/>
      <c r="N304" s="499"/>
      <c r="O304" s="16"/>
      <c r="P304" s="16"/>
      <c r="Q304" s="16"/>
      <c r="R304" s="16"/>
      <c r="S304" s="16"/>
      <c r="T304" s="16"/>
      <c r="U304" s="16"/>
      <c r="V304" s="16"/>
      <c r="W304" s="16"/>
      <c r="X304" s="16"/>
      <c r="Y304" s="16"/>
      <c r="Z304" s="16"/>
      <c r="AA304" s="16"/>
    </row>
    <row r="305" spans="1:27" s="15" customFormat="1" ht="21" customHeight="1">
      <c r="A305" s="20"/>
      <c r="B305" s="6"/>
      <c r="C305" s="8"/>
      <c r="D305" s="6"/>
      <c r="E305" s="6"/>
      <c r="F305" s="6"/>
      <c r="G305" s="7"/>
      <c r="I305" s="6"/>
      <c r="J305" s="6"/>
      <c r="K305" s="6"/>
      <c r="L305" s="6"/>
      <c r="M305" s="499"/>
      <c r="N305" s="499"/>
      <c r="O305" s="16"/>
      <c r="P305" s="16"/>
      <c r="Q305" s="16"/>
      <c r="R305" s="16"/>
      <c r="S305" s="16"/>
      <c r="T305" s="16"/>
      <c r="U305" s="16"/>
      <c r="V305" s="16"/>
      <c r="W305" s="16"/>
      <c r="X305" s="16"/>
      <c r="Y305" s="16"/>
      <c r="Z305" s="16"/>
      <c r="AA305" s="16"/>
    </row>
    <row r="306" spans="1:27" s="15" customFormat="1" ht="21" customHeight="1">
      <c r="A306" s="501" t="s">
        <v>1039</v>
      </c>
      <c r="B306" s="502" t="s">
        <v>150</v>
      </c>
      <c r="C306" s="507" t="s">
        <v>195</v>
      </c>
      <c r="D306" s="502" t="s">
        <v>709</v>
      </c>
      <c r="E306" s="502" t="s">
        <v>710</v>
      </c>
      <c r="F306" s="502">
        <v>18</v>
      </c>
      <c r="G306" s="504">
        <v>0.32</v>
      </c>
      <c r="H306" s="505" t="s">
        <v>278</v>
      </c>
      <c r="I306" s="502">
        <v>2</v>
      </c>
      <c r="J306" s="502">
        <v>70</v>
      </c>
      <c r="K306" s="502">
        <v>4</v>
      </c>
      <c r="L306" s="502">
        <v>0</v>
      </c>
      <c r="M306" s="507">
        <v>1</v>
      </c>
      <c r="N306" s="507" t="s">
        <v>708</v>
      </c>
      <c r="O306" s="16"/>
      <c r="P306" s="16"/>
      <c r="Q306" s="16"/>
      <c r="R306" s="16"/>
      <c r="S306" s="16"/>
      <c r="T306" s="16"/>
      <c r="U306" s="16"/>
      <c r="V306" s="16"/>
      <c r="W306" s="16"/>
      <c r="X306" s="16"/>
      <c r="Y306" s="16"/>
      <c r="Z306" s="16"/>
      <c r="AA306" s="16"/>
    </row>
    <row r="307" spans="1:27" s="15" customFormat="1" ht="21" customHeight="1">
      <c r="A307" s="506" t="s">
        <v>873</v>
      </c>
      <c r="B307" s="6"/>
      <c r="C307" s="8" t="s">
        <v>246</v>
      </c>
      <c r="D307" s="6"/>
      <c r="E307" s="6"/>
      <c r="F307" s="6">
        <v>18</v>
      </c>
      <c r="G307" s="7">
        <v>0.32</v>
      </c>
      <c r="I307" s="6"/>
      <c r="J307" s="6">
        <v>50</v>
      </c>
      <c r="K307" s="6"/>
      <c r="L307" s="6"/>
      <c r="M307" s="499"/>
      <c r="N307" s="499"/>
      <c r="O307" s="16"/>
      <c r="P307" s="16"/>
      <c r="Q307" s="16"/>
      <c r="R307" s="16"/>
      <c r="S307" s="16"/>
      <c r="T307" s="16"/>
      <c r="U307" s="16"/>
      <c r="V307" s="16"/>
      <c r="W307" s="16"/>
      <c r="X307" s="16"/>
      <c r="Y307" s="16"/>
      <c r="Z307" s="16"/>
      <c r="AA307" s="16"/>
    </row>
    <row r="308" spans="1:27" s="15" customFormat="1" ht="21" customHeight="1">
      <c r="A308" s="506" t="s">
        <v>874</v>
      </c>
      <c r="B308" s="6"/>
      <c r="C308" s="8" t="s">
        <v>245</v>
      </c>
      <c r="D308" s="6"/>
      <c r="E308" s="6"/>
      <c r="F308" s="6">
        <v>0</v>
      </c>
      <c r="G308" s="7">
        <v>0</v>
      </c>
      <c r="I308" s="6"/>
      <c r="J308" s="6">
        <v>20</v>
      </c>
      <c r="K308" s="6"/>
      <c r="L308" s="6"/>
      <c r="M308" s="499"/>
      <c r="N308" s="499"/>
      <c r="O308" s="16"/>
      <c r="P308" s="16"/>
      <c r="Q308" s="16"/>
      <c r="R308" s="16"/>
      <c r="S308" s="16"/>
      <c r="T308" s="16"/>
      <c r="U308" s="16"/>
      <c r="V308" s="16"/>
      <c r="W308" s="16"/>
      <c r="X308" s="16"/>
      <c r="Y308" s="16"/>
      <c r="Z308" s="16"/>
      <c r="AA308" s="16"/>
    </row>
    <row r="309" spans="1:27" s="15" customFormat="1" ht="21" customHeight="1">
      <c r="A309" s="20"/>
      <c r="B309" s="6"/>
      <c r="C309" s="8"/>
      <c r="D309" s="6"/>
      <c r="E309" s="6"/>
      <c r="F309" s="6"/>
      <c r="G309" s="7"/>
      <c r="I309" s="6"/>
      <c r="J309" s="6"/>
      <c r="K309" s="6"/>
      <c r="L309" s="6"/>
      <c r="M309" s="499"/>
      <c r="N309" s="499"/>
      <c r="O309" s="16"/>
      <c r="P309" s="16"/>
      <c r="Q309" s="16"/>
      <c r="R309" s="16"/>
      <c r="S309" s="16"/>
      <c r="T309" s="16"/>
      <c r="U309" s="16"/>
      <c r="V309" s="16"/>
      <c r="W309" s="16"/>
      <c r="X309" s="16"/>
      <c r="Y309" s="16"/>
      <c r="Z309" s="16"/>
      <c r="AA309" s="16"/>
    </row>
    <row r="310" spans="1:27" s="15" customFormat="1" ht="21" customHeight="1">
      <c r="A310" s="501" t="s">
        <v>1040</v>
      </c>
      <c r="B310" s="502" t="s">
        <v>150</v>
      </c>
      <c r="C310" s="507" t="s">
        <v>195</v>
      </c>
      <c r="D310" s="502" t="s">
        <v>709</v>
      </c>
      <c r="E310" s="502" t="s">
        <v>710</v>
      </c>
      <c r="F310" s="502">
        <v>58</v>
      </c>
      <c r="G310" s="504">
        <v>0.22</v>
      </c>
      <c r="H310" s="505" t="s">
        <v>342</v>
      </c>
      <c r="I310" s="502">
        <v>3</v>
      </c>
      <c r="J310" s="502">
        <v>500</v>
      </c>
      <c r="K310" s="502">
        <v>16</v>
      </c>
      <c r="L310" s="502">
        <v>0</v>
      </c>
      <c r="M310" s="507">
        <v>1</v>
      </c>
      <c r="N310" s="507" t="s">
        <v>708</v>
      </c>
      <c r="O310" s="16"/>
      <c r="P310" s="16"/>
      <c r="Q310" s="16"/>
      <c r="R310" s="16"/>
      <c r="S310" s="16"/>
      <c r="T310" s="16"/>
      <c r="U310" s="16"/>
      <c r="V310" s="16"/>
      <c r="W310" s="16"/>
      <c r="X310" s="16"/>
      <c r="Y310" s="16"/>
      <c r="Z310" s="16"/>
      <c r="AA310" s="16"/>
    </row>
    <row r="311" spans="1:27" s="15" customFormat="1" ht="21" customHeight="1">
      <c r="A311" s="506" t="s">
        <v>875</v>
      </c>
      <c r="B311" s="6"/>
      <c r="C311" s="8" t="s">
        <v>247</v>
      </c>
      <c r="D311" s="6"/>
      <c r="E311" s="6"/>
      <c r="F311" s="6">
        <v>55</v>
      </c>
      <c r="G311" s="7">
        <v>0.2</v>
      </c>
      <c r="I311" s="6"/>
      <c r="J311" s="6">
        <v>100</v>
      </c>
      <c r="K311" s="6"/>
      <c r="L311" s="6"/>
      <c r="M311" s="499"/>
      <c r="N311" s="499"/>
      <c r="O311" s="16"/>
      <c r="P311" s="16"/>
      <c r="Q311" s="16"/>
      <c r="R311" s="16"/>
      <c r="S311" s="16"/>
      <c r="T311" s="16"/>
      <c r="U311" s="16"/>
      <c r="V311" s="16"/>
      <c r="W311" s="16"/>
      <c r="X311" s="16"/>
      <c r="Y311" s="16"/>
      <c r="Z311" s="16"/>
      <c r="AA311" s="16"/>
    </row>
    <row r="312" spans="1:27" s="15" customFormat="1" ht="21" customHeight="1">
      <c r="A312" s="506" t="s">
        <v>876</v>
      </c>
      <c r="B312" s="6"/>
      <c r="C312" s="8" t="s">
        <v>559</v>
      </c>
      <c r="D312" s="6"/>
      <c r="E312" s="6"/>
      <c r="F312" s="6">
        <v>11</v>
      </c>
      <c r="G312" s="7">
        <v>0.05</v>
      </c>
      <c r="I312" s="6"/>
      <c r="J312" s="6">
        <v>200</v>
      </c>
      <c r="K312" s="6"/>
      <c r="L312" s="6"/>
      <c r="M312" s="499"/>
      <c r="N312" s="499"/>
      <c r="O312" s="16"/>
      <c r="P312" s="16"/>
      <c r="Q312" s="16"/>
      <c r="R312" s="16"/>
      <c r="S312" s="16"/>
      <c r="T312" s="16"/>
      <c r="U312" s="16"/>
      <c r="V312" s="16"/>
      <c r="W312" s="16"/>
      <c r="X312" s="16"/>
      <c r="Y312" s="16"/>
      <c r="Z312" s="16"/>
      <c r="AA312" s="16"/>
    </row>
    <row r="313" spans="1:27" s="15" customFormat="1" ht="21" customHeight="1">
      <c r="A313" s="506" t="s">
        <v>877</v>
      </c>
      <c r="B313" s="6"/>
      <c r="C313" s="8" t="s">
        <v>559</v>
      </c>
      <c r="D313" s="6"/>
      <c r="E313" s="6"/>
      <c r="F313" s="6">
        <v>0</v>
      </c>
      <c r="G313" s="7">
        <v>0</v>
      </c>
      <c r="I313" s="6"/>
      <c r="J313" s="6">
        <v>200</v>
      </c>
      <c r="K313" s="6"/>
      <c r="L313" s="6"/>
      <c r="M313" s="499"/>
      <c r="N313" s="499"/>
      <c r="O313" s="16"/>
      <c r="P313" s="16"/>
      <c r="Q313" s="16"/>
      <c r="R313" s="16"/>
      <c r="S313" s="16"/>
      <c r="T313" s="16"/>
      <c r="U313" s="16"/>
      <c r="V313" s="16"/>
      <c r="W313" s="16"/>
      <c r="X313" s="16"/>
      <c r="Y313" s="16"/>
      <c r="Z313" s="16"/>
      <c r="AA313" s="16"/>
    </row>
    <row r="314" spans="1:27" s="15" customFormat="1" ht="21" customHeight="1">
      <c r="A314" s="20"/>
      <c r="B314" s="6"/>
      <c r="C314" s="8"/>
      <c r="D314" s="6"/>
      <c r="E314" s="6"/>
      <c r="F314" s="6"/>
      <c r="G314" s="7"/>
      <c r="I314" s="6"/>
      <c r="J314" s="6"/>
      <c r="K314" s="6"/>
      <c r="L314" s="6"/>
      <c r="M314" s="499"/>
      <c r="N314" s="499"/>
      <c r="O314" s="16"/>
      <c r="P314" s="16"/>
      <c r="Q314" s="16"/>
      <c r="R314" s="16"/>
      <c r="S314" s="16"/>
      <c r="T314" s="16"/>
      <c r="U314" s="16"/>
      <c r="V314" s="16"/>
      <c r="W314" s="16"/>
      <c r="X314" s="16"/>
      <c r="Y314" s="16"/>
      <c r="Z314" s="16"/>
      <c r="AA314" s="16"/>
    </row>
    <row r="315" spans="1:27" s="15" customFormat="1" ht="21" customHeight="1">
      <c r="A315" s="501" t="s">
        <v>1041</v>
      </c>
      <c r="B315" s="502" t="s">
        <v>150</v>
      </c>
      <c r="C315" s="507" t="s">
        <v>195</v>
      </c>
      <c r="D315" s="502" t="s">
        <v>709</v>
      </c>
      <c r="E315" s="502" t="s">
        <v>710</v>
      </c>
      <c r="F315" s="502">
        <v>46</v>
      </c>
      <c r="G315" s="504">
        <v>0.42</v>
      </c>
      <c r="H315" s="505" t="s">
        <v>276</v>
      </c>
      <c r="I315" s="502">
        <v>3</v>
      </c>
      <c r="J315" s="502">
        <v>200</v>
      </c>
      <c r="K315" s="502">
        <v>2</v>
      </c>
      <c r="L315" s="502">
        <v>0</v>
      </c>
      <c r="M315" s="507">
        <v>1</v>
      </c>
      <c r="N315" s="507" t="s">
        <v>708</v>
      </c>
      <c r="O315" s="16"/>
      <c r="P315" s="16"/>
      <c r="Q315" s="16"/>
      <c r="R315" s="16"/>
      <c r="S315" s="16"/>
      <c r="T315" s="16"/>
      <c r="U315" s="16"/>
      <c r="V315" s="16"/>
      <c r="W315" s="16"/>
      <c r="X315" s="16"/>
      <c r="Y315" s="16"/>
      <c r="Z315" s="16"/>
      <c r="AA315" s="16"/>
    </row>
    <row r="316" spans="1:27" s="15" customFormat="1" ht="21" customHeight="1">
      <c r="A316" s="506" t="s">
        <v>878</v>
      </c>
      <c r="B316" s="6"/>
      <c r="C316" s="8" t="s">
        <v>246</v>
      </c>
      <c r="D316" s="6"/>
      <c r="E316" s="6"/>
      <c r="F316" s="6">
        <v>8</v>
      </c>
      <c r="G316" s="7">
        <v>0.06</v>
      </c>
      <c r="I316" s="6"/>
      <c r="J316" s="6">
        <v>50</v>
      </c>
      <c r="K316" s="6"/>
      <c r="L316" s="6"/>
      <c r="M316" s="499"/>
      <c r="N316" s="499"/>
      <c r="O316" s="16"/>
      <c r="P316" s="16"/>
      <c r="Q316" s="16"/>
      <c r="R316" s="16"/>
      <c r="S316" s="16"/>
      <c r="T316" s="16"/>
      <c r="U316" s="16"/>
      <c r="V316" s="16"/>
      <c r="W316" s="16"/>
      <c r="X316" s="16"/>
      <c r="Y316" s="16"/>
      <c r="Z316" s="16"/>
      <c r="AA316" s="16"/>
    </row>
    <row r="317" spans="1:27" s="15" customFormat="1" ht="21" customHeight="1">
      <c r="A317" s="506" t="s">
        <v>879</v>
      </c>
      <c r="B317" s="6"/>
      <c r="C317" s="8" t="s">
        <v>246</v>
      </c>
      <c r="D317" s="6"/>
      <c r="E317" s="6"/>
      <c r="F317" s="6">
        <v>0</v>
      </c>
      <c r="G317" s="7">
        <v>0</v>
      </c>
      <c r="I317" s="6"/>
      <c r="J317" s="6">
        <v>50</v>
      </c>
      <c r="K317" s="6"/>
      <c r="L317" s="6"/>
      <c r="M317" s="499"/>
      <c r="N317" s="499"/>
      <c r="O317" s="16"/>
      <c r="P317" s="16"/>
      <c r="Q317" s="16"/>
      <c r="R317" s="16"/>
      <c r="S317" s="16"/>
      <c r="T317" s="16"/>
      <c r="U317" s="16"/>
      <c r="V317" s="16"/>
      <c r="W317" s="16"/>
      <c r="X317" s="16"/>
      <c r="Y317" s="16"/>
      <c r="Z317" s="16"/>
      <c r="AA317" s="16"/>
    </row>
    <row r="318" spans="1:27" s="15" customFormat="1" ht="21" customHeight="1">
      <c r="A318" s="506" t="s">
        <v>880</v>
      </c>
      <c r="B318" s="6"/>
      <c r="C318" s="8" t="s">
        <v>247</v>
      </c>
      <c r="D318" s="6"/>
      <c r="E318" s="6"/>
      <c r="F318" s="6">
        <v>43</v>
      </c>
      <c r="G318" s="7">
        <v>0.41</v>
      </c>
      <c r="I318" s="6"/>
      <c r="J318" s="6">
        <v>100</v>
      </c>
      <c r="K318" s="6"/>
      <c r="L318" s="6"/>
      <c r="M318" s="499"/>
      <c r="N318" s="499"/>
      <c r="O318" s="16"/>
      <c r="P318" s="16"/>
      <c r="Q318" s="16"/>
      <c r="R318" s="16"/>
      <c r="S318" s="16"/>
      <c r="T318" s="16"/>
      <c r="U318" s="16"/>
      <c r="V318" s="16"/>
      <c r="W318" s="16"/>
      <c r="X318" s="16"/>
      <c r="Y318" s="16"/>
      <c r="Z318" s="16"/>
      <c r="AA318" s="16"/>
    </row>
    <row r="319" spans="1:27" s="15" customFormat="1" ht="21" customHeight="1">
      <c r="A319" s="20"/>
      <c r="B319" s="6"/>
      <c r="C319" s="8"/>
      <c r="D319" s="6"/>
      <c r="E319" s="6"/>
      <c r="F319" s="6"/>
      <c r="G319" s="7"/>
      <c r="I319" s="6"/>
      <c r="J319" s="6"/>
      <c r="K319" s="6"/>
      <c r="L319" s="6"/>
      <c r="M319" s="499"/>
      <c r="N319" s="499"/>
      <c r="O319" s="16"/>
      <c r="P319" s="16"/>
      <c r="Q319" s="16"/>
      <c r="R319" s="16"/>
      <c r="S319" s="16"/>
      <c r="T319" s="16"/>
      <c r="U319" s="16"/>
      <c r="V319" s="16"/>
      <c r="W319" s="16"/>
      <c r="X319" s="16"/>
      <c r="Y319" s="16"/>
      <c r="Z319" s="16"/>
      <c r="AA319" s="16"/>
    </row>
    <row r="320" spans="1:27" s="15" customFormat="1" ht="21" customHeight="1">
      <c r="A320" s="501" t="s">
        <v>1042</v>
      </c>
      <c r="B320" s="502" t="s">
        <v>150</v>
      </c>
      <c r="C320" s="507" t="s">
        <v>195</v>
      </c>
      <c r="D320" s="502" t="s">
        <v>709</v>
      </c>
      <c r="E320" s="502" t="s">
        <v>710</v>
      </c>
      <c r="F320" s="502">
        <v>54</v>
      </c>
      <c r="G320" s="504">
        <v>0.32</v>
      </c>
      <c r="H320" s="505" t="s">
        <v>278</v>
      </c>
      <c r="I320" s="502">
        <v>4</v>
      </c>
      <c r="J320" s="502">
        <v>450</v>
      </c>
      <c r="K320" s="502">
        <v>4</v>
      </c>
      <c r="L320" s="502">
        <v>0</v>
      </c>
      <c r="M320" s="507">
        <v>1</v>
      </c>
      <c r="N320" s="507" t="s">
        <v>708</v>
      </c>
      <c r="O320" s="16"/>
      <c r="P320" s="16"/>
      <c r="Q320" s="16"/>
      <c r="R320" s="16"/>
      <c r="S320" s="16"/>
      <c r="T320" s="16"/>
      <c r="U320" s="16"/>
      <c r="V320" s="16"/>
      <c r="W320" s="16"/>
      <c r="X320" s="16"/>
      <c r="Y320" s="16"/>
      <c r="Z320" s="16"/>
      <c r="AA320" s="16"/>
    </row>
    <row r="321" spans="1:27" s="15" customFormat="1" ht="21" customHeight="1">
      <c r="A321" s="506" t="s">
        <v>881</v>
      </c>
      <c r="B321" s="6"/>
      <c r="C321" s="8" t="s">
        <v>247</v>
      </c>
      <c r="D321" s="6"/>
      <c r="E321" s="6"/>
      <c r="F321" s="6">
        <v>44</v>
      </c>
      <c r="G321" s="7">
        <v>0.3</v>
      </c>
      <c r="I321" s="6"/>
      <c r="J321" s="6">
        <v>100</v>
      </c>
      <c r="K321" s="6"/>
      <c r="L321" s="6"/>
      <c r="M321" s="499"/>
      <c r="N321" s="499"/>
      <c r="O321" s="16"/>
      <c r="P321" s="16"/>
      <c r="Q321" s="16"/>
      <c r="R321" s="16"/>
      <c r="S321" s="16"/>
      <c r="T321" s="16"/>
      <c r="U321" s="16"/>
      <c r="V321" s="16"/>
      <c r="W321" s="16"/>
      <c r="X321" s="16"/>
      <c r="Y321" s="16"/>
      <c r="Z321" s="16"/>
      <c r="AA321" s="16"/>
    </row>
    <row r="322" spans="1:27" s="15" customFormat="1" ht="21" customHeight="1">
      <c r="A322" s="506" t="s">
        <v>882</v>
      </c>
      <c r="B322" s="6"/>
      <c r="C322" s="8" t="s">
        <v>246</v>
      </c>
      <c r="D322" s="6"/>
      <c r="E322" s="6"/>
      <c r="F322" s="6">
        <v>0</v>
      </c>
      <c r="G322" s="7">
        <v>0</v>
      </c>
      <c r="I322" s="6"/>
      <c r="J322" s="6">
        <v>50</v>
      </c>
      <c r="K322" s="6"/>
      <c r="L322" s="6"/>
      <c r="M322" s="499"/>
      <c r="N322" s="499"/>
      <c r="O322" s="16"/>
      <c r="P322" s="16"/>
      <c r="Q322" s="16"/>
      <c r="R322" s="16"/>
      <c r="S322" s="16"/>
      <c r="T322" s="16"/>
      <c r="U322" s="16"/>
      <c r="V322" s="16"/>
      <c r="W322" s="16"/>
      <c r="X322" s="16"/>
      <c r="Y322" s="16"/>
      <c r="Z322" s="16"/>
      <c r="AA322" s="16"/>
    </row>
    <row r="323" spans="1:27" s="15" customFormat="1" ht="21" customHeight="1">
      <c r="A323" s="506" t="s">
        <v>883</v>
      </c>
      <c r="B323" s="6"/>
      <c r="C323" s="8" t="s">
        <v>246</v>
      </c>
      <c r="D323" s="6"/>
      <c r="E323" s="6"/>
      <c r="F323" s="6">
        <v>0</v>
      </c>
      <c r="G323" s="7">
        <v>0</v>
      </c>
      <c r="I323" s="6"/>
      <c r="J323" s="6">
        <v>50</v>
      </c>
      <c r="K323" s="6"/>
      <c r="L323" s="6"/>
      <c r="M323" s="499"/>
      <c r="N323" s="499"/>
      <c r="O323" s="16"/>
      <c r="P323" s="16"/>
      <c r="Q323" s="16"/>
      <c r="R323" s="16"/>
      <c r="S323" s="16"/>
      <c r="T323" s="16"/>
      <c r="U323" s="16"/>
      <c r="V323" s="16"/>
      <c r="W323" s="16"/>
      <c r="X323" s="16"/>
      <c r="Y323" s="16"/>
      <c r="Z323" s="16"/>
      <c r="AA323" s="16"/>
    </row>
    <row r="324" spans="1:27" s="15" customFormat="1" ht="21" customHeight="1">
      <c r="A324" s="506" t="s">
        <v>884</v>
      </c>
      <c r="B324" s="6"/>
      <c r="C324" s="8" t="s">
        <v>559</v>
      </c>
      <c r="D324" s="6"/>
      <c r="E324" s="6"/>
      <c r="F324" s="6">
        <v>11</v>
      </c>
      <c r="G324" s="7">
        <v>0</v>
      </c>
      <c r="I324" s="6"/>
      <c r="J324" s="6">
        <v>250</v>
      </c>
      <c r="K324" s="6"/>
      <c r="L324" s="6"/>
      <c r="M324" s="499"/>
      <c r="N324" s="499"/>
      <c r="O324" s="16"/>
      <c r="P324" s="16"/>
      <c r="Q324" s="16"/>
      <c r="R324" s="16"/>
      <c r="S324" s="16"/>
      <c r="T324" s="16"/>
      <c r="U324" s="16"/>
      <c r="V324" s="16"/>
      <c r="W324" s="16"/>
      <c r="X324" s="16"/>
      <c r="Y324" s="16"/>
      <c r="Z324" s="16"/>
      <c r="AA324" s="16"/>
    </row>
    <row r="325" spans="1:27" s="15" customFormat="1" ht="21" customHeight="1">
      <c r="A325" s="20"/>
      <c r="B325" s="6"/>
      <c r="C325" s="8"/>
      <c r="D325" s="6"/>
      <c r="E325" s="6"/>
      <c r="F325" s="6"/>
      <c r="G325" s="7"/>
      <c r="I325" s="6"/>
      <c r="J325" s="6"/>
      <c r="K325" s="6"/>
      <c r="L325" s="6"/>
      <c r="M325" s="499"/>
      <c r="N325" s="499"/>
      <c r="O325" s="16"/>
      <c r="P325" s="16"/>
      <c r="Q325" s="16"/>
      <c r="R325" s="16"/>
      <c r="S325" s="16"/>
      <c r="T325" s="16"/>
      <c r="U325" s="16"/>
      <c r="V325" s="16"/>
      <c r="W325" s="16"/>
      <c r="X325" s="16"/>
      <c r="Y325" s="16"/>
      <c r="Z325" s="16"/>
      <c r="AA325" s="16"/>
    </row>
    <row r="326" spans="1:27" s="15" customFormat="1" ht="21" customHeight="1">
      <c r="A326" s="501" t="s">
        <v>1043</v>
      </c>
      <c r="B326" s="502" t="s">
        <v>150</v>
      </c>
      <c r="C326" s="507" t="s">
        <v>195</v>
      </c>
      <c r="D326" s="502" t="s">
        <v>709</v>
      </c>
      <c r="E326" s="502" t="s">
        <v>710</v>
      </c>
      <c r="F326" s="502">
        <v>43</v>
      </c>
      <c r="G326" s="504">
        <v>0.68</v>
      </c>
      <c r="H326" s="505" t="s">
        <v>342</v>
      </c>
      <c r="I326" s="502">
        <v>14</v>
      </c>
      <c r="J326" s="502">
        <v>7408</v>
      </c>
      <c r="K326" s="502">
        <v>16</v>
      </c>
      <c r="L326" s="502">
        <v>0</v>
      </c>
      <c r="M326" s="507">
        <v>1</v>
      </c>
      <c r="N326" s="507" t="s">
        <v>708</v>
      </c>
      <c r="O326" s="16"/>
      <c r="P326" s="16"/>
      <c r="Q326" s="16"/>
      <c r="R326" s="16"/>
      <c r="S326" s="16"/>
      <c r="T326" s="16"/>
      <c r="U326" s="16"/>
      <c r="V326" s="16"/>
      <c r="W326" s="16"/>
      <c r="X326" s="16"/>
      <c r="Y326" s="16"/>
      <c r="Z326" s="16"/>
      <c r="AA326" s="16"/>
    </row>
    <row r="327" spans="1:27" s="15" customFormat="1" ht="21" customHeight="1">
      <c r="A327" s="506" t="s">
        <v>885</v>
      </c>
      <c r="B327" s="6"/>
      <c r="C327" s="8" t="s">
        <v>247</v>
      </c>
      <c r="D327" s="6"/>
      <c r="E327" s="6"/>
      <c r="F327" s="6">
        <v>41</v>
      </c>
      <c r="G327" s="7">
        <v>0.68</v>
      </c>
      <c r="I327" s="6"/>
      <c r="J327" s="6">
        <v>100</v>
      </c>
      <c r="K327" s="6"/>
      <c r="L327" s="6"/>
      <c r="M327" s="499"/>
      <c r="N327" s="499"/>
      <c r="O327" s="16"/>
      <c r="P327" s="16"/>
      <c r="Q327" s="16"/>
      <c r="R327" s="16"/>
      <c r="S327" s="16"/>
      <c r="T327" s="16"/>
      <c r="U327" s="16"/>
      <c r="V327" s="16"/>
      <c r="W327" s="16"/>
      <c r="X327" s="16"/>
      <c r="Y327" s="16"/>
      <c r="Z327" s="16"/>
      <c r="AA327" s="16"/>
    </row>
    <row r="328" spans="1:27" s="15" customFormat="1" ht="21" customHeight="1">
      <c r="A328" s="506" t="s">
        <v>886</v>
      </c>
      <c r="B328" s="6"/>
      <c r="C328" s="8" t="s">
        <v>246</v>
      </c>
      <c r="D328" s="6"/>
      <c r="E328" s="6"/>
      <c r="F328" s="6">
        <v>0</v>
      </c>
      <c r="G328" s="7">
        <v>0</v>
      </c>
      <c r="I328" s="6"/>
      <c r="J328" s="6">
        <v>50</v>
      </c>
      <c r="K328" s="6"/>
      <c r="L328" s="6"/>
      <c r="M328" s="499"/>
      <c r="N328" s="499"/>
      <c r="O328" s="16"/>
      <c r="P328" s="16"/>
      <c r="Q328" s="16"/>
      <c r="R328" s="16"/>
      <c r="S328" s="16"/>
      <c r="T328" s="16"/>
      <c r="U328" s="16"/>
      <c r="V328" s="16"/>
      <c r="W328" s="16"/>
      <c r="X328" s="16"/>
      <c r="Y328" s="16"/>
      <c r="Z328" s="16"/>
      <c r="AA328" s="16"/>
    </row>
    <row r="329" spans="1:27" s="15" customFormat="1" ht="21" customHeight="1">
      <c r="A329" s="506" t="s">
        <v>887</v>
      </c>
      <c r="B329" s="6"/>
      <c r="C329" s="8" t="s">
        <v>249</v>
      </c>
      <c r="D329" s="6"/>
      <c r="E329" s="6"/>
      <c r="F329" s="6">
        <v>0</v>
      </c>
      <c r="G329" s="7">
        <v>0</v>
      </c>
      <c r="I329" s="6"/>
      <c r="J329" s="6">
        <v>901</v>
      </c>
      <c r="K329" s="6"/>
      <c r="L329" s="6"/>
      <c r="M329" s="499"/>
      <c r="N329" s="499"/>
      <c r="O329" s="16"/>
      <c r="P329" s="16"/>
      <c r="Q329" s="16"/>
      <c r="R329" s="16"/>
      <c r="S329" s="16"/>
      <c r="T329" s="16"/>
      <c r="U329" s="16"/>
      <c r="V329" s="16"/>
      <c r="W329" s="16"/>
      <c r="X329" s="16"/>
      <c r="Y329" s="16"/>
      <c r="Z329" s="16"/>
      <c r="AA329" s="16"/>
    </row>
    <row r="330" spans="1:27" s="15" customFormat="1" ht="21" customHeight="1">
      <c r="A330" s="506" t="s">
        <v>888</v>
      </c>
      <c r="B330" s="6"/>
      <c r="C330" s="8" t="s">
        <v>249</v>
      </c>
      <c r="D330" s="6"/>
      <c r="E330" s="6"/>
      <c r="F330" s="6">
        <v>0</v>
      </c>
      <c r="G330" s="7">
        <v>0</v>
      </c>
      <c r="I330" s="6"/>
      <c r="J330" s="6">
        <v>901</v>
      </c>
      <c r="K330" s="6"/>
      <c r="L330" s="6"/>
      <c r="M330" s="499"/>
      <c r="N330" s="499"/>
      <c r="O330" s="16"/>
      <c r="P330" s="16"/>
      <c r="Q330" s="16"/>
      <c r="R330" s="16"/>
      <c r="S330" s="16"/>
      <c r="T330" s="16"/>
      <c r="U330" s="16"/>
      <c r="V330" s="16"/>
      <c r="W330" s="16"/>
      <c r="X330" s="16"/>
      <c r="Y330" s="16"/>
      <c r="Z330" s="16"/>
      <c r="AA330" s="16"/>
    </row>
    <row r="331" spans="1:27" s="15" customFormat="1" ht="21" customHeight="1">
      <c r="A331" s="506" t="s">
        <v>889</v>
      </c>
      <c r="B331" s="6"/>
      <c r="C331" s="8" t="s">
        <v>249</v>
      </c>
      <c r="D331" s="6"/>
      <c r="E331" s="6"/>
      <c r="F331" s="6">
        <v>0</v>
      </c>
      <c r="G331" s="7">
        <v>0</v>
      </c>
      <c r="I331" s="6"/>
      <c r="J331" s="6">
        <v>901</v>
      </c>
      <c r="K331" s="6"/>
      <c r="L331" s="6"/>
      <c r="M331" s="499"/>
      <c r="N331" s="499"/>
      <c r="O331" s="16"/>
      <c r="P331" s="16"/>
      <c r="Q331" s="16"/>
      <c r="R331" s="16"/>
      <c r="S331" s="16"/>
      <c r="T331" s="16"/>
      <c r="U331" s="16"/>
      <c r="V331" s="16"/>
      <c r="W331" s="16"/>
      <c r="X331" s="16"/>
      <c r="Y331" s="16"/>
      <c r="Z331" s="16"/>
      <c r="AA331" s="16"/>
    </row>
    <row r="332" spans="1:27" s="15" customFormat="1" ht="21" customHeight="1">
      <c r="A332" s="506" t="s">
        <v>890</v>
      </c>
      <c r="B332" s="6"/>
      <c r="C332" s="8" t="s">
        <v>249</v>
      </c>
      <c r="D332" s="6"/>
      <c r="E332" s="6"/>
      <c r="F332" s="6">
        <v>0</v>
      </c>
      <c r="G332" s="7">
        <v>0</v>
      </c>
      <c r="I332" s="6"/>
      <c r="J332" s="6">
        <v>901</v>
      </c>
      <c r="K332" s="6"/>
      <c r="L332" s="6"/>
      <c r="M332" s="499"/>
      <c r="N332" s="499"/>
      <c r="O332" s="16"/>
      <c r="P332" s="16"/>
      <c r="Q332" s="16"/>
      <c r="R332" s="16"/>
      <c r="S332" s="16"/>
      <c r="T332" s="16"/>
      <c r="U332" s="16"/>
      <c r="V332" s="16"/>
      <c r="W332" s="16"/>
      <c r="X332" s="16"/>
      <c r="Y332" s="16"/>
      <c r="Z332" s="16"/>
      <c r="AA332" s="16"/>
    </row>
    <row r="333" spans="1:27" s="15" customFormat="1" ht="21" customHeight="1">
      <c r="A333" s="506" t="s">
        <v>891</v>
      </c>
      <c r="B333" s="6"/>
      <c r="C333" s="8" t="s">
        <v>249</v>
      </c>
      <c r="D333" s="6"/>
      <c r="E333" s="6"/>
      <c r="F333" s="6">
        <v>0</v>
      </c>
      <c r="G333" s="7">
        <v>0</v>
      </c>
      <c r="I333" s="6"/>
      <c r="J333" s="6">
        <v>901</v>
      </c>
      <c r="K333" s="6"/>
      <c r="L333" s="6"/>
      <c r="M333" s="499"/>
      <c r="N333" s="499"/>
      <c r="O333" s="16"/>
      <c r="P333" s="16"/>
      <c r="Q333" s="16"/>
      <c r="R333" s="16"/>
      <c r="S333" s="16"/>
      <c r="T333" s="16"/>
      <c r="U333" s="16"/>
      <c r="V333" s="16"/>
      <c r="W333" s="16"/>
      <c r="X333" s="16"/>
      <c r="Y333" s="16"/>
      <c r="Z333" s="16"/>
      <c r="AA333" s="16"/>
    </row>
    <row r="334" spans="1:27" s="15" customFormat="1" ht="21" customHeight="1">
      <c r="A334" s="506" t="s">
        <v>892</v>
      </c>
      <c r="B334" s="6"/>
      <c r="C334" s="8" t="s">
        <v>249</v>
      </c>
      <c r="D334" s="6"/>
      <c r="E334" s="6"/>
      <c r="F334" s="6">
        <v>0</v>
      </c>
      <c r="G334" s="7">
        <v>0</v>
      </c>
      <c r="I334" s="6"/>
      <c r="J334" s="6">
        <v>901</v>
      </c>
      <c r="K334" s="6"/>
      <c r="L334" s="6"/>
      <c r="M334" s="499"/>
      <c r="N334" s="499"/>
      <c r="O334" s="16"/>
      <c r="P334" s="16"/>
      <c r="Q334" s="16"/>
      <c r="R334" s="16"/>
      <c r="S334" s="16"/>
      <c r="T334" s="16"/>
      <c r="U334" s="16"/>
      <c r="V334" s="16"/>
      <c r="W334" s="16"/>
      <c r="X334" s="16"/>
      <c r="Y334" s="16"/>
      <c r="Z334" s="16"/>
      <c r="AA334" s="16"/>
    </row>
    <row r="335" spans="1:27" s="15" customFormat="1" ht="21" customHeight="1">
      <c r="A335" s="506" t="s">
        <v>893</v>
      </c>
      <c r="B335" s="6"/>
      <c r="C335" s="8" t="s">
        <v>249</v>
      </c>
      <c r="D335" s="6"/>
      <c r="E335" s="6"/>
      <c r="F335" s="6">
        <v>0</v>
      </c>
      <c r="G335" s="7">
        <v>0</v>
      </c>
      <c r="I335" s="6"/>
      <c r="J335" s="6">
        <v>901</v>
      </c>
      <c r="K335" s="6"/>
      <c r="L335" s="6"/>
      <c r="M335" s="499"/>
      <c r="N335" s="499"/>
      <c r="O335" s="16"/>
      <c r="P335" s="16"/>
      <c r="Q335" s="16"/>
      <c r="R335" s="16"/>
      <c r="S335" s="16"/>
      <c r="T335" s="16"/>
      <c r="U335" s="16"/>
      <c r="V335" s="16"/>
      <c r="W335" s="16"/>
      <c r="X335" s="16"/>
      <c r="Y335" s="16"/>
      <c r="Z335" s="16"/>
      <c r="AA335" s="16"/>
    </row>
    <row r="336" spans="1:27" s="15" customFormat="1" ht="21" customHeight="1">
      <c r="A336" s="506" t="s">
        <v>894</v>
      </c>
      <c r="B336" s="6"/>
      <c r="C336" s="8" t="s">
        <v>559</v>
      </c>
      <c r="D336" s="6"/>
      <c r="E336" s="6"/>
      <c r="F336" s="6">
        <v>0</v>
      </c>
      <c r="G336" s="7">
        <v>0</v>
      </c>
      <c r="I336" s="6"/>
      <c r="J336" s="6">
        <v>201</v>
      </c>
      <c r="K336" s="6"/>
      <c r="L336" s="6"/>
      <c r="M336" s="499"/>
      <c r="N336" s="499"/>
      <c r="O336" s="16"/>
      <c r="P336" s="16"/>
      <c r="Q336" s="16"/>
      <c r="R336" s="16"/>
      <c r="S336" s="16"/>
      <c r="T336" s="16"/>
      <c r="U336" s="16"/>
      <c r="V336" s="16"/>
      <c r="W336" s="16"/>
      <c r="X336" s="16"/>
      <c r="Y336" s="16"/>
      <c r="Z336" s="16"/>
      <c r="AA336" s="16"/>
    </row>
    <row r="337" spans="1:27" s="15" customFormat="1" ht="21" customHeight="1">
      <c r="A337" s="506" t="s">
        <v>895</v>
      </c>
      <c r="B337" s="6"/>
      <c r="C337" s="8" t="s">
        <v>559</v>
      </c>
      <c r="D337" s="6"/>
      <c r="E337" s="6"/>
      <c r="F337" s="6">
        <v>0</v>
      </c>
      <c r="G337" s="7">
        <v>0</v>
      </c>
      <c r="I337" s="6"/>
      <c r="J337" s="6">
        <v>200</v>
      </c>
      <c r="K337" s="6"/>
      <c r="L337" s="6"/>
      <c r="M337" s="499"/>
      <c r="N337" s="499"/>
      <c r="O337" s="16"/>
      <c r="P337" s="16"/>
      <c r="Q337" s="16"/>
      <c r="R337" s="16"/>
      <c r="S337" s="16"/>
      <c r="T337" s="16"/>
      <c r="U337" s="16"/>
      <c r="V337" s="16"/>
      <c r="W337" s="16"/>
      <c r="X337" s="16"/>
      <c r="Y337" s="16"/>
      <c r="Z337" s="16"/>
      <c r="AA337" s="16"/>
    </row>
    <row r="338" spans="1:27" s="15" customFormat="1" ht="21" customHeight="1">
      <c r="A338" s="506" t="s">
        <v>896</v>
      </c>
      <c r="B338" s="6"/>
      <c r="C338" s="8" t="s">
        <v>559</v>
      </c>
      <c r="D338" s="6"/>
      <c r="E338" s="6"/>
      <c r="F338" s="6">
        <v>6</v>
      </c>
      <c r="G338" s="7">
        <v>0.02</v>
      </c>
      <c r="I338" s="6"/>
      <c r="J338" s="6">
        <v>250</v>
      </c>
      <c r="K338" s="6"/>
      <c r="L338" s="6"/>
      <c r="M338" s="499"/>
      <c r="N338" s="499"/>
      <c r="O338" s="16"/>
      <c r="P338" s="16"/>
      <c r="Q338" s="16"/>
      <c r="R338" s="16"/>
      <c r="S338" s="16"/>
      <c r="T338" s="16"/>
      <c r="U338" s="16"/>
      <c r="V338" s="16"/>
      <c r="W338" s="16"/>
      <c r="X338" s="16"/>
      <c r="Y338" s="16"/>
      <c r="Z338" s="16"/>
      <c r="AA338" s="16"/>
    </row>
    <row r="339" spans="1:27" s="15" customFormat="1" ht="21" customHeight="1">
      <c r="A339" s="506" t="s">
        <v>897</v>
      </c>
      <c r="B339" s="6"/>
      <c r="C339" s="8" t="s">
        <v>559</v>
      </c>
      <c r="D339" s="6"/>
      <c r="E339" s="6"/>
      <c r="F339" s="6">
        <v>0</v>
      </c>
      <c r="G339" s="7">
        <v>0</v>
      </c>
      <c r="I339" s="6"/>
      <c r="J339" s="6">
        <v>200</v>
      </c>
      <c r="K339" s="6"/>
      <c r="L339" s="6"/>
      <c r="M339" s="499"/>
      <c r="N339" s="499"/>
      <c r="O339" s="16"/>
      <c r="P339" s="16"/>
      <c r="Q339" s="16"/>
      <c r="R339" s="16"/>
      <c r="S339" s="16"/>
      <c r="T339" s="16"/>
      <c r="U339" s="16"/>
      <c r="V339" s="16"/>
      <c r="W339" s="16"/>
      <c r="X339" s="16"/>
      <c r="Y339" s="16"/>
      <c r="Z339" s="16"/>
      <c r="AA339" s="16"/>
    </row>
    <row r="340" spans="1:27" s="15" customFormat="1" ht="21" customHeight="1">
      <c r="A340" s="506" t="s">
        <v>898</v>
      </c>
      <c r="B340" s="6"/>
      <c r="C340" s="8" t="s">
        <v>247</v>
      </c>
      <c r="D340" s="6"/>
      <c r="E340" s="6"/>
      <c r="F340" s="6">
        <v>0</v>
      </c>
      <c r="G340" s="7">
        <v>0</v>
      </c>
      <c r="I340" s="6"/>
      <c r="J340" s="6">
        <v>100</v>
      </c>
      <c r="K340" s="6"/>
      <c r="L340" s="6"/>
      <c r="M340" s="499"/>
      <c r="N340" s="499"/>
      <c r="O340" s="16"/>
      <c r="P340" s="16"/>
      <c r="Q340" s="16"/>
      <c r="R340" s="16"/>
      <c r="S340" s="16"/>
      <c r="T340" s="16"/>
      <c r="U340" s="16"/>
      <c r="V340" s="16"/>
      <c r="W340" s="16"/>
      <c r="X340" s="16"/>
      <c r="Y340" s="16"/>
      <c r="Z340" s="16"/>
      <c r="AA340" s="16"/>
    </row>
    <row r="341" spans="1:27" s="15" customFormat="1" ht="21" customHeight="1">
      <c r="A341" s="20"/>
      <c r="B341" s="6"/>
      <c r="C341" s="8"/>
      <c r="D341" s="6"/>
      <c r="E341" s="6"/>
      <c r="F341" s="6"/>
      <c r="G341" s="7"/>
      <c r="I341" s="6"/>
      <c r="J341" s="6"/>
      <c r="K341" s="6"/>
      <c r="L341" s="6"/>
      <c r="M341" s="499"/>
      <c r="N341" s="499"/>
      <c r="O341" s="16"/>
      <c r="P341" s="16"/>
      <c r="Q341" s="16"/>
      <c r="R341" s="16"/>
      <c r="S341" s="16"/>
      <c r="T341" s="16"/>
      <c r="U341" s="16"/>
      <c r="V341" s="16"/>
      <c r="W341" s="16"/>
      <c r="X341" s="16"/>
      <c r="Y341" s="16"/>
      <c r="Z341" s="16"/>
      <c r="AA341" s="16"/>
    </row>
    <row r="342" spans="1:27" s="15" customFormat="1" ht="21" customHeight="1">
      <c r="A342" s="501" t="s">
        <v>1044</v>
      </c>
      <c r="B342" s="502" t="s">
        <v>150</v>
      </c>
      <c r="C342" s="507" t="s">
        <v>195</v>
      </c>
      <c r="D342" s="502" t="s">
        <v>709</v>
      </c>
      <c r="E342" s="502" t="s">
        <v>710</v>
      </c>
      <c r="F342" s="502">
        <v>30</v>
      </c>
      <c r="G342" s="504">
        <v>0.3</v>
      </c>
      <c r="H342" s="505" t="s">
        <v>278</v>
      </c>
      <c r="I342" s="502">
        <v>3</v>
      </c>
      <c r="J342" s="502">
        <v>251</v>
      </c>
      <c r="K342" s="502">
        <v>4</v>
      </c>
      <c r="L342" s="502">
        <v>0</v>
      </c>
      <c r="M342" s="507">
        <v>2</v>
      </c>
      <c r="N342" s="507" t="s">
        <v>708</v>
      </c>
      <c r="O342" s="16"/>
      <c r="P342" s="16"/>
      <c r="Q342" s="16"/>
      <c r="R342" s="16"/>
      <c r="S342" s="16"/>
      <c r="T342" s="16"/>
      <c r="U342" s="16"/>
      <c r="V342" s="16"/>
      <c r="W342" s="16"/>
      <c r="X342" s="16"/>
      <c r="Y342" s="16"/>
      <c r="Z342" s="16"/>
      <c r="AA342" s="16"/>
    </row>
    <row r="343" spans="1:27" s="15" customFormat="1" ht="21" customHeight="1">
      <c r="A343" s="506" t="s">
        <v>899</v>
      </c>
      <c r="B343" s="6"/>
      <c r="C343" s="8" t="s">
        <v>247</v>
      </c>
      <c r="D343" s="6"/>
      <c r="E343" s="6"/>
      <c r="F343" s="6">
        <v>18</v>
      </c>
      <c r="G343" s="7">
        <v>0.24</v>
      </c>
      <c r="I343" s="6"/>
      <c r="J343" s="6">
        <v>100</v>
      </c>
      <c r="K343" s="6"/>
      <c r="L343" s="6"/>
      <c r="M343" s="499"/>
      <c r="N343" s="499"/>
      <c r="O343" s="16"/>
      <c r="P343" s="16"/>
      <c r="Q343" s="16"/>
      <c r="R343" s="16"/>
      <c r="S343" s="16"/>
      <c r="T343" s="16"/>
      <c r="U343" s="16"/>
      <c r="V343" s="16"/>
      <c r="W343" s="16"/>
      <c r="X343" s="16"/>
      <c r="Y343" s="16"/>
      <c r="Z343" s="16"/>
      <c r="AA343" s="16"/>
    </row>
    <row r="344" spans="1:27" s="15" customFormat="1" ht="21" customHeight="1">
      <c r="A344" s="506" t="s">
        <v>900</v>
      </c>
      <c r="B344" s="6"/>
      <c r="C344" s="8" t="s">
        <v>247</v>
      </c>
      <c r="D344" s="6"/>
      <c r="E344" s="6"/>
      <c r="F344" s="6">
        <v>10</v>
      </c>
      <c r="G344" s="7">
        <v>0.08</v>
      </c>
      <c r="I344" s="6"/>
      <c r="J344" s="6">
        <v>101</v>
      </c>
      <c r="K344" s="6"/>
      <c r="L344" s="6"/>
      <c r="M344" s="499"/>
      <c r="N344" s="499"/>
      <c r="O344" s="16"/>
      <c r="P344" s="16"/>
      <c r="Q344" s="16"/>
      <c r="R344" s="16"/>
      <c r="S344" s="16"/>
      <c r="T344" s="16"/>
      <c r="U344" s="16"/>
      <c r="V344" s="16"/>
      <c r="W344" s="16"/>
      <c r="X344" s="16"/>
      <c r="Y344" s="16"/>
      <c r="Z344" s="16"/>
      <c r="AA344" s="16"/>
    </row>
    <row r="345" spans="1:27" s="15" customFormat="1" ht="21" customHeight="1">
      <c r="A345" s="506" t="s">
        <v>901</v>
      </c>
      <c r="B345" s="6"/>
      <c r="C345" s="8" t="s">
        <v>246</v>
      </c>
      <c r="D345" s="6"/>
      <c r="E345" s="6"/>
      <c r="F345" s="6">
        <v>0</v>
      </c>
      <c r="G345" s="7">
        <v>0</v>
      </c>
      <c r="I345" s="6"/>
      <c r="J345" s="6">
        <v>50</v>
      </c>
      <c r="K345" s="6"/>
      <c r="L345" s="6"/>
      <c r="M345" s="499"/>
      <c r="N345" s="499"/>
      <c r="O345" s="16"/>
      <c r="P345" s="16"/>
      <c r="Q345" s="16"/>
      <c r="R345" s="16"/>
      <c r="S345" s="16"/>
      <c r="T345" s="16"/>
      <c r="U345" s="16"/>
      <c r="V345" s="16"/>
      <c r="W345" s="16"/>
      <c r="X345" s="16"/>
      <c r="Y345" s="16"/>
      <c r="Z345" s="16"/>
      <c r="AA345" s="16"/>
    </row>
    <row r="346" spans="1:27" s="15" customFormat="1" ht="21" customHeight="1">
      <c r="A346" s="20"/>
      <c r="B346" s="6"/>
      <c r="C346" s="8"/>
      <c r="D346" s="6"/>
      <c r="E346" s="6"/>
      <c r="F346" s="6"/>
      <c r="G346" s="7"/>
      <c r="I346" s="6"/>
      <c r="J346" s="6"/>
      <c r="K346" s="6"/>
      <c r="L346" s="6"/>
      <c r="M346" s="499"/>
      <c r="N346" s="499"/>
      <c r="O346" s="16"/>
      <c r="P346" s="16"/>
      <c r="Q346" s="16"/>
      <c r="R346" s="16"/>
      <c r="S346" s="16"/>
      <c r="T346" s="16"/>
      <c r="U346" s="16"/>
      <c r="V346" s="16"/>
      <c r="W346" s="16"/>
      <c r="X346" s="16"/>
      <c r="Y346" s="16"/>
      <c r="Z346" s="16"/>
      <c r="AA346" s="16"/>
    </row>
    <row r="347" spans="1:27" s="15" customFormat="1" ht="21" customHeight="1">
      <c r="A347" s="501" t="s">
        <v>1045</v>
      </c>
      <c r="B347" s="502" t="s">
        <v>150</v>
      </c>
      <c r="C347" s="507" t="s">
        <v>195</v>
      </c>
      <c r="D347" s="502" t="s">
        <v>709</v>
      </c>
      <c r="E347" s="502" t="s">
        <v>710</v>
      </c>
      <c r="F347" s="502">
        <v>50</v>
      </c>
      <c r="G347" s="504">
        <v>0.42</v>
      </c>
      <c r="H347" s="505" t="s">
        <v>342</v>
      </c>
      <c r="I347" s="502">
        <v>3</v>
      </c>
      <c r="J347" s="502">
        <v>0</v>
      </c>
      <c r="K347" s="502">
        <v>16</v>
      </c>
      <c r="L347" s="502">
        <v>0</v>
      </c>
      <c r="M347" s="507">
        <v>2</v>
      </c>
      <c r="N347" s="507" t="s">
        <v>708</v>
      </c>
      <c r="O347" s="16"/>
      <c r="P347" s="16"/>
      <c r="Q347" s="16"/>
      <c r="R347" s="16"/>
      <c r="S347" s="16"/>
      <c r="T347" s="16"/>
      <c r="U347" s="16"/>
      <c r="V347" s="16"/>
      <c r="W347" s="16"/>
      <c r="X347" s="16"/>
      <c r="Y347" s="16"/>
      <c r="Z347" s="16"/>
      <c r="AA347" s="16"/>
    </row>
    <row r="348" spans="1:27" s="15" customFormat="1" ht="21" customHeight="1">
      <c r="A348" s="506" t="s">
        <v>902</v>
      </c>
      <c r="B348" s="6"/>
      <c r="C348" s="8" t="s">
        <v>245</v>
      </c>
      <c r="D348" s="6"/>
      <c r="E348" s="6"/>
      <c r="F348" s="6">
        <v>48</v>
      </c>
      <c r="G348" s="7">
        <v>0.42</v>
      </c>
      <c r="I348" s="6"/>
      <c r="J348" s="6">
        <v>0</v>
      </c>
      <c r="K348" s="6"/>
      <c r="L348" s="6"/>
      <c r="M348" s="499"/>
      <c r="N348" s="499"/>
      <c r="O348" s="16"/>
      <c r="P348" s="16"/>
      <c r="Q348" s="16"/>
      <c r="R348" s="16"/>
      <c r="S348" s="16"/>
      <c r="T348" s="16"/>
      <c r="U348" s="16"/>
      <c r="V348" s="16"/>
      <c r="W348" s="16"/>
      <c r="X348" s="16"/>
      <c r="Y348" s="16"/>
      <c r="Z348" s="16"/>
      <c r="AA348" s="16"/>
    </row>
    <row r="349" spans="1:27" s="15" customFormat="1" ht="21" customHeight="1">
      <c r="A349" s="506" t="s">
        <v>1134</v>
      </c>
      <c r="B349" s="6"/>
      <c r="C349" s="8" t="s">
        <v>245</v>
      </c>
      <c r="D349" s="6"/>
      <c r="E349" s="6"/>
      <c r="F349" s="6">
        <v>0</v>
      </c>
      <c r="G349" s="7">
        <v>0</v>
      </c>
      <c r="I349" s="6"/>
      <c r="J349" s="6">
        <v>0</v>
      </c>
      <c r="K349" s="6"/>
      <c r="L349" s="6"/>
      <c r="M349" s="499"/>
      <c r="N349" s="499"/>
      <c r="O349" s="16"/>
      <c r="P349" s="16"/>
      <c r="Q349" s="16"/>
      <c r="R349" s="16"/>
      <c r="S349" s="16"/>
      <c r="T349" s="16"/>
      <c r="U349" s="16"/>
      <c r="V349" s="16"/>
      <c r="W349" s="16"/>
      <c r="X349" s="16"/>
      <c r="Y349" s="16"/>
      <c r="Z349" s="16"/>
      <c r="AA349" s="16"/>
    </row>
    <row r="350" spans="1:27" s="15" customFormat="1" ht="21" customHeight="1">
      <c r="A350" s="506" t="s">
        <v>1135</v>
      </c>
      <c r="B350" s="6"/>
      <c r="C350" s="8" t="s">
        <v>245</v>
      </c>
      <c r="D350" s="6"/>
      <c r="E350" s="6"/>
      <c r="F350" s="6">
        <v>0</v>
      </c>
      <c r="G350" s="7">
        <v>0</v>
      </c>
      <c r="I350" s="6"/>
      <c r="J350" s="6">
        <v>0</v>
      </c>
      <c r="K350" s="6"/>
      <c r="L350" s="6"/>
      <c r="M350" s="499"/>
      <c r="N350" s="499"/>
      <c r="O350" s="16"/>
      <c r="P350" s="16"/>
      <c r="Q350" s="16"/>
      <c r="R350" s="16"/>
      <c r="S350" s="16"/>
      <c r="T350" s="16"/>
      <c r="U350" s="16"/>
      <c r="V350" s="16"/>
      <c r="W350" s="16"/>
      <c r="X350" s="16"/>
      <c r="Y350" s="16"/>
      <c r="Z350" s="16"/>
      <c r="AA350" s="16"/>
    </row>
    <row r="351" spans="1:27" s="15" customFormat="1" ht="21" customHeight="1">
      <c r="A351" s="20"/>
      <c r="B351" s="6"/>
      <c r="C351" s="8"/>
      <c r="D351" s="6"/>
      <c r="E351" s="6"/>
      <c r="F351" s="6"/>
      <c r="G351" s="7"/>
      <c r="I351" s="6"/>
      <c r="J351" s="6"/>
      <c r="K351" s="6"/>
      <c r="L351" s="6"/>
      <c r="M351" s="499"/>
      <c r="N351" s="499"/>
      <c r="O351" s="16"/>
      <c r="P351" s="16"/>
      <c r="Q351" s="16"/>
      <c r="R351" s="16"/>
      <c r="S351" s="16"/>
      <c r="T351" s="16"/>
      <c r="U351" s="16"/>
      <c r="V351" s="16"/>
      <c r="W351" s="16"/>
      <c r="X351" s="16"/>
      <c r="Y351" s="16"/>
      <c r="Z351" s="16"/>
      <c r="AA351" s="16"/>
    </row>
    <row r="352" spans="1:27" s="15" customFormat="1" ht="21" customHeight="1">
      <c r="A352" s="501" t="s">
        <v>1046</v>
      </c>
      <c r="B352" s="502" t="s">
        <v>150</v>
      </c>
      <c r="C352" s="507" t="s">
        <v>195</v>
      </c>
      <c r="D352" s="502" t="s">
        <v>709</v>
      </c>
      <c r="E352" s="502" t="s">
        <v>710</v>
      </c>
      <c r="F352" s="502">
        <v>31</v>
      </c>
      <c r="G352" s="504">
        <v>0.56000000000000005</v>
      </c>
      <c r="H352" s="505" t="s">
        <v>276</v>
      </c>
      <c r="I352" s="502">
        <v>2</v>
      </c>
      <c r="J352" s="502">
        <v>150</v>
      </c>
      <c r="K352" s="502">
        <v>2</v>
      </c>
      <c r="L352" s="502">
        <v>0</v>
      </c>
      <c r="M352" s="507">
        <v>1</v>
      </c>
      <c r="N352" s="507" t="s">
        <v>708</v>
      </c>
      <c r="O352" s="16"/>
      <c r="P352" s="16"/>
      <c r="Q352" s="16"/>
      <c r="R352" s="16"/>
      <c r="S352" s="16"/>
      <c r="T352" s="16"/>
      <c r="U352" s="16"/>
      <c r="V352" s="16"/>
      <c r="W352" s="16"/>
      <c r="X352" s="16"/>
      <c r="Y352" s="16"/>
      <c r="Z352" s="16"/>
      <c r="AA352" s="16"/>
    </row>
    <row r="353" spans="1:27" s="15" customFormat="1" ht="21" customHeight="1">
      <c r="A353" s="506" t="s">
        <v>903</v>
      </c>
      <c r="B353" s="6"/>
      <c r="C353" s="8" t="s">
        <v>247</v>
      </c>
      <c r="D353" s="6"/>
      <c r="E353" s="6"/>
      <c r="F353" s="6">
        <v>31</v>
      </c>
      <c r="G353" s="7">
        <v>0.56000000000000005</v>
      </c>
      <c r="I353" s="6"/>
      <c r="J353" s="6">
        <v>100</v>
      </c>
      <c r="K353" s="6"/>
      <c r="L353" s="6"/>
      <c r="M353" s="499"/>
      <c r="N353" s="499"/>
      <c r="O353" s="16"/>
      <c r="P353" s="16"/>
      <c r="Q353" s="16"/>
      <c r="R353" s="16"/>
      <c r="S353" s="16"/>
      <c r="T353" s="16"/>
      <c r="U353" s="16"/>
      <c r="V353" s="16"/>
      <c r="W353" s="16"/>
      <c r="X353" s="16"/>
      <c r="Y353" s="16"/>
      <c r="Z353" s="16"/>
      <c r="AA353" s="16"/>
    </row>
    <row r="354" spans="1:27" s="15" customFormat="1" ht="21" customHeight="1">
      <c r="A354" s="506" t="s">
        <v>904</v>
      </c>
      <c r="B354" s="6"/>
      <c r="C354" s="8" t="s">
        <v>246</v>
      </c>
      <c r="D354" s="6"/>
      <c r="E354" s="6"/>
      <c r="F354" s="6">
        <v>0</v>
      </c>
      <c r="G354" s="7">
        <v>0</v>
      </c>
      <c r="I354" s="6"/>
      <c r="J354" s="6">
        <v>50</v>
      </c>
      <c r="K354" s="6"/>
      <c r="L354" s="6"/>
      <c r="M354" s="499"/>
      <c r="N354" s="499"/>
      <c r="O354" s="16"/>
      <c r="P354" s="16"/>
      <c r="Q354" s="16"/>
      <c r="R354" s="16"/>
      <c r="S354" s="16"/>
      <c r="T354" s="16"/>
      <c r="U354" s="16"/>
      <c r="V354" s="16"/>
      <c r="W354" s="16"/>
      <c r="X354" s="16"/>
      <c r="Y354" s="16"/>
      <c r="Z354" s="16"/>
      <c r="AA354" s="16"/>
    </row>
    <row r="355" spans="1:27" s="15" customFormat="1" ht="21" customHeight="1">
      <c r="A355" s="20"/>
      <c r="B355" s="6"/>
      <c r="C355" s="8"/>
      <c r="D355" s="6"/>
      <c r="E355" s="6"/>
      <c r="F355" s="6"/>
      <c r="G355" s="7"/>
      <c r="I355" s="6"/>
      <c r="J355" s="6"/>
      <c r="K355" s="6"/>
      <c r="L355" s="6"/>
      <c r="M355" s="499"/>
      <c r="N355" s="499"/>
      <c r="O355" s="16"/>
      <c r="P355" s="16"/>
      <c r="Q355" s="16"/>
      <c r="R355" s="16"/>
      <c r="S355" s="16"/>
      <c r="T355" s="16"/>
      <c r="U355" s="16"/>
      <c r="V355" s="16"/>
      <c r="W355" s="16"/>
      <c r="X355" s="16"/>
      <c r="Y355" s="16"/>
      <c r="Z355" s="16"/>
      <c r="AA355" s="16"/>
    </row>
    <row r="356" spans="1:27" s="15" customFormat="1" ht="21" customHeight="1">
      <c r="A356" s="501" t="s">
        <v>1047</v>
      </c>
      <c r="B356" s="502" t="s">
        <v>150</v>
      </c>
      <c r="C356" s="507" t="s">
        <v>195</v>
      </c>
      <c r="D356" s="502" t="s">
        <v>709</v>
      </c>
      <c r="E356" s="502" t="s">
        <v>710</v>
      </c>
      <c r="F356" s="502">
        <v>37</v>
      </c>
      <c r="G356" s="504">
        <v>0.41</v>
      </c>
      <c r="H356" s="505" t="s">
        <v>280</v>
      </c>
      <c r="I356" s="502">
        <v>7</v>
      </c>
      <c r="J356" s="502">
        <v>150</v>
      </c>
      <c r="K356" s="502">
        <v>8</v>
      </c>
      <c r="L356" s="502">
        <v>0</v>
      </c>
      <c r="M356" s="507">
        <v>3</v>
      </c>
      <c r="N356" s="507" t="s">
        <v>708</v>
      </c>
      <c r="O356" s="16"/>
      <c r="P356" s="16"/>
      <c r="Q356" s="16"/>
      <c r="R356" s="16"/>
      <c r="S356" s="16"/>
      <c r="T356" s="16"/>
      <c r="U356" s="16"/>
      <c r="V356" s="16"/>
      <c r="W356" s="16"/>
      <c r="X356" s="16"/>
      <c r="Y356" s="16"/>
      <c r="Z356" s="16"/>
      <c r="AA356" s="16"/>
    </row>
    <row r="357" spans="1:27" s="15" customFormat="1" ht="21" customHeight="1">
      <c r="A357" s="506" t="s">
        <v>905</v>
      </c>
      <c r="B357" s="6"/>
      <c r="C357" s="8" t="s">
        <v>247</v>
      </c>
      <c r="D357" s="6"/>
      <c r="E357" s="6"/>
      <c r="F357" s="6">
        <v>34</v>
      </c>
      <c r="G357" s="7">
        <v>0.38</v>
      </c>
      <c r="I357" s="6"/>
      <c r="J357" s="6">
        <v>100</v>
      </c>
      <c r="K357" s="6"/>
      <c r="L357" s="6"/>
      <c r="M357" s="499"/>
      <c r="N357" s="499"/>
      <c r="O357" s="16"/>
      <c r="P357" s="16"/>
      <c r="Q357" s="16"/>
      <c r="R357" s="16"/>
      <c r="S357" s="16"/>
      <c r="T357" s="16"/>
      <c r="U357" s="16"/>
      <c r="V357" s="16"/>
      <c r="W357" s="16"/>
      <c r="X357" s="16"/>
      <c r="Y357" s="16"/>
      <c r="Z357" s="16"/>
      <c r="AA357" s="16"/>
    </row>
    <row r="358" spans="1:27" s="15" customFormat="1" ht="21" customHeight="1">
      <c r="A358" s="506" t="s">
        <v>906</v>
      </c>
      <c r="B358" s="6"/>
      <c r="C358" s="8" t="s">
        <v>246</v>
      </c>
      <c r="D358" s="6"/>
      <c r="E358" s="6"/>
      <c r="F358" s="6">
        <v>8</v>
      </c>
      <c r="G358" s="7">
        <v>0.05</v>
      </c>
      <c r="I358" s="6"/>
      <c r="J358" s="6">
        <v>50</v>
      </c>
      <c r="K358" s="6"/>
      <c r="L358" s="6"/>
      <c r="M358" s="499"/>
      <c r="N358" s="499"/>
      <c r="O358" s="16"/>
      <c r="P358" s="16"/>
      <c r="Q358" s="16"/>
      <c r="R358" s="16"/>
      <c r="S358" s="16"/>
      <c r="T358" s="16"/>
      <c r="U358" s="16"/>
      <c r="V358" s="16"/>
      <c r="W358" s="16"/>
      <c r="X358" s="16"/>
      <c r="Y358" s="16"/>
      <c r="Z358" s="16"/>
      <c r="AA358" s="16"/>
    </row>
    <row r="359" spans="1:27" s="15" customFormat="1" ht="21" customHeight="1">
      <c r="A359" s="20"/>
      <c r="B359" s="6"/>
      <c r="C359" s="8"/>
      <c r="D359" s="6"/>
      <c r="E359" s="6"/>
      <c r="F359" s="6"/>
      <c r="G359" s="7"/>
      <c r="I359" s="6"/>
      <c r="J359" s="6"/>
      <c r="K359" s="6"/>
      <c r="L359" s="6"/>
      <c r="M359" s="499"/>
      <c r="N359" s="499"/>
      <c r="O359" s="16"/>
      <c r="P359" s="16"/>
      <c r="Q359" s="16"/>
      <c r="R359" s="16"/>
      <c r="S359" s="16"/>
      <c r="T359" s="16"/>
      <c r="U359" s="16"/>
      <c r="V359" s="16"/>
      <c r="W359" s="16"/>
      <c r="X359" s="16"/>
      <c r="Y359" s="16"/>
      <c r="Z359" s="16"/>
      <c r="AA359" s="16"/>
    </row>
    <row r="360" spans="1:27" s="15" customFormat="1" ht="21" customHeight="1">
      <c r="A360" s="501" t="s">
        <v>1048</v>
      </c>
      <c r="B360" s="502" t="s">
        <v>150</v>
      </c>
      <c r="C360" s="507" t="s">
        <v>195</v>
      </c>
      <c r="D360" s="502" t="s">
        <v>709</v>
      </c>
      <c r="E360" s="502" t="s">
        <v>710</v>
      </c>
      <c r="F360" s="502">
        <v>51</v>
      </c>
      <c r="G360" s="504">
        <v>0.5</v>
      </c>
      <c r="H360" s="505" t="s">
        <v>280</v>
      </c>
      <c r="I360" s="502">
        <v>3</v>
      </c>
      <c r="J360" s="502">
        <v>251</v>
      </c>
      <c r="K360" s="502">
        <v>8</v>
      </c>
      <c r="L360" s="502">
        <v>0</v>
      </c>
      <c r="M360" s="507">
        <v>2</v>
      </c>
      <c r="N360" s="507" t="s">
        <v>708</v>
      </c>
      <c r="O360" s="16"/>
      <c r="P360" s="16"/>
      <c r="Q360" s="16"/>
      <c r="R360" s="16"/>
      <c r="S360" s="16"/>
      <c r="T360" s="16"/>
      <c r="U360" s="16"/>
      <c r="V360" s="16"/>
      <c r="W360" s="16"/>
      <c r="X360" s="16"/>
      <c r="Y360" s="16"/>
      <c r="Z360" s="16"/>
      <c r="AA360" s="16"/>
    </row>
    <row r="361" spans="1:27" s="15" customFormat="1" ht="21" customHeight="1">
      <c r="A361" s="506" t="s">
        <v>907</v>
      </c>
      <c r="B361" s="6"/>
      <c r="C361" s="8" t="s">
        <v>247</v>
      </c>
      <c r="D361" s="6"/>
      <c r="E361" s="6"/>
      <c r="F361" s="6">
        <v>24</v>
      </c>
      <c r="G361" s="7">
        <v>0.32</v>
      </c>
      <c r="I361" s="6"/>
      <c r="J361" s="6">
        <v>100</v>
      </c>
      <c r="K361" s="6"/>
      <c r="L361" s="6"/>
      <c r="M361" s="499"/>
      <c r="N361" s="499"/>
      <c r="O361" s="16"/>
      <c r="P361" s="16"/>
      <c r="Q361" s="16"/>
      <c r="R361" s="16"/>
      <c r="S361" s="16"/>
      <c r="T361" s="16"/>
      <c r="U361" s="16"/>
      <c r="V361" s="16"/>
      <c r="W361" s="16"/>
      <c r="X361" s="16"/>
      <c r="Y361" s="16"/>
      <c r="Z361" s="16"/>
      <c r="AA361" s="16"/>
    </row>
    <row r="362" spans="1:27" s="15" customFormat="1" ht="21" customHeight="1">
      <c r="A362" s="506" t="s">
        <v>1136</v>
      </c>
      <c r="B362" s="6"/>
      <c r="C362" s="8" t="s">
        <v>246</v>
      </c>
      <c r="D362" s="6"/>
      <c r="E362" s="6"/>
      <c r="F362" s="6">
        <v>8</v>
      </c>
      <c r="G362" s="7">
        <v>0.03</v>
      </c>
      <c r="I362" s="6"/>
      <c r="J362" s="6">
        <v>51</v>
      </c>
      <c r="K362" s="6"/>
      <c r="L362" s="6"/>
      <c r="M362" s="499"/>
      <c r="N362" s="499"/>
      <c r="O362" s="16"/>
      <c r="P362" s="16"/>
      <c r="Q362" s="16"/>
      <c r="R362" s="16"/>
      <c r="S362" s="16"/>
      <c r="T362" s="16"/>
      <c r="U362" s="16"/>
      <c r="V362" s="16"/>
      <c r="W362" s="16"/>
      <c r="X362" s="16"/>
      <c r="Y362" s="16"/>
      <c r="Z362" s="16"/>
      <c r="AA362" s="16"/>
    </row>
    <row r="363" spans="1:27" s="15" customFormat="1" ht="21" customHeight="1">
      <c r="A363" s="506" t="s">
        <v>908</v>
      </c>
      <c r="B363" s="6"/>
      <c r="C363" s="8" t="s">
        <v>247</v>
      </c>
      <c r="D363" s="6"/>
      <c r="E363" s="6"/>
      <c r="F363" s="6">
        <v>20</v>
      </c>
      <c r="G363" s="7">
        <v>0.28999999999999998</v>
      </c>
      <c r="I363" s="6"/>
      <c r="J363" s="6">
        <v>100</v>
      </c>
      <c r="K363" s="6"/>
      <c r="L363" s="6"/>
      <c r="M363" s="499"/>
      <c r="N363" s="499"/>
      <c r="O363" s="16"/>
      <c r="P363" s="16"/>
      <c r="Q363" s="16"/>
      <c r="R363" s="16"/>
      <c r="S363" s="16"/>
      <c r="T363" s="16"/>
      <c r="U363" s="16"/>
      <c r="V363" s="16"/>
      <c r="W363" s="16"/>
      <c r="X363" s="16"/>
      <c r="Y363" s="16"/>
      <c r="Z363" s="16"/>
      <c r="AA363" s="16"/>
    </row>
    <row r="364" spans="1:27" s="15" customFormat="1" ht="21" customHeight="1">
      <c r="A364" s="20"/>
      <c r="B364" s="6"/>
      <c r="C364" s="8"/>
      <c r="D364" s="6"/>
      <c r="E364" s="6"/>
      <c r="F364" s="6"/>
      <c r="G364" s="7"/>
      <c r="I364" s="6"/>
      <c r="J364" s="6"/>
      <c r="K364" s="6"/>
      <c r="L364" s="6"/>
      <c r="M364" s="499"/>
      <c r="N364" s="499"/>
      <c r="O364" s="16"/>
      <c r="P364" s="16"/>
      <c r="Q364" s="16"/>
      <c r="R364" s="16"/>
      <c r="S364" s="16"/>
      <c r="T364" s="16"/>
      <c r="U364" s="16"/>
      <c r="V364" s="16"/>
      <c r="W364" s="16"/>
      <c r="X364" s="16"/>
      <c r="Y364" s="16"/>
      <c r="Z364" s="16"/>
      <c r="AA364" s="16"/>
    </row>
    <row r="365" spans="1:27" s="15" customFormat="1" ht="21" customHeight="1">
      <c r="A365" s="501" t="s">
        <v>1049</v>
      </c>
      <c r="B365" s="502" t="s">
        <v>150</v>
      </c>
      <c r="C365" s="507" t="s">
        <v>195</v>
      </c>
      <c r="D365" s="502" t="s">
        <v>709</v>
      </c>
      <c r="E365" s="502" t="s">
        <v>710</v>
      </c>
      <c r="F365" s="502">
        <v>29</v>
      </c>
      <c r="G365" s="504">
        <v>0.33</v>
      </c>
      <c r="H365" s="505" t="s">
        <v>276</v>
      </c>
      <c r="I365" s="502">
        <v>3</v>
      </c>
      <c r="J365" s="502">
        <v>450</v>
      </c>
      <c r="K365" s="502">
        <v>2</v>
      </c>
      <c r="L365" s="502">
        <v>0</v>
      </c>
      <c r="M365" s="507">
        <v>1</v>
      </c>
      <c r="N365" s="507" t="s">
        <v>708</v>
      </c>
      <c r="O365" s="16"/>
      <c r="P365" s="16"/>
      <c r="Q365" s="16"/>
      <c r="R365" s="16"/>
      <c r="S365" s="16"/>
      <c r="T365" s="16"/>
      <c r="U365" s="16"/>
      <c r="V365" s="16"/>
      <c r="W365" s="16"/>
      <c r="X365" s="16"/>
      <c r="Y365" s="16"/>
      <c r="Z365" s="16"/>
      <c r="AA365" s="16"/>
    </row>
    <row r="366" spans="1:27" s="15" customFormat="1" ht="21" customHeight="1">
      <c r="A366" s="506" t="s">
        <v>1137</v>
      </c>
      <c r="B366" s="6"/>
      <c r="C366" s="8" t="s">
        <v>246</v>
      </c>
      <c r="D366" s="6"/>
      <c r="E366" s="6"/>
      <c r="F366" s="6">
        <v>0</v>
      </c>
      <c r="G366" s="7">
        <v>0</v>
      </c>
      <c r="I366" s="6"/>
      <c r="J366" s="6">
        <v>50</v>
      </c>
      <c r="K366" s="6"/>
      <c r="L366" s="6"/>
      <c r="M366" s="499"/>
      <c r="N366" s="499"/>
      <c r="O366" s="16"/>
      <c r="P366" s="16"/>
      <c r="Q366" s="16"/>
      <c r="R366" s="16"/>
      <c r="S366" s="16"/>
      <c r="T366" s="16"/>
      <c r="U366" s="16"/>
      <c r="V366" s="16"/>
      <c r="W366" s="16"/>
      <c r="X366" s="16"/>
      <c r="Y366" s="16"/>
      <c r="Z366" s="16"/>
      <c r="AA366" s="16"/>
    </row>
    <row r="367" spans="1:27" s="15" customFormat="1" ht="21" customHeight="1">
      <c r="A367" s="506" t="s">
        <v>1138</v>
      </c>
      <c r="B367" s="6"/>
      <c r="C367" s="8" t="s">
        <v>248</v>
      </c>
      <c r="D367" s="6"/>
      <c r="E367" s="6"/>
      <c r="F367" s="6">
        <v>15</v>
      </c>
      <c r="G367" s="7">
        <v>0.14000000000000001</v>
      </c>
      <c r="I367" s="6"/>
      <c r="J367" s="6">
        <v>300</v>
      </c>
      <c r="K367" s="6"/>
      <c r="L367" s="6"/>
      <c r="M367" s="499"/>
      <c r="N367" s="499"/>
      <c r="O367" s="16"/>
      <c r="P367" s="16"/>
      <c r="Q367" s="16"/>
      <c r="R367" s="16"/>
      <c r="S367" s="16"/>
      <c r="T367" s="16"/>
      <c r="U367" s="16"/>
      <c r="V367" s="16"/>
      <c r="W367" s="16"/>
      <c r="X367" s="16"/>
      <c r="Y367" s="16"/>
      <c r="Z367" s="16"/>
      <c r="AA367" s="16"/>
    </row>
    <row r="368" spans="1:27" s="15" customFormat="1" ht="21" customHeight="1">
      <c r="A368" s="506" t="s">
        <v>1139</v>
      </c>
      <c r="B368" s="6"/>
      <c r="C368" s="8" t="s">
        <v>247</v>
      </c>
      <c r="D368" s="6"/>
      <c r="E368" s="6"/>
      <c r="F368" s="6">
        <v>21</v>
      </c>
      <c r="G368" s="7">
        <v>0.24</v>
      </c>
      <c r="I368" s="6"/>
      <c r="J368" s="6">
        <v>100</v>
      </c>
      <c r="K368" s="6"/>
      <c r="L368" s="6"/>
      <c r="M368" s="499"/>
      <c r="N368" s="499"/>
      <c r="O368" s="16"/>
      <c r="P368" s="16"/>
      <c r="Q368" s="16"/>
      <c r="R368" s="16"/>
      <c r="S368" s="16"/>
      <c r="T368" s="16"/>
      <c r="U368" s="16"/>
      <c r="V368" s="16"/>
      <c r="W368" s="16"/>
      <c r="X368" s="16"/>
      <c r="Y368" s="16"/>
      <c r="Z368" s="16"/>
      <c r="AA368" s="16"/>
    </row>
    <row r="369" spans="1:27" s="15" customFormat="1" ht="21" customHeight="1">
      <c r="A369" s="20"/>
      <c r="B369" s="6"/>
      <c r="C369" s="8"/>
      <c r="D369" s="6"/>
      <c r="E369" s="6"/>
      <c r="F369" s="6"/>
      <c r="G369" s="7"/>
      <c r="I369" s="6"/>
      <c r="J369" s="6"/>
      <c r="K369" s="6"/>
      <c r="L369" s="6"/>
      <c r="M369" s="499"/>
      <c r="N369" s="499"/>
      <c r="O369" s="16"/>
      <c r="P369" s="16"/>
      <c r="Q369" s="16"/>
      <c r="R369" s="16"/>
      <c r="S369" s="16"/>
      <c r="T369" s="16"/>
      <c r="U369" s="16"/>
      <c r="V369" s="16"/>
      <c r="W369" s="16"/>
      <c r="X369" s="16"/>
      <c r="Y369" s="16"/>
      <c r="Z369" s="16"/>
      <c r="AA369" s="16"/>
    </row>
    <row r="370" spans="1:27" s="15" customFormat="1" ht="21" customHeight="1">
      <c r="A370" s="501" t="s">
        <v>1050</v>
      </c>
      <c r="B370" s="502" t="s">
        <v>150</v>
      </c>
      <c r="C370" s="507" t="s">
        <v>195</v>
      </c>
      <c r="D370" s="502" t="s">
        <v>709</v>
      </c>
      <c r="E370" s="502" t="s">
        <v>710</v>
      </c>
      <c r="F370" s="502">
        <v>6</v>
      </c>
      <c r="G370" s="504">
        <v>0.03</v>
      </c>
      <c r="H370" s="505" t="s">
        <v>229</v>
      </c>
      <c r="I370" s="502">
        <v>1</v>
      </c>
      <c r="J370" s="502">
        <v>40</v>
      </c>
      <c r="K370" s="502">
        <v>1</v>
      </c>
      <c r="L370" s="502">
        <v>0</v>
      </c>
      <c r="M370" s="507">
        <v>1</v>
      </c>
      <c r="N370" s="507" t="s">
        <v>708</v>
      </c>
      <c r="O370" s="16"/>
      <c r="P370" s="16"/>
      <c r="Q370" s="16"/>
      <c r="R370" s="16"/>
      <c r="S370" s="16"/>
      <c r="T370" s="16"/>
      <c r="U370" s="16"/>
      <c r="V370" s="16"/>
      <c r="W370" s="16"/>
      <c r="X370" s="16"/>
      <c r="Y370" s="16"/>
      <c r="Z370" s="16"/>
      <c r="AA370" s="16"/>
    </row>
    <row r="371" spans="1:27" s="15" customFormat="1" ht="21" customHeight="1">
      <c r="A371" s="506" t="s">
        <v>909</v>
      </c>
      <c r="B371" s="6"/>
      <c r="C371" s="8" t="s">
        <v>246</v>
      </c>
      <c r="D371" s="6"/>
      <c r="E371" s="6"/>
      <c r="F371" s="6">
        <v>6</v>
      </c>
      <c r="G371" s="7">
        <v>0.03</v>
      </c>
      <c r="I371" s="6"/>
      <c r="J371" s="6">
        <v>40</v>
      </c>
      <c r="K371" s="6"/>
      <c r="L371" s="6"/>
      <c r="M371" s="499"/>
      <c r="N371" s="499"/>
      <c r="O371" s="16"/>
      <c r="P371" s="16"/>
      <c r="Q371" s="16"/>
      <c r="R371" s="16"/>
      <c r="S371" s="16"/>
      <c r="T371" s="16"/>
      <c r="U371" s="16"/>
      <c r="V371" s="16"/>
      <c r="W371" s="16"/>
      <c r="X371" s="16"/>
      <c r="Y371" s="16"/>
      <c r="Z371" s="16"/>
      <c r="AA371" s="16"/>
    </row>
    <row r="372" spans="1:27" s="15" customFormat="1" ht="21" customHeight="1">
      <c r="A372" s="20"/>
      <c r="B372" s="6"/>
      <c r="C372" s="8"/>
      <c r="D372" s="6"/>
      <c r="E372" s="6"/>
      <c r="F372" s="6"/>
      <c r="G372" s="7"/>
      <c r="I372" s="6"/>
      <c r="J372" s="6"/>
      <c r="K372" s="6"/>
      <c r="L372" s="6"/>
      <c r="M372" s="499"/>
      <c r="N372" s="499"/>
      <c r="O372" s="16"/>
      <c r="P372" s="16"/>
      <c r="Q372" s="16"/>
      <c r="R372" s="16"/>
      <c r="S372" s="16"/>
      <c r="T372" s="16"/>
      <c r="U372" s="16"/>
      <c r="V372" s="16"/>
      <c r="W372" s="16"/>
      <c r="X372" s="16"/>
      <c r="Y372" s="16"/>
      <c r="Z372" s="16"/>
      <c r="AA372" s="16"/>
    </row>
    <row r="373" spans="1:27" s="15" customFormat="1" ht="21" customHeight="1">
      <c r="A373" s="501" t="s">
        <v>1051</v>
      </c>
      <c r="B373" s="502" t="s">
        <v>150</v>
      </c>
      <c r="C373" s="507" t="s">
        <v>195</v>
      </c>
      <c r="D373" s="502" t="s">
        <v>709</v>
      </c>
      <c r="E373" s="502" t="s">
        <v>710</v>
      </c>
      <c r="F373" s="502">
        <v>74</v>
      </c>
      <c r="G373" s="504">
        <v>0.67</v>
      </c>
      <c r="H373" s="505" t="s">
        <v>280</v>
      </c>
      <c r="I373" s="502">
        <v>7</v>
      </c>
      <c r="J373" s="502">
        <v>1451</v>
      </c>
      <c r="K373" s="502">
        <v>8</v>
      </c>
      <c r="L373" s="502">
        <v>0</v>
      </c>
      <c r="M373" s="507">
        <v>2</v>
      </c>
      <c r="N373" s="507" t="s">
        <v>708</v>
      </c>
      <c r="O373" s="16"/>
      <c r="P373" s="16"/>
      <c r="Q373" s="16"/>
      <c r="R373" s="16"/>
      <c r="S373" s="16"/>
      <c r="T373" s="16"/>
      <c r="U373" s="16"/>
      <c r="V373" s="16"/>
      <c r="W373" s="16"/>
      <c r="X373" s="16"/>
      <c r="Y373" s="16"/>
      <c r="Z373" s="16"/>
      <c r="AA373" s="16"/>
    </row>
    <row r="374" spans="1:27" s="15" customFormat="1" ht="21" customHeight="1">
      <c r="A374" s="506" t="s">
        <v>910</v>
      </c>
      <c r="B374" s="6"/>
      <c r="C374" s="8" t="s">
        <v>247</v>
      </c>
      <c r="D374" s="6"/>
      <c r="E374" s="6"/>
      <c r="F374" s="6">
        <v>69</v>
      </c>
      <c r="G374" s="7">
        <v>0.65</v>
      </c>
      <c r="I374" s="6"/>
      <c r="J374" s="6">
        <v>100</v>
      </c>
      <c r="K374" s="6"/>
      <c r="L374" s="6"/>
      <c r="M374" s="499"/>
      <c r="N374" s="499"/>
      <c r="O374" s="16"/>
      <c r="P374" s="16"/>
      <c r="Q374" s="16"/>
      <c r="R374" s="16"/>
      <c r="S374" s="16"/>
      <c r="T374" s="16"/>
      <c r="U374" s="16"/>
      <c r="V374" s="16"/>
      <c r="W374" s="16"/>
      <c r="X374" s="16"/>
      <c r="Y374" s="16"/>
      <c r="Z374" s="16"/>
      <c r="AA374" s="16"/>
    </row>
    <row r="375" spans="1:27" s="15" customFormat="1" ht="21" customHeight="1">
      <c r="A375" s="506" t="s">
        <v>911</v>
      </c>
      <c r="B375" s="6"/>
      <c r="C375" s="8" t="s">
        <v>246</v>
      </c>
      <c r="D375" s="6"/>
      <c r="E375" s="6"/>
      <c r="F375" s="6">
        <v>8</v>
      </c>
      <c r="G375" s="7">
        <v>0.05</v>
      </c>
      <c r="I375" s="6"/>
      <c r="J375" s="6">
        <v>50</v>
      </c>
      <c r="K375" s="6"/>
      <c r="L375" s="6"/>
      <c r="M375" s="499"/>
      <c r="N375" s="499"/>
      <c r="O375" s="16"/>
      <c r="P375" s="16"/>
      <c r="Q375" s="16"/>
      <c r="R375" s="16"/>
      <c r="S375" s="16"/>
      <c r="T375" s="16"/>
      <c r="U375" s="16"/>
      <c r="V375" s="16"/>
      <c r="W375" s="16"/>
      <c r="X375" s="16"/>
      <c r="Y375" s="16"/>
      <c r="Z375" s="16"/>
      <c r="AA375" s="16"/>
    </row>
    <row r="376" spans="1:27" s="15" customFormat="1" ht="21" customHeight="1">
      <c r="A376" s="506" t="s">
        <v>912</v>
      </c>
      <c r="B376" s="6"/>
      <c r="C376" s="8" t="s">
        <v>247</v>
      </c>
      <c r="D376" s="6"/>
      <c r="E376" s="6"/>
      <c r="F376" s="6">
        <v>0</v>
      </c>
      <c r="G376" s="7">
        <v>0</v>
      </c>
      <c r="I376" s="6"/>
      <c r="J376" s="6">
        <v>100</v>
      </c>
      <c r="K376" s="6"/>
      <c r="L376" s="6"/>
      <c r="M376" s="499"/>
      <c r="N376" s="499"/>
      <c r="O376" s="16"/>
      <c r="P376" s="16"/>
      <c r="Q376" s="16"/>
      <c r="R376" s="16"/>
      <c r="S376" s="16"/>
      <c r="T376" s="16"/>
      <c r="U376" s="16"/>
      <c r="V376" s="16"/>
      <c r="W376" s="16"/>
      <c r="X376" s="16"/>
      <c r="Y376" s="16"/>
      <c r="Z376" s="16"/>
      <c r="AA376" s="16"/>
    </row>
    <row r="377" spans="1:27" s="15" customFormat="1" ht="21" customHeight="1">
      <c r="A377" s="506" t="s">
        <v>913</v>
      </c>
      <c r="B377" s="6"/>
      <c r="C377" s="8" t="s">
        <v>247</v>
      </c>
      <c r="D377" s="6"/>
      <c r="E377" s="6"/>
      <c r="F377" s="6">
        <v>0</v>
      </c>
      <c r="G377" s="7">
        <v>0</v>
      </c>
      <c r="I377" s="6"/>
      <c r="J377" s="6">
        <v>100</v>
      </c>
      <c r="K377" s="6"/>
      <c r="L377" s="6"/>
      <c r="M377" s="499"/>
      <c r="N377" s="499"/>
      <c r="O377" s="16"/>
      <c r="P377" s="16"/>
      <c r="Q377" s="16"/>
      <c r="R377" s="16"/>
      <c r="S377" s="16"/>
      <c r="T377" s="16"/>
      <c r="U377" s="16"/>
      <c r="V377" s="16"/>
      <c r="W377" s="16"/>
      <c r="X377" s="16"/>
      <c r="Y377" s="16"/>
      <c r="Z377" s="16"/>
      <c r="AA377" s="16"/>
    </row>
    <row r="378" spans="1:27" s="15" customFormat="1" ht="21" customHeight="1">
      <c r="A378" s="506" t="s">
        <v>914</v>
      </c>
      <c r="B378" s="6"/>
      <c r="C378" s="8" t="s">
        <v>249</v>
      </c>
      <c r="D378" s="6"/>
      <c r="E378" s="6"/>
      <c r="F378" s="6">
        <v>4</v>
      </c>
      <c r="G378" s="7">
        <v>0.02</v>
      </c>
      <c r="I378" s="6"/>
      <c r="J378" s="6">
        <v>701</v>
      </c>
      <c r="K378" s="6"/>
      <c r="L378" s="6"/>
      <c r="M378" s="499"/>
      <c r="N378" s="499"/>
      <c r="O378" s="16"/>
      <c r="P378" s="16"/>
      <c r="Q378" s="16"/>
      <c r="R378" s="16"/>
      <c r="S378" s="16"/>
      <c r="T378" s="16"/>
      <c r="U378" s="16"/>
      <c r="V378" s="16"/>
      <c r="W378" s="16"/>
      <c r="X378" s="16"/>
      <c r="Y378" s="16"/>
      <c r="Z378" s="16"/>
      <c r="AA378" s="16"/>
    </row>
    <row r="379" spans="1:27" s="15" customFormat="1" ht="21" customHeight="1">
      <c r="A379" s="506" t="s">
        <v>915</v>
      </c>
      <c r="B379" s="6"/>
      <c r="C379" s="8" t="s">
        <v>559</v>
      </c>
      <c r="D379" s="6"/>
      <c r="E379" s="6"/>
      <c r="F379" s="6">
        <v>3</v>
      </c>
      <c r="G379" s="7">
        <v>0.04</v>
      </c>
      <c r="I379" s="6"/>
      <c r="J379" s="6">
        <v>200</v>
      </c>
      <c r="K379" s="6"/>
      <c r="L379" s="6"/>
      <c r="M379" s="499"/>
      <c r="N379" s="499"/>
      <c r="O379" s="16"/>
      <c r="P379" s="16"/>
      <c r="Q379" s="16"/>
      <c r="R379" s="16"/>
      <c r="S379" s="16"/>
      <c r="T379" s="16"/>
      <c r="U379" s="16"/>
      <c r="V379" s="16"/>
      <c r="W379" s="16"/>
      <c r="X379" s="16"/>
      <c r="Y379" s="16"/>
      <c r="Z379" s="16"/>
      <c r="AA379" s="16"/>
    </row>
    <row r="380" spans="1:27" s="15" customFormat="1" ht="21" customHeight="1">
      <c r="A380" s="506" t="s">
        <v>916</v>
      </c>
      <c r="B380" s="6"/>
      <c r="C380" s="8" t="s">
        <v>559</v>
      </c>
      <c r="D380" s="6"/>
      <c r="E380" s="6"/>
      <c r="F380" s="6">
        <v>0</v>
      </c>
      <c r="G380" s="7">
        <v>0</v>
      </c>
      <c r="I380" s="6"/>
      <c r="J380" s="6">
        <v>200</v>
      </c>
      <c r="K380" s="6"/>
      <c r="L380" s="6"/>
      <c r="M380" s="499"/>
      <c r="N380" s="499"/>
      <c r="O380" s="16"/>
      <c r="P380" s="16"/>
      <c r="Q380" s="16"/>
      <c r="R380" s="16"/>
      <c r="S380" s="16"/>
      <c r="T380" s="16"/>
      <c r="U380" s="16"/>
      <c r="V380" s="16"/>
      <c r="W380" s="16"/>
      <c r="X380" s="16"/>
      <c r="Y380" s="16"/>
      <c r="Z380" s="16"/>
      <c r="AA380" s="16"/>
    </row>
    <row r="381" spans="1:27" s="15" customFormat="1" ht="21" customHeight="1">
      <c r="A381" s="20"/>
      <c r="B381" s="6"/>
      <c r="C381" s="8"/>
      <c r="D381" s="6"/>
      <c r="E381" s="6"/>
      <c r="F381" s="6"/>
      <c r="G381" s="7"/>
      <c r="I381" s="6"/>
      <c r="J381" s="6"/>
      <c r="K381" s="6"/>
      <c r="L381" s="6"/>
      <c r="M381" s="499"/>
      <c r="N381" s="499"/>
      <c r="O381" s="16"/>
      <c r="P381" s="16"/>
      <c r="Q381" s="16"/>
      <c r="R381" s="16"/>
      <c r="S381" s="16"/>
      <c r="T381" s="16"/>
      <c r="U381" s="16"/>
      <c r="V381" s="16"/>
      <c r="W381" s="16"/>
      <c r="X381" s="16"/>
      <c r="Y381" s="16"/>
      <c r="Z381" s="16"/>
      <c r="AA381" s="16"/>
    </row>
    <row r="382" spans="1:27" s="15" customFormat="1" ht="21" customHeight="1">
      <c r="A382" s="501" t="s">
        <v>1052</v>
      </c>
      <c r="B382" s="502" t="s">
        <v>150</v>
      </c>
      <c r="C382" s="507" t="s">
        <v>195</v>
      </c>
      <c r="D382" s="502" t="s">
        <v>709</v>
      </c>
      <c r="E382" s="502" t="s">
        <v>710</v>
      </c>
      <c r="F382" s="502">
        <v>23</v>
      </c>
      <c r="G382" s="504">
        <v>0.32</v>
      </c>
      <c r="H382" s="505" t="s">
        <v>280</v>
      </c>
      <c r="I382" s="502">
        <v>7</v>
      </c>
      <c r="J382" s="502">
        <v>150</v>
      </c>
      <c r="K382" s="502">
        <v>8</v>
      </c>
      <c r="L382" s="502">
        <v>0</v>
      </c>
      <c r="M382" s="507">
        <v>3</v>
      </c>
      <c r="N382" s="507" t="s">
        <v>708</v>
      </c>
      <c r="O382" s="16"/>
      <c r="P382" s="16"/>
      <c r="Q382" s="16"/>
      <c r="R382" s="16"/>
      <c r="S382" s="16"/>
      <c r="T382" s="16"/>
      <c r="U382" s="16"/>
      <c r="V382" s="16"/>
      <c r="W382" s="16"/>
      <c r="X382" s="16"/>
      <c r="Y382" s="16"/>
      <c r="Z382" s="16"/>
      <c r="AA382" s="16"/>
    </row>
    <row r="383" spans="1:27" s="15" customFormat="1" ht="21" customHeight="1">
      <c r="A383" s="506" t="s">
        <v>917</v>
      </c>
      <c r="B383" s="6"/>
      <c r="C383" s="8" t="s">
        <v>247</v>
      </c>
      <c r="D383" s="6"/>
      <c r="E383" s="6"/>
      <c r="F383" s="6">
        <v>15</v>
      </c>
      <c r="G383" s="7">
        <v>0.31</v>
      </c>
      <c r="I383" s="6"/>
      <c r="J383" s="6">
        <v>100</v>
      </c>
      <c r="K383" s="6"/>
      <c r="L383" s="6"/>
      <c r="M383" s="499"/>
      <c r="N383" s="499"/>
      <c r="O383" s="16"/>
      <c r="P383" s="16"/>
      <c r="Q383" s="16"/>
      <c r="R383" s="16"/>
      <c r="S383" s="16"/>
      <c r="T383" s="16"/>
      <c r="U383" s="16"/>
      <c r="V383" s="16"/>
      <c r="W383" s="16"/>
      <c r="X383" s="16"/>
      <c r="Y383" s="16"/>
      <c r="Z383" s="16"/>
      <c r="AA383" s="16"/>
    </row>
    <row r="384" spans="1:27" s="15" customFormat="1" ht="21" customHeight="1">
      <c r="A384" s="506" t="s">
        <v>918</v>
      </c>
      <c r="B384" s="6"/>
      <c r="C384" s="8" t="s">
        <v>246</v>
      </c>
      <c r="D384" s="6"/>
      <c r="E384" s="6"/>
      <c r="F384" s="6">
        <v>10</v>
      </c>
      <c r="G384" s="7">
        <v>0.06</v>
      </c>
      <c r="I384" s="6"/>
      <c r="J384" s="6">
        <v>50</v>
      </c>
      <c r="K384" s="6"/>
      <c r="L384" s="6"/>
      <c r="M384" s="499"/>
      <c r="N384" s="499"/>
      <c r="O384" s="16"/>
      <c r="P384" s="16"/>
      <c r="Q384" s="16"/>
      <c r="R384" s="16"/>
      <c r="S384" s="16"/>
      <c r="T384" s="16"/>
      <c r="U384" s="16"/>
      <c r="V384" s="16"/>
      <c r="W384" s="16"/>
      <c r="X384" s="16"/>
      <c r="Y384" s="16"/>
      <c r="Z384" s="16"/>
      <c r="AA384" s="16"/>
    </row>
    <row r="385" spans="1:27" s="15" customFormat="1" ht="21" customHeight="1">
      <c r="A385" s="20"/>
      <c r="B385" s="6"/>
      <c r="C385" s="8"/>
      <c r="D385" s="6"/>
      <c r="E385" s="6"/>
      <c r="F385" s="6"/>
      <c r="G385" s="7"/>
      <c r="I385" s="6"/>
      <c r="J385" s="6"/>
      <c r="K385" s="6"/>
      <c r="L385" s="6"/>
      <c r="M385" s="499"/>
      <c r="N385" s="499"/>
      <c r="O385" s="16"/>
      <c r="P385" s="16"/>
      <c r="Q385" s="16"/>
      <c r="R385" s="16"/>
      <c r="S385" s="16"/>
      <c r="T385" s="16"/>
      <c r="U385" s="16"/>
      <c r="V385" s="16"/>
      <c r="W385" s="16"/>
      <c r="X385" s="16"/>
      <c r="Y385" s="16"/>
      <c r="Z385" s="16"/>
      <c r="AA385" s="16"/>
    </row>
    <row r="386" spans="1:27" s="15" customFormat="1" ht="21" customHeight="1">
      <c r="A386" s="501" t="s">
        <v>1053</v>
      </c>
      <c r="B386" s="502" t="s">
        <v>150</v>
      </c>
      <c r="C386" s="507" t="s">
        <v>195</v>
      </c>
      <c r="D386" s="502" t="s">
        <v>709</v>
      </c>
      <c r="E386" s="502" t="s">
        <v>710</v>
      </c>
      <c r="F386" s="502">
        <v>54</v>
      </c>
      <c r="G386" s="504">
        <v>0.64</v>
      </c>
      <c r="H386" s="505" t="s">
        <v>280</v>
      </c>
      <c r="I386" s="502">
        <v>3</v>
      </c>
      <c r="J386" s="502">
        <v>251</v>
      </c>
      <c r="K386" s="502">
        <v>8</v>
      </c>
      <c r="L386" s="502">
        <v>0</v>
      </c>
      <c r="M386" s="507">
        <v>2</v>
      </c>
      <c r="N386" s="507" t="s">
        <v>708</v>
      </c>
      <c r="O386" s="16"/>
      <c r="P386" s="16"/>
      <c r="Q386" s="16"/>
      <c r="R386" s="16"/>
      <c r="S386" s="16"/>
      <c r="T386" s="16"/>
      <c r="U386" s="16"/>
      <c r="V386" s="16"/>
      <c r="W386" s="16"/>
      <c r="X386" s="16"/>
      <c r="Y386" s="16"/>
      <c r="Z386" s="16"/>
      <c r="AA386" s="16"/>
    </row>
    <row r="387" spans="1:27" s="15" customFormat="1" ht="21" customHeight="1">
      <c r="A387" s="506" t="s">
        <v>919</v>
      </c>
      <c r="B387" s="6"/>
      <c r="C387" s="8" t="s">
        <v>247</v>
      </c>
      <c r="D387" s="6"/>
      <c r="E387" s="6"/>
      <c r="F387" s="6">
        <v>17</v>
      </c>
      <c r="G387" s="7">
        <v>0.26</v>
      </c>
      <c r="I387" s="6"/>
      <c r="J387" s="6">
        <v>100</v>
      </c>
      <c r="K387" s="6"/>
      <c r="L387" s="6"/>
      <c r="M387" s="499"/>
      <c r="N387" s="499"/>
      <c r="O387" s="16"/>
      <c r="P387" s="16"/>
      <c r="Q387" s="16"/>
      <c r="R387" s="16"/>
      <c r="S387" s="16"/>
      <c r="T387" s="16"/>
      <c r="U387" s="16"/>
      <c r="V387" s="16"/>
      <c r="W387" s="16"/>
      <c r="X387" s="16"/>
      <c r="Y387" s="16"/>
      <c r="Z387" s="16"/>
      <c r="AA387" s="16"/>
    </row>
    <row r="388" spans="1:27" s="15" customFormat="1" ht="21" customHeight="1">
      <c r="A388" s="506" t="s">
        <v>1140</v>
      </c>
      <c r="B388" s="6"/>
      <c r="C388" s="8" t="s">
        <v>246</v>
      </c>
      <c r="D388" s="6"/>
      <c r="E388" s="6"/>
      <c r="F388" s="6">
        <v>3</v>
      </c>
      <c r="G388" s="7">
        <v>0.03</v>
      </c>
      <c r="I388" s="6"/>
      <c r="J388" s="6">
        <v>51</v>
      </c>
      <c r="K388" s="6"/>
      <c r="L388" s="6"/>
      <c r="M388" s="499"/>
      <c r="N388" s="499"/>
      <c r="O388" s="16"/>
      <c r="P388" s="16"/>
      <c r="Q388" s="16"/>
      <c r="R388" s="16"/>
      <c r="S388" s="16"/>
      <c r="T388" s="16"/>
      <c r="U388" s="16"/>
      <c r="V388" s="16"/>
      <c r="W388" s="16"/>
      <c r="X388" s="16"/>
      <c r="Y388" s="16"/>
      <c r="Z388" s="16"/>
      <c r="AA388" s="16"/>
    </row>
    <row r="389" spans="1:27" s="15" customFormat="1" ht="21" customHeight="1">
      <c r="A389" s="506" t="s">
        <v>920</v>
      </c>
      <c r="B389" s="6"/>
      <c r="C389" s="8" t="s">
        <v>247</v>
      </c>
      <c r="D389" s="6"/>
      <c r="E389" s="6"/>
      <c r="F389" s="6">
        <v>24</v>
      </c>
      <c r="G389" s="7">
        <v>0.36</v>
      </c>
      <c r="I389" s="6"/>
      <c r="J389" s="6">
        <v>100</v>
      </c>
      <c r="K389" s="6"/>
      <c r="L389" s="6"/>
      <c r="M389" s="499"/>
      <c r="N389" s="499"/>
      <c r="O389" s="16"/>
      <c r="P389" s="16"/>
      <c r="Q389" s="16"/>
      <c r="R389" s="16"/>
      <c r="S389" s="16"/>
      <c r="T389" s="16"/>
      <c r="U389" s="16"/>
      <c r="V389" s="16"/>
      <c r="W389" s="16"/>
      <c r="X389" s="16"/>
      <c r="Y389" s="16"/>
      <c r="Z389" s="16"/>
      <c r="AA389" s="16"/>
    </row>
    <row r="390" spans="1:27" s="15" customFormat="1" ht="21" customHeight="1">
      <c r="A390" s="20"/>
      <c r="B390" s="6"/>
      <c r="C390" s="8"/>
      <c r="D390" s="6"/>
      <c r="E390" s="6"/>
      <c r="F390" s="6"/>
      <c r="G390" s="7"/>
      <c r="I390" s="6"/>
      <c r="J390" s="6"/>
      <c r="K390" s="6"/>
      <c r="L390" s="6"/>
      <c r="M390" s="499"/>
      <c r="N390" s="499"/>
      <c r="O390" s="16"/>
      <c r="P390" s="16"/>
      <c r="Q390" s="16"/>
      <c r="R390" s="16"/>
      <c r="S390" s="16"/>
      <c r="T390" s="16"/>
      <c r="U390" s="16"/>
      <c r="V390" s="16"/>
      <c r="W390" s="16"/>
      <c r="X390" s="16"/>
      <c r="Y390" s="16"/>
      <c r="Z390" s="16"/>
      <c r="AA390" s="16"/>
    </row>
    <row r="391" spans="1:27" s="15" customFormat="1" ht="21" customHeight="1">
      <c r="A391" s="501" t="s">
        <v>1054</v>
      </c>
      <c r="B391" s="502" t="s">
        <v>150</v>
      </c>
      <c r="C391" s="507" t="s">
        <v>195</v>
      </c>
      <c r="D391" s="502" t="s">
        <v>709</v>
      </c>
      <c r="E391" s="502" t="s">
        <v>710</v>
      </c>
      <c r="F391" s="502">
        <v>28</v>
      </c>
      <c r="G391" s="504">
        <v>0.28999999999999998</v>
      </c>
      <c r="H391" s="505" t="s">
        <v>276</v>
      </c>
      <c r="I391" s="502">
        <v>3</v>
      </c>
      <c r="J391" s="502">
        <v>450</v>
      </c>
      <c r="K391" s="502">
        <v>2</v>
      </c>
      <c r="L391" s="502">
        <v>0</v>
      </c>
      <c r="M391" s="507">
        <v>1</v>
      </c>
      <c r="N391" s="507" t="s">
        <v>708</v>
      </c>
      <c r="O391" s="16"/>
      <c r="P391" s="16"/>
      <c r="Q391" s="16"/>
      <c r="R391" s="16"/>
      <c r="S391" s="16"/>
      <c r="T391" s="16"/>
      <c r="U391" s="16"/>
      <c r="V391" s="16"/>
      <c r="W391" s="16"/>
      <c r="X391" s="16"/>
      <c r="Y391" s="16"/>
      <c r="Z391" s="16"/>
      <c r="AA391" s="16"/>
    </row>
    <row r="392" spans="1:27" s="15" customFormat="1" ht="21" customHeight="1">
      <c r="A392" s="506" t="s">
        <v>1141</v>
      </c>
      <c r="B392" s="6"/>
      <c r="C392" s="8" t="s">
        <v>247</v>
      </c>
      <c r="D392" s="6"/>
      <c r="E392" s="6"/>
      <c r="F392" s="6">
        <v>19</v>
      </c>
      <c r="G392" s="7">
        <v>0.22</v>
      </c>
      <c r="I392" s="6"/>
      <c r="J392" s="6">
        <v>100</v>
      </c>
      <c r="K392" s="6"/>
      <c r="L392" s="6"/>
      <c r="M392" s="499"/>
      <c r="N392" s="499"/>
      <c r="O392" s="16"/>
      <c r="P392" s="16"/>
      <c r="Q392" s="16"/>
      <c r="R392" s="16"/>
      <c r="S392" s="16"/>
      <c r="T392" s="16"/>
      <c r="U392" s="16"/>
      <c r="V392" s="16"/>
      <c r="W392" s="16"/>
      <c r="X392" s="16"/>
      <c r="Y392" s="16"/>
      <c r="Z392" s="16"/>
      <c r="AA392" s="16"/>
    </row>
    <row r="393" spans="1:27" s="15" customFormat="1" ht="21" customHeight="1">
      <c r="A393" s="506" t="s">
        <v>1142</v>
      </c>
      <c r="B393" s="6"/>
      <c r="C393" s="8" t="s">
        <v>246</v>
      </c>
      <c r="D393" s="6"/>
      <c r="E393" s="6"/>
      <c r="F393" s="6">
        <v>0</v>
      </c>
      <c r="G393" s="7">
        <v>0</v>
      </c>
      <c r="I393" s="6"/>
      <c r="J393" s="6">
        <v>50</v>
      </c>
      <c r="K393" s="6"/>
      <c r="L393" s="6"/>
      <c r="M393" s="499"/>
      <c r="N393" s="499"/>
      <c r="O393" s="16"/>
      <c r="P393" s="16"/>
      <c r="Q393" s="16"/>
      <c r="R393" s="16"/>
      <c r="S393" s="16"/>
      <c r="T393" s="16"/>
      <c r="U393" s="16"/>
      <c r="V393" s="16"/>
      <c r="W393" s="16"/>
      <c r="X393" s="16"/>
      <c r="Y393" s="16"/>
      <c r="Z393" s="16"/>
      <c r="AA393" s="16"/>
    </row>
    <row r="394" spans="1:27" s="15" customFormat="1" ht="21" customHeight="1">
      <c r="A394" s="506" t="s">
        <v>1143</v>
      </c>
      <c r="B394" s="6"/>
      <c r="C394" s="8" t="s">
        <v>248</v>
      </c>
      <c r="D394" s="6"/>
      <c r="E394" s="6"/>
      <c r="F394" s="6">
        <v>12</v>
      </c>
      <c r="G394" s="7">
        <v>0.13</v>
      </c>
      <c r="I394" s="6"/>
      <c r="J394" s="6">
        <v>300</v>
      </c>
      <c r="K394" s="6"/>
      <c r="L394" s="6"/>
      <c r="M394" s="499"/>
      <c r="N394" s="499"/>
      <c r="O394" s="16"/>
      <c r="P394" s="16"/>
      <c r="Q394" s="16"/>
      <c r="R394" s="16"/>
      <c r="S394" s="16"/>
      <c r="T394" s="16"/>
      <c r="U394" s="16"/>
      <c r="V394" s="16"/>
      <c r="W394" s="16"/>
      <c r="X394" s="16"/>
      <c r="Y394" s="16"/>
      <c r="Z394" s="16"/>
      <c r="AA394" s="16"/>
    </row>
    <row r="395" spans="1:27" s="15" customFormat="1" ht="21" customHeight="1">
      <c r="A395" s="20"/>
      <c r="B395" s="6"/>
      <c r="C395" s="8"/>
      <c r="D395" s="6"/>
      <c r="E395" s="6"/>
      <c r="F395" s="6"/>
      <c r="G395" s="7"/>
      <c r="I395" s="6"/>
      <c r="J395" s="6"/>
      <c r="K395" s="6"/>
      <c r="L395" s="6"/>
      <c r="M395" s="499"/>
      <c r="N395" s="499"/>
      <c r="O395" s="16"/>
      <c r="P395" s="16"/>
      <c r="Q395" s="16"/>
      <c r="R395" s="16"/>
      <c r="S395" s="16"/>
      <c r="T395" s="16"/>
      <c r="U395" s="16"/>
      <c r="V395" s="16"/>
      <c r="W395" s="16"/>
      <c r="X395" s="16"/>
      <c r="Y395" s="16"/>
      <c r="Z395" s="16"/>
      <c r="AA395" s="16"/>
    </row>
    <row r="396" spans="1:27" s="15" customFormat="1" ht="21" customHeight="1">
      <c r="A396" s="501" t="s">
        <v>1055</v>
      </c>
      <c r="B396" s="502" t="s">
        <v>150</v>
      </c>
      <c r="C396" s="507" t="s">
        <v>195</v>
      </c>
      <c r="D396" s="502" t="s">
        <v>709</v>
      </c>
      <c r="E396" s="502" t="s">
        <v>710</v>
      </c>
      <c r="F396" s="502">
        <v>38</v>
      </c>
      <c r="G396" s="504">
        <v>1.02</v>
      </c>
      <c r="H396" s="505" t="s">
        <v>342</v>
      </c>
      <c r="I396" s="502">
        <v>6</v>
      </c>
      <c r="J396" s="502">
        <v>7268</v>
      </c>
      <c r="K396" s="502">
        <v>16</v>
      </c>
      <c r="L396" s="502">
        <v>0</v>
      </c>
      <c r="M396" s="507">
        <v>1</v>
      </c>
      <c r="N396" s="507" t="s">
        <v>708</v>
      </c>
      <c r="O396" s="16"/>
      <c r="P396" s="16"/>
      <c r="Q396" s="16"/>
      <c r="R396" s="16"/>
      <c r="S396" s="16"/>
      <c r="T396" s="16"/>
      <c r="U396" s="16"/>
      <c r="V396" s="16"/>
      <c r="W396" s="16"/>
      <c r="X396" s="16"/>
      <c r="Y396" s="16"/>
      <c r="Z396" s="16"/>
      <c r="AA396" s="16"/>
    </row>
    <row r="397" spans="1:27" s="15" customFormat="1" ht="21" customHeight="1">
      <c r="A397" s="506" t="s">
        <v>921</v>
      </c>
      <c r="B397" s="6"/>
      <c r="C397" s="8" t="s">
        <v>247</v>
      </c>
      <c r="D397" s="6"/>
      <c r="E397" s="6"/>
      <c r="F397" s="6">
        <v>29</v>
      </c>
      <c r="G397" s="7">
        <v>0.95</v>
      </c>
      <c r="I397" s="6"/>
      <c r="J397" s="6">
        <v>100</v>
      </c>
      <c r="K397" s="6"/>
      <c r="L397" s="6"/>
      <c r="M397" s="499"/>
      <c r="N397" s="499"/>
      <c r="O397" s="16"/>
      <c r="P397" s="16"/>
      <c r="Q397" s="16"/>
      <c r="R397" s="16"/>
      <c r="S397" s="16"/>
      <c r="T397" s="16"/>
      <c r="U397" s="16"/>
      <c r="V397" s="16"/>
      <c r="W397" s="16"/>
      <c r="X397" s="16"/>
      <c r="Y397" s="16"/>
      <c r="Z397" s="16"/>
      <c r="AA397" s="16"/>
    </row>
    <row r="398" spans="1:27" s="15" customFormat="1" ht="21" customHeight="1">
      <c r="A398" s="506" t="s">
        <v>922</v>
      </c>
      <c r="B398" s="6"/>
      <c r="C398" s="8" t="s">
        <v>249</v>
      </c>
      <c r="D398" s="6"/>
      <c r="E398" s="6"/>
      <c r="F398" s="6">
        <v>8</v>
      </c>
      <c r="G398" s="7">
        <v>0.05</v>
      </c>
      <c r="I398" s="6"/>
      <c r="J398" s="6">
        <v>1024</v>
      </c>
      <c r="K398" s="6"/>
      <c r="L398" s="6"/>
      <c r="M398" s="499"/>
      <c r="N398" s="499"/>
      <c r="O398" s="16"/>
      <c r="P398" s="16"/>
      <c r="Q398" s="16"/>
      <c r="R398" s="16"/>
      <c r="S398" s="16"/>
      <c r="T398" s="16"/>
      <c r="U398" s="16"/>
      <c r="V398" s="16"/>
      <c r="W398" s="16"/>
      <c r="X398" s="16"/>
      <c r="Y398" s="16"/>
      <c r="Z398" s="16"/>
      <c r="AA398" s="16"/>
    </row>
    <row r="399" spans="1:27" s="15" customFormat="1" ht="21" customHeight="1">
      <c r="A399" s="506" t="s">
        <v>923</v>
      </c>
      <c r="B399" s="6"/>
      <c r="C399" s="8" t="s">
        <v>249</v>
      </c>
      <c r="D399" s="6"/>
      <c r="E399" s="6"/>
      <c r="F399" s="6">
        <v>0</v>
      </c>
      <c r="G399" s="7">
        <v>0</v>
      </c>
      <c r="I399" s="6"/>
      <c r="J399" s="6">
        <v>1024</v>
      </c>
      <c r="K399" s="6"/>
      <c r="L399" s="6"/>
      <c r="M399" s="499"/>
      <c r="N399" s="499"/>
      <c r="O399" s="16"/>
      <c r="P399" s="16"/>
      <c r="Q399" s="16"/>
      <c r="R399" s="16"/>
      <c r="S399" s="16"/>
      <c r="T399" s="16"/>
      <c r="U399" s="16"/>
      <c r="V399" s="16"/>
      <c r="W399" s="16"/>
      <c r="X399" s="16"/>
      <c r="Y399" s="16"/>
      <c r="Z399" s="16"/>
      <c r="AA399" s="16"/>
    </row>
    <row r="400" spans="1:27" s="15" customFormat="1" ht="21" customHeight="1">
      <c r="A400" s="506" t="s">
        <v>924</v>
      </c>
      <c r="B400" s="6"/>
      <c r="C400" s="8" t="s">
        <v>259</v>
      </c>
      <c r="D400" s="6"/>
      <c r="E400" s="6"/>
      <c r="F400" s="6">
        <v>3</v>
      </c>
      <c r="G400" s="7">
        <v>0.01</v>
      </c>
      <c r="I400" s="6"/>
      <c r="J400" s="6">
        <v>2048</v>
      </c>
      <c r="K400" s="6"/>
      <c r="L400" s="6"/>
      <c r="M400" s="499"/>
      <c r="N400" s="499"/>
      <c r="O400" s="16"/>
      <c r="P400" s="16"/>
      <c r="Q400" s="16"/>
      <c r="R400" s="16"/>
      <c r="S400" s="16"/>
      <c r="T400" s="16"/>
      <c r="U400" s="16"/>
      <c r="V400" s="16"/>
      <c r="W400" s="16"/>
      <c r="X400" s="16"/>
      <c r="Y400" s="16"/>
      <c r="Z400" s="16"/>
      <c r="AA400" s="16"/>
    </row>
    <row r="401" spans="1:27" s="15" customFormat="1" ht="21" customHeight="1">
      <c r="A401" s="506" t="s">
        <v>925</v>
      </c>
      <c r="B401" s="6"/>
      <c r="C401" s="8" t="s">
        <v>259</v>
      </c>
      <c r="D401" s="6"/>
      <c r="E401" s="6"/>
      <c r="F401" s="6">
        <v>0</v>
      </c>
      <c r="G401" s="7">
        <v>0</v>
      </c>
      <c r="I401" s="6"/>
      <c r="J401" s="6">
        <v>2048</v>
      </c>
      <c r="K401" s="6"/>
      <c r="L401" s="6"/>
      <c r="M401" s="499"/>
      <c r="N401" s="499"/>
      <c r="O401" s="16"/>
      <c r="P401" s="16"/>
      <c r="Q401" s="16"/>
      <c r="R401" s="16"/>
      <c r="S401" s="16"/>
      <c r="T401" s="16"/>
      <c r="U401" s="16"/>
      <c r="V401" s="16"/>
      <c r="W401" s="16"/>
      <c r="X401" s="16"/>
      <c r="Y401" s="16"/>
      <c r="Z401" s="16"/>
      <c r="AA401" s="16"/>
    </row>
    <row r="402" spans="1:27" s="15" customFormat="1" ht="21" customHeight="1">
      <c r="A402" s="506" t="s">
        <v>926</v>
      </c>
      <c r="B402" s="6"/>
      <c r="C402" s="8" t="s">
        <v>249</v>
      </c>
      <c r="D402" s="6"/>
      <c r="E402" s="6"/>
      <c r="F402" s="6">
        <v>0</v>
      </c>
      <c r="G402" s="7">
        <v>0</v>
      </c>
      <c r="I402" s="6"/>
      <c r="J402" s="6">
        <v>1024</v>
      </c>
      <c r="K402" s="6"/>
      <c r="L402" s="6"/>
      <c r="M402" s="499"/>
      <c r="N402" s="499"/>
      <c r="O402" s="16"/>
      <c r="P402" s="16"/>
      <c r="Q402" s="16"/>
      <c r="R402" s="16"/>
      <c r="S402" s="16"/>
      <c r="T402" s="16"/>
      <c r="U402" s="16"/>
      <c r="V402" s="16"/>
      <c r="W402" s="16"/>
      <c r="X402" s="16"/>
      <c r="Y402" s="16"/>
      <c r="Z402" s="16"/>
      <c r="AA402" s="16"/>
    </row>
    <row r="403" spans="1:27" s="15" customFormat="1" ht="21" customHeight="1">
      <c r="A403" s="20"/>
      <c r="B403" s="6"/>
      <c r="C403" s="8"/>
      <c r="D403" s="6"/>
      <c r="E403" s="6"/>
      <c r="F403" s="6"/>
      <c r="G403" s="7"/>
      <c r="I403" s="6"/>
      <c r="J403" s="6"/>
      <c r="K403" s="6"/>
      <c r="L403" s="6"/>
      <c r="M403" s="499"/>
      <c r="N403" s="499"/>
      <c r="O403" s="16"/>
      <c r="P403" s="16"/>
      <c r="Q403" s="16"/>
      <c r="R403" s="16"/>
      <c r="S403" s="16"/>
      <c r="T403" s="16"/>
      <c r="U403" s="16"/>
      <c r="V403" s="16"/>
      <c r="W403" s="16"/>
      <c r="X403" s="16"/>
      <c r="Y403" s="16"/>
      <c r="Z403" s="16"/>
      <c r="AA403" s="16"/>
    </row>
    <row r="404" spans="1:27" s="15" customFormat="1" ht="21" customHeight="1">
      <c r="A404" s="501" t="s">
        <v>1056</v>
      </c>
      <c r="B404" s="502" t="s">
        <v>150</v>
      </c>
      <c r="C404" s="503" t="s">
        <v>3</v>
      </c>
      <c r="D404" s="502" t="s">
        <v>706</v>
      </c>
      <c r="E404" s="502" t="s">
        <v>707</v>
      </c>
      <c r="F404" s="502">
        <v>2565</v>
      </c>
      <c r="G404" s="504">
        <v>51.42</v>
      </c>
      <c r="H404" s="505" t="s">
        <v>352</v>
      </c>
      <c r="I404" s="502">
        <v>8</v>
      </c>
      <c r="J404" s="502">
        <v>3586</v>
      </c>
      <c r="K404" s="502">
        <v>16</v>
      </c>
      <c r="L404" s="502">
        <v>0</v>
      </c>
      <c r="M404" s="507">
        <v>1</v>
      </c>
      <c r="N404" s="507" t="s">
        <v>708</v>
      </c>
      <c r="O404" s="16"/>
      <c r="P404" s="16"/>
      <c r="Q404" s="16"/>
      <c r="R404" s="16"/>
      <c r="S404" s="16"/>
      <c r="T404" s="16"/>
      <c r="U404" s="16"/>
      <c r="V404" s="16"/>
      <c r="W404" s="16"/>
      <c r="X404" s="16"/>
      <c r="Y404" s="16"/>
      <c r="Z404" s="16"/>
      <c r="AA404" s="16"/>
    </row>
    <row r="405" spans="1:27" s="15" customFormat="1" ht="21" customHeight="1">
      <c r="A405" s="506" t="s">
        <v>1144</v>
      </c>
      <c r="B405" s="6"/>
      <c r="C405" s="8" t="s">
        <v>233</v>
      </c>
      <c r="D405" s="6"/>
      <c r="E405" s="6"/>
      <c r="F405" s="6">
        <v>0</v>
      </c>
      <c r="G405" s="7">
        <v>0</v>
      </c>
      <c r="I405" s="6"/>
      <c r="J405" s="6">
        <v>25</v>
      </c>
      <c r="K405" s="6"/>
      <c r="L405" s="6"/>
      <c r="M405" s="499"/>
      <c r="N405" s="499"/>
      <c r="O405" s="16"/>
      <c r="P405" s="16"/>
      <c r="Q405" s="16"/>
      <c r="R405" s="16"/>
      <c r="S405" s="16"/>
      <c r="T405" s="16"/>
      <c r="U405" s="16"/>
      <c r="V405" s="16"/>
      <c r="W405" s="16"/>
      <c r="X405" s="16"/>
      <c r="Y405" s="16"/>
      <c r="Z405" s="16"/>
      <c r="AA405" s="16"/>
    </row>
    <row r="406" spans="1:27" s="15" customFormat="1" ht="21" customHeight="1">
      <c r="A406" s="506" t="s">
        <v>1145</v>
      </c>
      <c r="B406" s="6"/>
      <c r="C406" s="8" t="s">
        <v>233</v>
      </c>
      <c r="D406" s="6"/>
      <c r="E406" s="6"/>
      <c r="F406" s="6">
        <v>252</v>
      </c>
      <c r="G406" s="7">
        <v>5.74</v>
      </c>
      <c r="I406" s="6"/>
      <c r="J406" s="6">
        <v>100</v>
      </c>
      <c r="K406" s="6"/>
      <c r="L406" s="6"/>
      <c r="M406" s="499"/>
      <c r="N406" s="499"/>
      <c r="O406" s="16"/>
      <c r="P406" s="16"/>
      <c r="Q406" s="16"/>
      <c r="R406" s="16"/>
      <c r="S406" s="16"/>
      <c r="T406" s="16"/>
      <c r="U406" s="16"/>
      <c r="V406" s="16"/>
      <c r="W406" s="16"/>
      <c r="X406" s="16"/>
      <c r="Y406" s="16"/>
      <c r="Z406" s="16"/>
      <c r="AA406" s="16"/>
    </row>
    <row r="407" spans="1:27" s="15" customFormat="1" ht="21" customHeight="1">
      <c r="A407" s="506" t="s">
        <v>1146</v>
      </c>
      <c r="B407" s="6"/>
      <c r="C407" s="8" t="s">
        <v>236</v>
      </c>
      <c r="D407" s="6"/>
      <c r="E407" s="6"/>
      <c r="F407" s="6">
        <v>435</v>
      </c>
      <c r="G407" s="7">
        <v>0</v>
      </c>
      <c r="I407" s="6"/>
      <c r="J407" s="6">
        <v>501</v>
      </c>
      <c r="K407" s="6"/>
      <c r="L407" s="6"/>
      <c r="M407" s="499"/>
      <c r="N407" s="499"/>
      <c r="O407" s="16"/>
      <c r="P407" s="16"/>
      <c r="Q407" s="16"/>
      <c r="R407" s="16"/>
      <c r="S407" s="16"/>
      <c r="T407" s="16"/>
      <c r="U407" s="16"/>
      <c r="V407" s="16"/>
      <c r="W407" s="16"/>
      <c r="X407" s="16"/>
      <c r="Y407" s="16"/>
      <c r="Z407" s="16"/>
      <c r="AA407" s="16"/>
    </row>
    <row r="408" spans="1:27" s="15" customFormat="1" ht="21" customHeight="1">
      <c r="A408" s="506" t="s">
        <v>1147</v>
      </c>
      <c r="B408" s="6"/>
      <c r="C408" s="8" t="s">
        <v>233</v>
      </c>
      <c r="D408" s="6"/>
      <c r="E408" s="6"/>
      <c r="F408" s="6">
        <v>0</v>
      </c>
      <c r="G408" s="7">
        <v>0</v>
      </c>
      <c r="I408" s="6"/>
      <c r="J408" s="6">
        <v>10</v>
      </c>
      <c r="K408" s="6"/>
      <c r="L408" s="6"/>
      <c r="M408" s="499"/>
      <c r="N408" s="499"/>
      <c r="O408" s="16"/>
      <c r="P408" s="16"/>
      <c r="Q408" s="16"/>
      <c r="R408" s="16"/>
      <c r="S408" s="16"/>
      <c r="T408" s="16"/>
      <c r="U408" s="16"/>
      <c r="V408" s="16"/>
      <c r="W408" s="16"/>
      <c r="X408" s="16"/>
      <c r="Y408" s="16"/>
      <c r="Z408" s="16"/>
      <c r="AA408" s="16"/>
    </row>
    <row r="409" spans="1:27" s="15" customFormat="1" ht="21" customHeight="1">
      <c r="A409" s="506" t="s">
        <v>1148</v>
      </c>
      <c r="B409" s="6"/>
      <c r="C409" s="8" t="s">
        <v>257</v>
      </c>
      <c r="D409" s="6"/>
      <c r="E409" s="6"/>
      <c r="F409" s="6">
        <v>1161</v>
      </c>
      <c r="G409" s="7">
        <v>5.94</v>
      </c>
      <c r="I409" s="6"/>
      <c r="J409" s="6">
        <v>1350</v>
      </c>
      <c r="K409" s="6"/>
      <c r="L409" s="6"/>
      <c r="M409" s="499"/>
      <c r="N409" s="499"/>
      <c r="O409" s="16"/>
      <c r="P409" s="16"/>
      <c r="Q409" s="16"/>
      <c r="R409" s="16"/>
      <c r="S409" s="16"/>
      <c r="T409" s="16"/>
      <c r="U409" s="16"/>
      <c r="V409" s="16"/>
      <c r="W409" s="16"/>
      <c r="X409" s="16"/>
      <c r="Y409" s="16"/>
      <c r="Z409" s="16"/>
      <c r="AA409" s="16"/>
    </row>
    <row r="410" spans="1:27" s="15" customFormat="1" ht="21" customHeight="1">
      <c r="A410" s="506" t="s">
        <v>1149</v>
      </c>
      <c r="B410" s="6"/>
      <c r="C410" s="8" t="s">
        <v>237</v>
      </c>
      <c r="D410" s="6"/>
      <c r="E410" s="6"/>
      <c r="F410" s="6">
        <v>1293</v>
      </c>
      <c r="G410" s="7">
        <v>0</v>
      </c>
      <c r="I410" s="6"/>
      <c r="J410" s="6">
        <v>1000</v>
      </c>
      <c r="K410" s="6"/>
      <c r="L410" s="6"/>
      <c r="M410" s="499"/>
      <c r="N410" s="499"/>
      <c r="O410" s="16"/>
      <c r="P410" s="16"/>
      <c r="Q410" s="16"/>
      <c r="R410" s="16"/>
      <c r="S410" s="16"/>
      <c r="T410" s="16"/>
      <c r="U410" s="16"/>
      <c r="V410" s="16"/>
      <c r="W410" s="16"/>
      <c r="X410" s="16"/>
      <c r="Y410" s="16"/>
      <c r="Z410" s="16"/>
      <c r="AA410" s="16"/>
    </row>
    <row r="411" spans="1:27" s="15" customFormat="1" ht="21" customHeight="1">
      <c r="A411" s="506" t="s">
        <v>1150</v>
      </c>
      <c r="B411" s="6"/>
      <c r="C411" s="8" t="s">
        <v>236</v>
      </c>
      <c r="D411" s="6"/>
      <c r="E411" s="6"/>
      <c r="F411" s="6">
        <v>722</v>
      </c>
      <c r="G411" s="7">
        <v>40.83</v>
      </c>
      <c r="I411" s="6"/>
      <c r="J411" s="6">
        <v>500</v>
      </c>
      <c r="K411" s="6"/>
      <c r="L411" s="6"/>
      <c r="M411" s="499"/>
      <c r="N411" s="499"/>
      <c r="O411" s="16"/>
      <c r="P411" s="16"/>
      <c r="Q411" s="16"/>
      <c r="R411" s="16"/>
      <c r="S411" s="16"/>
      <c r="T411" s="16"/>
      <c r="U411" s="16"/>
      <c r="V411" s="16"/>
      <c r="W411" s="16"/>
      <c r="X411" s="16"/>
      <c r="Y411" s="16"/>
      <c r="Z411" s="16"/>
      <c r="AA411" s="16"/>
    </row>
    <row r="412" spans="1:27" s="15" customFormat="1" ht="21" customHeight="1">
      <c r="A412" s="506" t="s">
        <v>1151</v>
      </c>
      <c r="B412" s="6"/>
      <c r="C412" s="8" t="s">
        <v>233</v>
      </c>
      <c r="D412" s="6"/>
      <c r="E412" s="6"/>
      <c r="F412" s="6">
        <v>0</v>
      </c>
      <c r="G412" s="7">
        <v>0</v>
      </c>
      <c r="I412" s="6"/>
      <c r="J412" s="6">
        <v>100</v>
      </c>
      <c r="K412" s="6"/>
      <c r="L412" s="6"/>
      <c r="M412" s="499"/>
      <c r="N412" s="499"/>
      <c r="O412" s="16"/>
      <c r="P412" s="16"/>
      <c r="Q412" s="16"/>
      <c r="R412" s="16"/>
      <c r="S412" s="16"/>
      <c r="T412" s="16"/>
      <c r="U412" s="16"/>
      <c r="V412" s="16"/>
      <c r="W412" s="16"/>
      <c r="X412" s="16"/>
      <c r="Y412" s="16"/>
      <c r="Z412" s="16"/>
      <c r="AA412" s="16"/>
    </row>
    <row r="413" spans="1:27" s="15" customFormat="1" ht="21" customHeight="1">
      <c r="A413" s="20"/>
      <c r="B413" s="6"/>
      <c r="C413" s="8"/>
      <c r="D413" s="6"/>
      <c r="E413" s="6"/>
      <c r="F413" s="6"/>
      <c r="G413" s="7"/>
      <c r="I413" s="6"/>
      <c r="J413" s="6"/>
      <c r="K413" s="6"/>
      <c r="L413" s="6"/>
      <c r="M413" s="499"/>
      <c r="N413" s="499"/>
      <c r="O413" s="16"/>
      <c r="P413" s="16"/>
      <c r="Q413" s="16"/>
      <c r="R413" s="16"/>
      <c r="S413" s="16"/>
      <c r="T413" s="16"/>
      <c r="U413" s="16"/>
      <c r="V413" s="16"/>
      <c r="W413" s="16"/>
      <c r="X413" s="16"/>
      <c r="Y413" s="16"/>
      <c r="Z413" s="16"/>
      <c r="AA413" s="16"/>
    </row>
    <row r="414" spans="1:27" s="15" customFormat="1" ht="21" customHeight="1">
      <c r="A414" s="501" t="s">
        <v>1057</v>
      </c>
      <c r="B414" s="502" t="s">
        <v>150</v>
      </c>
      <c r="C414" s="507" t="s">
        <v>195</v>
      </c>
      <c r="D414" s="502" t="s">
        <v>709</v>
      </c>
      <c r="E414" s="502" t="s">
        <v>710</v>
      </c>
      <c r="F414" s="502">
        <v>54</v>
      </c>
      <c r="G414" s="504">
        <v>0.32</v>
      </c>
      <c r="H414" s="505" t="s">
        <v>278</v>
      </c>
      <c r="I414" s="502">
        <v>4</v>
      </c>
      <c r="J414" s="502">
        <v>450</v>
      </c>
      <c r="K414" s="502">
        <v>4</v>
      </c>
      <c r="L414" s="502">
        <v>0</v>
      </c>
      <c r="M414" s="507">
        <v>1</v>
      </c>
      <c r="N414" s="507" t="s">
        <v>708</v>
      </c>
      <c r="O414" s="16"/>
      <c r="P414" s="16"/>
      <c r="Q414" s="16"/>
      <c r="R414" s="16"/>
      <c r="S414" s="16"/>
      <c r="T414" s="16"/>
      <c r="U414" s="16"/>
      <c r="V414" s="16"/>
      <c r="W414" s="16"/>
      <c r="X414" s="16"/>
      <c r="Y414" s="16"/>
      <c r="Z414" s="16"/>
      <c r="AA414" s="16"/>
    </row>
    <row r="415" spans="1:27" s="15" customFormat="1" ht="21" customHeight="1">
      <c r="A415" s="506" t="s">
        <v>927</v>
      </c>
      <c r="B415" s="6"/>
      <c r="C415" s="8" t="s">
        <v>247</v>
      </c>
      <c r="D415" s="6"/>
      <c r="E415" s="6"/>
      <c r="F415" s="6">
        <v>40</v>
      </c>
      <c r="G415" s="7">
        <v>0.28000000000000003</v>
      </c>
      <c r="I415" s="6"/>
      <c r="J415" s="6">
        <v>100</v>
      </c>
      <c r="K415" s="6"/>
      <c r="L415" s="6"/>
      <c r="M415" s="499"/>
      <c r="N415" s="499"/>
      <c r="O415" s="16"/>
      <c r="P415" s="16"/>
      <c r="Q415" s="16"/>
      <c r="R415" s="16"/>
      <c r="S415" s="16"/>
      <c r="T415" s="16"/>
      <c r="U415" s="16"/>
      <c r="V415" s="16"/>
      <c r="W415" s="16"/>
      <c r="X415" s="16"/>
      <c r="Y415" s="16"/>
      <c r="Z415" s="16"/>
      <c r="AA415" s="16"/>
    </row>
    <row r="416" spans="1:27" s="15" customFormat="1" ht="21" customHeight="1">
      <c r="A416" s="506" t="s">
        <v>928</v>
      </c>
      <c r="B416" s="6"/>
      <c r="C416" s="8" t="s">
        <v>246</v>
      </c>
      <c r="D416" s="6"/>
      <c r="E416" s="6"/>
      <c r="F416" s="6">
        <v>0</v>
      </c>
      <c r="G416" s="7">
        <v>0</v>
      </c>
      <c r="I416" s="6"/>
      <c r="J416" s="6">
        <v>50</v>
      </c>
      <c r="K416" s="6"/>
      <c r="L416" s="6"/>
      <c r="M416" s="499"/>
      <c r="N416" s="499"/>
      <c r="O416" s="16"/>
      <c r="P416" s="16"/>
      <c r="Q416" s="16"/>
      <c r="R416" s="16"/>
      <c r="S416" s="16"/>
      <c r="T416" s="16"/>
      <c r="U416" s="16"/>
      <c r="V416" s="16"/>
      <c r="W416" s="16"/>
      <c r="X416" s="16"/>
      <c r="Y416" s="16"/>
      <c r="Z416" s="16"/>
      <c r="AA416" s="16"/>
    </row>
    <row r="417" spans="1:27" s="15" customFormat="1" ht="21" customHeight="1">
      <c r="A417" s="506" t="s">
        <v>929</v>
      </c>
      <c r="B417" s="6"/>
      <c r="C417" s="8" t="s">
        <v>246</v>
      </c>
      <c r="D417" s="6"/>
      <c r="E417" s="6"/>
      <c r="F417" s="6">
        <v>0</v>
      </c>
      <c r="G417" s="7">
        <v>0</v>
      </c>
      <c r="I417" s="6"/>
      <c r="J417" s="6">
        <v>50</v>
      </c>
      <c r="K417" s="6"/>
      <c r="L417" s="6"/>
      <c r="M417" s="499"/>
      <c r="N417" s="499"/>
      <c r="O417" s="16"/>
      <c r="P417" s="16"/>
      <c r="Q417" s="16"/>
      <c r="R417" s="16"/>
      <c r="S417" s="16"/>
      <c r="T417" s="16"/>
      <c r="U417" s="16"/>
      <c r="V417" s="16"/>
      <c r="W417" s="16"/>
      <c r="X417" s="16"/>
      <c r="Y417" s="16"/>
      <c r="Z417" s="16"/>
      <c r="AA417" s="16"/>
    </row>
    <row r="418" spans="1:27" s="15" customFormat="1" ht="21" customHeight="1">
      <c r="A418" s="506" t="s">
        <v>930</v>
      </c>
      <c r="B418" s="6"/>
      <c r="C418" s="8" t="s">
        <v>559</v>
      </c>
      <c r="D418" s="6"/>
      <c r="E418" s="6"/>
      <c r="F418" s="6">
        <v>13</v>
      </c>
      <c r="G418" s="7">
        <v>0</v>
      </c>
      <c r="I418" s="6"/>
      <c r="J418" s="6">
        <v>250</v>
      </c>
      <c r="K418" s="6"/>
      <c r="L418" s="6"/>
      <c r="M418" s="499"/>
      <c r="N418" s="499"/>
      <c r="O418" s="16"/>
      <c r="P418" s="16"/>
      <c r="Q418" s="16"/>
      <c r="R418" s="16"/>
      <c r="S418" s="16"/>
      <c r="T418" s="16"/>
      <c r="U418" s="16"/>
      <c r="V418" s="16"/>
      <c r="W418" s="16"/>
      <c r="X418" s="16"/>
      <c r="Y418" s="16"/>
      <c r="Z418" s="16"/>
      <c r="AA418" s="16"/>
    </row>
    <row r="419" spans="1:27" s="15" customFormat="1" ht="21" customHeight="1">
      <c r="A419" s="20"/>
      <c r="B419" s="6"/>
      <c r="C419" s="8"/>
      <c r="D419" s="6"/>
      <c r="E419" s="6"/>
      <c r="F419" s="6"/>
      <c r="G419" s="7"/>
      <c r="I419" s="6"/>
      <c r="J419" s="6"/>
      <c r="K419" s="6"/>
      <c r="L419" s="6"/>
      <c r="M419" s="499"/>
      <c r="N419" s="499"/>
      <c r="O419" s="16"/>
      <c r="P419" s="16"/>
      <c r="Q419" s="16"/>
      <c r="R419" s="16"/>
      <c r="S419" s="16"/>
      <c r="T419" s="16"/>
      <c r="U419" s="16"/>
      <c r="V419" s="16"/>
      <c r="W419" s="16"/>
      <c r="X419" s="16"/>
      <c r="Y419" s="16"/>
      <c r="Z419" s="16"/>
      <c r="AA419" s="16"/>
    </row>
    <row r="420" spans="1:27" s="15" customFormat="1" ht="21" customHeight="1">
      <c r="A420" s="501" t="s">
        <v>1058</v>
      </c>
      <c r="B420" s="502" t="s">
        <v>150</v>
      </c>
      <c r="C420" s="503" t="s">
        <v>3</v>
      </c>
      <c r="D420" s="502" t="s">
        <v>706</v>
      </c>
      <c r="E420" s="502" t="s">
        <v>707</v>
      </c>
      <c r="F420" s="502">
        <v>4120</v>
      </c>
      <c r="G420" s="504">
        <v>0.9</v>
      </c>
      <c r="H420" s="505" t="s">
        <v>352</v>
      </c>
      <c r="I420" s="502">
        <v>12</v>
      </c>
      <c r="J420" s="502">
        <v>150</v>
      </c>
      <c r="K420" s="502">
        <v>16</v>
      </c>
      <c r="L420" s="502">
        <v>0</v>
      </c>
      <c r="M420" s="507">
        <v>2</v>
      </c>
      <c r="N420" s="507" t="s">
        <v>708</v>
      </c>
      <c r="O420" s="16"/>
      <c r="P420" s="16"/>
      <c r="Q420" s="16"/>
      <c r="R420" s="16"/>
      <c r="S420" s="16"/>
      <c r="T420" s="16"/>
      <c r="U420" s="16"/>
      <c r="V420" s="16"/>
      <c r="W420" s="16"/>
      <c r="X420" s="16"/>
      <c r="Y420" s="16"/>
      <c r="Z420" s="16"/>
      <c r="AA420" s="16"/>
    </row>
    <row r="421" spans="1:27" s="15" customFormat="1" ht="21" customHeight="1">
      <c r="A421" s="506" t="s">
        <v>931</v>
      </c>
      <c r="B421" s="6"/>
      <c r="C421" s="8" t="s">
        <v>716</v>
      </c>
      <c r="D421" s="6"/>
      <c r="E421" s="6"/>
      <c r="F421" s="6">
        <v>4118</v>
      </c>
      <c r="G421" s="7">
        <v>0.9</v>
      </c>
      <c r="I421" s="6"/>
      <c r="J421" s="6">
        <v>100</v>
      </c>
      <c r="K421" s="6"/>
      <c r="L421" s="6"/>
      <c r="M421" s="499"/>
      <c r="N421" s="499"/>
      <c r="O421" s="16"/>
      <c r="P421" s="16"/>
      <c r="Q421" s="16"/>
      <c r="R421" s="16"/>
      <c r="S421" s="16"/>
      <c r="T421" s="16"/>
      <c r="U421" s="16"/>
      <c r="V421" s="16"/>
      <c r="W421" s="16"/>
      <c r="X421" s="16"/>
      <c r="Y421" s="16"/>
      <c r="Z421" s="16"/>
      <c r="AA421" s="16"/>
    </row>
    <row r="422" spans="1:27" s="15" customFormat="1" ht="21" customHeight="1">
      <c r="A422" s="506" t="s">
        <v>932</v>
      </c>
      <c r="B422" s="6"/>
      <c r="C422" s="8" t="s">
        <v>233</v>
      </c>
      <c r="D422" s="6"/>
      <c r="E422" s="6"/>
      <c r="F422" s="6">
        <v>8</v>
      </c>
      <c r="G422" s="7">
        <v>0.05</v>
      </c>
      <c r="I422" s="6"/>
      <c r="J422" s="6">
        <v>50</v>
      </c>
      <c r="K422" s="6"/>
      <c r="L422" s="6"/>
      <c r="M422" s="499"/>
      <c r="N422" s="499"/>
      <c r="O422" s="16"/>
      <c r="P422" s="16"/>
      <c r="Q422" s="16"/>
      <c r="R422" s="16"/>
      <c r="S422" s="16"/>
      <c r="T422" s="16"/>
      <c r="U422" s="16"/>
      <c r="V422" s="16"/>
      <c r="W422" s="16"/>
      <c r="X422" s="16"/>
      <c r="Y422" s="16"/>
      <c r="Z422" s="16"/>
      <c r="AA422" s="16"/>
    </row>
    <row r="423" spans="1:27" s="15" customFormat="1" ht="21" customHeight="1">
      <c r="A423" s="20"/>
      <c r="B423" s="6"/>
      <c r="C423" s="8"/>
      <c r="D423" s="6"/>
      <c r="E423" s="6"/>
      <c r="F423" s="6"/>
      <c r="G423" s="7"/>
      <c r="I423" s="6"/>
      <c r="J423" s="6"/>
      <c r="K423" s="6"/>
      <c r="L423" s="6"/>
      <c r="M423" s="499"/>
      <c r="N423" s="499"/>
      <c r="O423" s="16"/>
      <c r="P423" s="16"/>
      <c r="Q423" s="16"/>
      <c r="R423" s="16"/>
      <c r="S423" s="16"/>
      <c r="T423" s="16"/>
      <c r="U423" s="16"/>
      <c r="V423" s="16"/>
      <c r="W423" s="16"/>
      <c r="X423" s="16"/>
      <c r="Y423" s="16"/>
      <c r="Z423" s="16"/>
      <c r="AA423" s="16"/>
    </row>
    <row r="424" spans="1:27" s="15" customFormat="1" ht="21" customHeight="1">
      <c r="A424" s="501" t="s">
        <v>1059</v>
      </c>
      <c r="B424" s="502" t="s">
        <v>150</v>
      </c>
      <c r="C424" s="507" t="s">
        <v>195</v>
      </c>
      <c r="D424" s="502" t="s">
        <v>709</v>
      </c>
      <c r="E424" s="502" t="s">
        <v>710</v>
      </c>
      <c r="F424" s="502">
        <v>95</v>
      </c>
      <c r="G424" s="504">
        <v>1.7</v>
      </c>
      <c r="H424" s="505" t="s">
        <v>342</v>
      </c>
      <c r="I424" s="502">
        <v>13</v>
      </c>
      <c r="J424" s="502">
        <v>9405</v>
      </c>
      <c r="K424" s="502">
        <v>16</v>
      </c>
      <c r="L424" s="502">
        <v>0</v>
      </c>
      <c r="M424" s="507">
        <v>1</v>
      </c>
      <c r="N424" s="507" t="s">
        <v>708</v>
      </c>
      <c r="O424" s="16"/>
      <c r="P424" s="16"/>
      <c r="Q424" s="16"/>
      <c r="R424" s="16"/>
      <c r="S424" s="16"/>
      <c r="T424" s="16"/>
      <c r="U424" s="16"/>
      <c r="V424" s="16"/>
      <c r="W424" s="16"/>
      <c r="X424" s="16"/>
      <c r="Y424" s="16"/>
      <c r="Z424" s="16"/>
      <c r="AA424" s="16"/>
    </row>
    <row r="425" spans="1:27" s="15" customFormat="1" ht="21" customHeight="1">
      <c r="A425" s="506" t="s">
        <v>933</v>
      </c>
      <c r="B425" s="6"/>
      <c r="C425" s="8" t="s">
        <v>247</v>
      </c>
      <c r="D425" s="6"/>
      <c r="E425" s="6"/>
      <c r="F425" s="6">
        <v>81</v>
      </c>
      <c r="G425" s="7">
        <v>1.67</v>
      </c>
      <c r="I425" s="6"/>
      <c r="J425" s="6">
        <v>100</v>
      </c>
      <c r="K425" s="6"/>
      <c r="L425" s="6"/>
      <c r="M425" s="499"/>
      <c r="N425" s="499"/>
      <c r="O425" s="16"/>
      <c r="P425" s="16"/>
      <c r="Q425" s="16"/>
      <c r="R425" s="16"/>
      <c r="S425" s="16"/>
      <c r="T425" s="16"/>
      <c r="U425" s="16"/>
      <c r="V425" s="16"/>
      <c r="W425" s="16"/>
      <c r="X425" s="16"/>
      <c r="Y425" s="16"/>
      <c r="Z425" s="16"/>
      <c r="AA425" s="16"/>
    </row>
    <row r="426" spans="1:27" s="15" customFormat="1" ht="21" customHeight="1">
      <c r="A426" s="506" t="s">
        <v>934</v>
      </c>
      <c r="B426" s="6"/>
      <c r="C426" s="8" t="s">
        <v>246</v>
      </c>
      <c r="D426" s="6"/>
      <c r="E426" s="6"/>
      <c r="F426" s="6">
        <v>0</v>
      </c>
      <c r="G426" s="7">
        <v>0</v>
      </c>
      <c r="I426" s="6"/>
      <c r="J426" s="6">
        <v>50</v>
      </c>
      <c r="K426" s="6"/>
      <c r="L426" s="6"/>
      <c r="M426" s="499"/>
      <c r="N426" s="499"/>
      <c r="O426" s="16"/>
      <c r="P426" s="16"/>
      <c r="Q426" s="16"/>
      <c r="R426" s="16"/>
      <c r="S426" s="16"/>
      <c r="T426" s="16"/>
      <c r="U426" s="16"/>
      <c r="V426" s="16"/>
      <c r="W426" s="16"/>
      <c r="X426" s="16"/>
      <c r="Y426" s="16"/>
      <c r="Z426" s="16"/>
      <c r="AA426" s="16"/>
    </row>
    <row r="427" spans="1:27" s="15" customFormat="1" ht="21" customHeight="1">
      <c r="A427" s="506" t="s">
        <v>935</v>
      </c>
      <c r="B427" s="6"/>
      <c r="C427" s="8" t="s">
        <v>249</v>
      </c>
      <c r="D427" s="6"/>
      <c r="E427" s="6"/>
      <c r="F427" s="6">
        <v>0</v>
      </c>
      <c r="G427" s="7">
        <v>0</v>
      </c>
      <c r="I427" s="6"/>
      <c r="J427" s="6">
        <v>901</v>
      </c>
      <c r="K427" s="6"/>
      <c r="L427" s="6"/>
      <c r="M427" s="499"/>
      <c r="N427" s="499"/>
      <c r="O427" s="16"/>
      <c r="P427" s="16"/>
      <c r="Q427" s="16"/>
      <c r="R427" s="16"/>
      <c r="S427" s="16"/>
      <c r="T427" s="16"/>
      <c r="U427" s="16"/>
      <c r="V427" s="16"/>
      <c r="W427" s="16"/>
      <c r="X427" s="16"/>
      <c r="Y427" s="16"/>
      <c r="Z427" s="16"/>
      <c r="AA427" s="16"/>
    </row>
    <row r="428" spans="1:27" s="15" customFormat="1" ht="21" customHeight="1">
      <c r="A428" s="506" t="s">
        <v>936</v>
      </c>
      <c r="B428" s="6"/>
      <c r="C428" s="8" t="s">
        <v>249</v>
      </c>
      <c r="D428" s="6"/>
      <c r="E428" s="6"/>
      <c r="F428" s="6">
        <v>0</v>
      </c>
      <c r="G428" s="7">
        <v>0</v>
      </c>
      <c r="I428" s="6"/>
      <c r="J428" s="6">
        <v>901</v>
      </c>
      <c r="K428" s="6"/>
      <c r="L428" s="6"/>
      <c r="M428" s="499"/>
      <c r="N428" s="499"/>
      <c r="O428" s="16"/>
      <c r="P428" s="16"/>
      <c r="Q428" s="16"/>
      <c r="R428" s="16"/>
      <c r="S428" s="16"/>
      <c r="T428" s="16"/>
      <c r="U428" s="16"/>
      <c r="V428" s="16"/>
      <c r="W428" s="16"/>
      <c r="X428" s="16"/>
      <c r="Y428" s="16"/>
      <c r="Z428" s="16"/>
      <c r="AA428" s="16"/>
    </row>
    <row r="429" spans="1:27" s="15" customFormat="1" ht="21" customHeight="1">
      <c r="A429" s="506" t="s">
        <v>937</v>
      </c>
      <c r="B429" s="6"/>
      <c r="C429" s="8" t="s">
        <v>249</v>
      </c>
      <c r="D429" s="6"/>
      <c r="E429" s="6"/>
      <c r="F429" s="6">
        <v>0</v>
      </c>
      <c r="G429" s="7">
        <v>0</v>
      </c>
      <c r="I429" s="6"/>
      <c r="J429" s="6">
        <v>901</v>
      </c>
      <c r="K429" s="6"/>
      <c r="L429" s="6"/>
      <c r="M429" s="499"/>
      <c r="N429" s="499"/>
      <c r="O429" s="16"/>
      <c r="P429" s="16"/>
      <c r="Q429" s="16"/>
      <c r="R429" s="16"/>
      <c r="S429" s="16"/>
      <c r="T429" s="16"/>
      <c r="U429" s="16"/>
      <c r="V429" s="16"/>
      <c r="W429" s="16"/>
      <c r="X429" s="16"/>
      <c r="Y429" s="16"/>
      <c r="Z429" s="16"/>
      <c r="AA429" s="16"/>
    </row>
    <row r="430" spans="1:27" s="15" customFormat="1" ht="21" customHeight="1">
      <c r="A430" s="506" t="s">
        <v>938</v>
      </c>
      <c r="B430" s="6"/>
      <c r="C430" s="8" t="s">
        <v>249</v>
      </c>
      <c r="D430" s="6"/>
      <c r="E430" s="6"/>
      <c r="F430" s="6">
        <v>0</v>
      </c>
      <c r="G430" s="7">
        <v>0</v>
      </c>
      <c r="I430" s="6"/>
      <c r="J430" s="6">
        <v>901</v>
      </c>
      <c r="K430" s="6"/>
      <c r="L430" s="6"/>
      <c r="M430" s="499"/>
      <c r="N430" s="499"/>
      <c r="O430" s="16"/>
      <c r="P430" s="16"/>
      <c r="Q430" s="16"/>
      <c r="R430" s="16"/>
      <c r="S430" s="16"/>
      <c r="T430" s="16"/>
      <c r="U430" s="16"/>
      <c r="V430" s="16"/>
      <c r="W430" s="16"/>
      <c r="X430" s="16"/>
      <c r="Y430" s="16"/>
      <c r="Z430" s="16"/>
      <c r="AA430" s="16"/>
    </row>
    <row r="431" spans="1:27" s="15" customFormat="1" ht="21" customHeight="1">
      <c r="A431" s="506" t="s">
        <v>939</v>
      </c>
      <c r="B431" s="6"/>
      <c r="C431" s="8" t="s">
        <v>559</v>
      </c>
      <c r="D431" s="6"/>
      <c r="E431" s="6"/>
      <c r="F431" s="6">
        <v>0</v>
      </c>
      <c r="G431" s="7">
        <v>0</v>
      </c>
      <c r="I431" s="6"/>
      <c r="J431" s="6">
        <v>200</v>
      </c>
      <c r="K431" s="6"/>
      <c r="L431" s="6"/>
      <c r="M431" s="499"/>
      <c r="N431" s="499"/>
      <c r="O431" s="16"/>
      <c r="P431" s="16"/>
      <c r="Q431" s="16"/>
      <c r="R431" s="16"/>
      <c r="S431" s="16"/>
      <c r="T431" s="16"/>
      <c r="U431" s="16"/>
      <c r="V431" s="16"/>
      <c r="W431" s="16"/>
      <c r="X431" s="16"/>
      <c r="Y431" s="16"/>
      <c r="Z431" s="16"/>
      <c r="AA431" s="16"/>
    </row>
    <row r="432" spans="1:27" s="15" customFormat="1" ht="21" customHeight="1">
      <c r="A432" s="506" t="s">
        <v>1152</v>
      </c>
      <c r="B432" s="6"/>
      <c r="C432" s="8" t="s">
        <v>259</v>
      </c>
      <c r="D432" s="6"/>
      <c r="E432" s="6"/>
      <c r="F432" s="6">
        <v>0</v>
      </c>
      <c r="G432" s="7">
        <v>0</v>
      </c>
      <c r="I432" s="6"/>
      <c r="J432" s="6">
        <v>2000</v>
      </c>
      <c r="K432" s="6"/>
      <c r="L432" s="6"/>
      <c r="M432" s="499"/>
      <c r="N432" s="499"/>
      <c r="O432" s="16"/>
      <c r="P432" s="16"/>
      <c r="Q432" s="16"/>
      <c r="R432" s="16"/>
      <c r="S432" s="16"/>
      <c r="T432" s="16"/>
      <c r="U432" s="16"/>
      <c r="V432" s="16"/>
      <c r="W432" s="16"/>
      <c r="X432" s="16"/>
      <c r="Y432" s="16"/>
      <c r="Z432" s="16"/>
      <c r="AA432" s="16"/>
    </row>
    <row r="433" spans="1:27" s="15" customFormat="1" ht="21" customHeight="1">
      <c r="A433" s="506" t="s">
        <v>940</v>
      </c>
      <c r="B433" s="6"/>
      <c r="C433" s="8" t="s">
        <v>559</v>
      </c>
      <c r="D433" s="6"/>
      <c r="E433" s="6"/>
      <c r="F433" s="6">
        <v>0</v>
      </c>
      <c r="G433" s="7">
        <v>0</v>
      </c>
      <c r="I433" s="6"/>
      <c r="J433" s="6">
        <v>250</v>
      </c>
      <c r="K433" s="6"/>
      <c r="L433" s="6"/>
      <c r="M433" s="499"/>
      <c r="N433" s="499"/>
      <c r="O433" s="16"/>
      <c r="P433" s="16"/>
      <c r="Q433" s="16"/>
      <c r="R433" s="16"/>
      <c r="S433" s="16"/>
      <c r="T433" s="16"/>
      <c r="U433" s="16"/>
      <c r="V433" s="16"/>
      <c r="W433" s="16"/>
      <c r="X433" s="16"/>
      <c r="Y433" s="16"/>
      <c r="Z433" s="16"/>
      <c r="AA433" s="16"/>
    </row>
    <row r="434" spans="1:27" s="15" customFormat="1" ht="21" customHeight="1">
      <c r="A434" s="506" t="s">
        <v>941</v>
      </c>
      <c r="B434" s="6"/>
      <c r="C434" s="8" t="s">
        <v>249</v>
      </c>
      <c r="D434" s="6"/>
      <c r="E434" s="6"/>
      <c r="F434" s="6">
        <v>0</v>
      </c>
      <c r="G434" s="7">
        <v>0</v>
      </c>
      <c r="I434" s="6"/>
      <c r="J434" s="6">
        <v>901</v>
      </c>
      <c r="K434" s="6"/>
      <c r="L434" s="6"/>
      <c r="M434" s="499"/>
      <c r="N434" s="499"/>
      <c r="O434" s="16"/>
      <c r="P434" s="16"/>
      <c r="Q434" s="16"/>
      <c r="R434" s="16"/>
      <c r="S434" s="16"/>
      <c r="T434" s="16"/>
      <c r="U434" s="16"/>
      <c r="V434" s="16"/>
      <c r="W434" s="16"/>
      <c r="X434" s="16"/>
      <c r="Y434" s="16"/>
      <c r="Z434" s="16"/>
      <c r="AA434" s="16"/>
    </row>
    <row r="435" spans="1:27" s="15" customFormat="1" ht="21" customHeight="1">
      <c r="A435" s="506" t="s">
        <v>942</v>
      </c>
      <c r="B435" s="6"/>
      <c r="C435" s="8" t="s">
        <v>559</v>
      </c>
      <c r="D435" s="6"/>
      <c r="E435" s="6"/>
      <c r="F435" s="6">
        <v>0</v>
      </c>
      <c r="G435" s="7">
        <v>0</v>
      </c>
      <c r="I435" s="6"/>
      <c r="J435" s="6">
        <v>200</v>
      </c>
      <c r="K435" s="6"/>
      <c r="L435" s="6"/>
      <c r="M435" s="499"/>
      <c r="N435" s="499"/>
      <c r="O435" s="16"/>
      <c r="P435" s="16"/>
      <c r="Q435" s="16"/>
      <c r="R435" s="16"/>
      <c r="S435" s="16"/>
      <c r="T435" s="16"/>
      <c r="U435" s="16"/>
      <c r="V435" s="16"/>
      <c r="W435" s="16"/>
      <c r="X435" s="16"/>
      <c r="Y435" s="16"/>
      <c r="Z435" s="16"/>
      <c r="AA435" s="16"/>
    </row>
    <row r="436" spans="1:27" s="15" customFormat="1" ht="21" customHeight="1">
      <c r="A436" s="506" t="s">
        <v>1153</v>
      </c>
      <c r="B436" s="6"/>
      <c r="C436" s="8" t="s">
        <v>259</v>
      </c>
      <c r="D436" s="6"/>
      <c r="E436" s="6"/>
      <c r="F436" s="6">
        <v>0</v>
      </c>
      <c r="G436" s="7">
        <v>0</v>
      </c>
      <c r="I436" s="6"/>
      <c r="J436" s="6">
        <v>2000</v>
      </c>
      <c r="K436" s="6"/>
      <c r="L436" s="6"/>
      <c r="M436" s="499"/>
      <c r="N436" s="499"/>
      <c r="O436" s="16"/>
      <c r="P436" s="16"/>
      <c r="Q436" s="16"/>
      <c r="R436" s="16"/>
      <c r="S436" s="16"/>
      <c r="T436" s="16"/>
      <c r="U436" s="16"/>
      <c r="V436" s="16"/>
      <c r="W436" s="16"/>
      <c r="X436" s="16"/>
      <c r="Y436" s="16"/>
      <c r="Z436" s="16"/>
      <c r="AA436" s="16"/>
    </row>
    <row r="437" spans="1:27" s="15" customFormat="1" ht="21" customHeight="1">
      <c r="A437" s="506" t="s">
        <v>943</v>
      </c>
      <c r="B437" s="6"/>
      <c r="C437" s="8" t="s">
        <v>247</v>
      </c>
      <c r="D437" s="6"/>
      <c r="E437" s="6"/>
      <c r="F437" s="6">
        <v>0</v>
      </c>
      <c r="G437" s="7">
        <v>0</v>
      </c>
      <c r="I437" s="6"/>
      <c r="J437" s="6">
        <v>100</v>
      </c>
      <c r="K437" s="6"/>
      <c r="L437" s="6"/>
      <c r="M437" s="499"/>
      <c r="N437" s="499"/>
      <c r="O437" s="16"/>
      <c r="P437" s="16"/>
      <c r="Q437" s="16"/>
      <c r="R437" s="16"/>
      <c r="S437" s="16"/>
      <c r="T437" s="16"/>
      <c r="U437" s="16"/>
      <c r="V437" s="16"/>
      <c r="W437" s="16"/>
      <c r="X437" s="16"/>
      <c r="Y437" s="16"/>
      <c r="Z437" s="16"/>
      <c r="AA437" s="16"/>
    </row>
    <row r="438" spans="1:27" s="15" customFormat="1" ht="21" customHeight="1">
      <c r="A438" s="20"/>
      <c r="B438" s="6"/>
      <c r="C438" s="8"/>
      <c r="D438" s="6"/>
      <c r="E438" s="6"/>
      <c r="F438" s="6"/>
      <c r="G438" s="7"/>
      <c r="I438" s="6"/>
      <c r="J438" s="6"/>
      <c r="K438" s="6"/>
      <c r="L438" s="6"/>
      <c r="M438" s="499"/>
      <c r="N438" s="499"/>
      <c r="O438" s="16"/>
      <c r="P438" s="16"/>
      <c r="Q438" s="16"/>
      <c r="R438" s="16"/>
      <c r="S438" s="16"/>
      <c r="T438" s="16"/>
      <c r="U438" s="16"/>
      <c r="V438" s="16"/>
      <c r="W438" s="16"/>
      <c r="X438" s="16"/>
      <c r="Y438" s="16"/>
      <c r="Z438" s="16"/>
      <c r="AA438" s="16"/>
    </row>
    <row r="439" spans="1:27" s="15" customFormat="1" ht="21" customHeight="1">
      <c r="A439" s="501" t="s">
        <v>1060</v>
      </c>
      <c r="B439" s="502" t="s">
        <v>150</v>
      </c>
      <c r="C439" s="507" t="s">
        <v>195</v>
      </c>
      <c r="D439" s="502" t="s">
        <v>709</v>
      </c>
      <c r="E439" s="502" t="s">
        <v>710</v>
      </c>
      <c r="F439" s="502">
        <v>99</v>
      </c>
      <c r="G439" s="504">
        <v>1.64</v>
      </c>
      <c r="H439" s="505" t="s">
        <v>280</v>
      </c>
      <c r="I439" s="502">
        <v>6</v>
      </c>
      <c r="J439" s="502">
        <v>1450</v>
      </c>
      <c r="K439" s="502">
        <v>8</v>
      </c>
      <c r="L439" s="502">
        <v>0</v>
      </c>
      <c r="M439" s="507">
        <v>1</v>
      </c>
      <c r="N439" s="507" t="s">
        <v>708</v>
      </c>
      <c r="O439" s="16"/>
      <c r="P439" s="16"/>
      <c r="Q439" s="16"/>
      <c r="R439" s="16"/>
      <c r="S439" s="16"/>
      <c r="T439" s="16"/>
      <c r="U439" s="16"/>
      <c r="V439" s="16"/>
      <c r="W439" s="16"/>
      <c r="X439" s="16"/>
      <c r="Y439" s="16"/>
      <c r="Z439" s="16"/>
      <c r="AA439" s="16"/>
    </row>
    <row r="440" spans="1:27" s="15" customFormat="1" ht="21" customHeight="1">
      <c r="A440" s="506" t="s">
        <v>944</v>
      </c>
      <c r="B440" s="6"/>
      <c r="C440" s="8" t="s">
        <v>246</v>
      </c>
      <c r="D440" s="6"/>
      <c r="E440" s="6"/>
      <c r="F440" s="6">
        <v>3</v>
      </c>
      <c r="G440" s="7">
        <v>0</v>
      </c>
      <c r="I440" s="6"/>
      <c r="J440" s="6">
        <v>50</v>
      </c>
      <c r="K440" s="6"/>
      <c r="L440" s="6"/>
      <c r="M440" s="499"/>
      <c r="N440" s="499"/>
      <c r="O440" s="16"/>
      <c r="P440" s="16"/>
      <c r="Q440" s="16"/>
      <c r="R440" s="16"/>
      <c r="S440" s="16"/>
      <c r="T440" s="16"/>
      <c r="U440" s="16"/>
      <c r="V440" s="16"/>
      <c r="W440" s="16"/>
      <c r="X440" s="16"/>
      <c r="Y440" s="16"/>
      <c r="Z440" s="16"/>
      <c r="AA440" s="16"/>
    </row>
    <row r="441" spans="1:27" s="15" customFormat="1" ht="21" customHeight="1">
      <c r="A441" s="506" t="s">
        <v>945</v>
      </c>
      <c r="B441" s="6"/>
      <c r="C441" s="8" t="s">
        <v>248</v>
      </c>
      <c r="D441" s="6"/>
      <c r="E441" s="6"/>
      <c r="F441" s="6">
        <v>0</v>
      </c>
      <c r="G441" s="7">
        <v>0</v>
      </c>
      <c r="I441" s="6"/>
      <c r="J441" s="6">
        <v>300</v>
      </c>
      <c r="K441" s="6"/>
      <c r="L441" s="6"/>
      <c r="M441" s="499"/>
      <c r="N441" s="499"/>
      <c r="O441" s="16"/>
      <c r="P441" s="16"/>
      <c r="Q441" s="16"/>
      <c r="R441" s="16"/>
      <c r="S441" s="16"/>
      <c r="T441" s="16"/>
      <c r="U441" s="16"/>
      <c r="V441" s="16"/>
      <c r="W441" s="16"/>
      <c r="X441" s="16"/>
      <c r="Y441" s="16"/>
      <c r="Z441" s="16"/>
      <c r="AA441" s="16"/>
    </row>
    <row r="442" spans="1:27" s="15" customFormat="1" ht="21" customHeight="1">
      <c r="A442" s="506" t="s">
        <v>946</v>
      </c>
      <c r="B442" s="6"/>
      <c r="C442" s="8" t="s">
        <v>248</v>
      </c>
      <c r="D442" s="6"/>
      <c r="E442" s="6"/>
      <c r="F442" s="6">
        <v>0</v>
      </c>
      <c r="G442" s="7">
        <v>0</v>
      </c>
      <c r="I442" s="6"/>
      <c r="J442" s="6">
        <v>400</v>
      </c>
      <c r="K442" s="6"/>
      <c r="L442" s="6"/>
      <c r="M442" s="499"/>
      <c r="N442" s="499"/>
      <c r="O442" s="16"/>
      <c r="P442" s="16"/>
      <c r="Q442" s="16"/>
      <c r="R442" s="16"/>
      <c r="S442" s="16"/>
      <c r="T442" s="16"/>
      <c r="U442" s="16"/>
      <c r="V442" s="16"/>
      <c r="W442" s="16"/>
      <c r="X442" s="16"/>
      <c r="Y442" s="16"/>
      <c r="Z442" s="16"/>
      <c r="AA442" s="16"/>
    </row>
    <row r="443" spans="1:27" s="15" customFormat="1" ht="21" customHeight="1">
      <c r="A443" s="506" t="s">
        <v>947</v>
      </c>
      <c r="B443" s="6"/>
      <c r="C443" s="8" t="s">
        <v>248</v>
      </c>
      <c r="D443" s="6"/>
      <c r="E443" s="6"/>
      <c r="F443" s="6">
        <v>4</v>
      </c>
      <c r="G443" s="7">
        <v>0.01</v>
      </c>
      <c r="I443" s="6"/>
      <c r="J443" s="6">
        <v>300</v>
      </c>
      <c r="K443" s="6"/>
      <c r="L443" s="6"/>
      <c r="M443" s="499"/>
      <c r="N443" s="499"/>
      <c r="O443" s="16"/>
      <c r="P443" s="16"/>
      <c r="Q443" s="16"/>
      <c r="R443" s="16"/>
      <c r="S443" s="16"/>
      <c r="T443" s="16"/>
      <c r="U443" s="16"/>
      <c r="V443" s="16"/>
      <c r="W443" s="16"/>
      <c r="X443" s="16"/>
      <c r="Y443" s="16"/>
      <c r="Z443" s="16"/>
      <c r="AA443" s="16"/>
    </row>
    <row r="444" spans="1:27" s="15" customFormat="1" ht="21" customHeight="1">
      <c r="A444" s="506" t="s">
        <v>948</v>
      </c>
      <c r="B444" s="6"/>
      <c r="C444" s="8" t="s">
        <v>248</v>
      </c>
      <c r="D444" s="6"/>
      <c r="E444" s="6"/>
      <c r="F444" s="6">
        <v>0</v>
      </c>
      <c r="G444" s="7">
        <v>0</v>
      </c>
      <c r="I444" s="6"/>
      <c r="J444" s="6">
        <v>300</v>
      </c>
      <c r="K444" s="6"/>
      <c r="L444" s="6"/>
      <c r="M444" s="499"/>
      <c r="N444" s="499"/>
      <c r="O444" s="16"/>
      <c r="P444" s="16"/>
      <c r="Q444" s="16"/>
      <c r="R444" s="16"/>
      <c r="S444" s="16"/>
      <c r="T444" s="16"/>
      <c r="U444" s="16"/>
      <c r="V444" s="16"/>
      <c r="W444" s="16"/>
      <c r="X444" s="16"/>
      <c r="Y444" s="16"/>
      <c r="Z444" s="16"/>
      <c r="AA444" s="16"/>
    </row>
    <row r="445" spans="1:27" s="15" customFormat="1" ht="21" customHeight="1">
      <c r="A445" s="506" t="s">
        <v>949</v>
      </c>
      <c r="B445" s="6"/>
      <c r="C445" s="8" t="s">
        <v>247</v>
      </c>
      <c r="D445" s="6"/>
      <c r="E445" s="6"/>
      <c r="F445" s="6">
        <v>89</v>
      </c>
      <c r="G445" s="7">
        <v>1.52</v>
      </c>
      <c r="I445" s="6"/>
      <c r="J445" s="6">
        <v>100</v>
      </c>
      <c r="K445" s="6"/>
      <c r="L445" s="6"/>
      <c r="M445" s="499"/>
      <c r="N445" s="499"/>
      <c r="O445" s="16"/>
      <c r="P445" s="16"/>
      <c r="Q445" s="16"/>
      <c r="R445" s="16"/>
      <c r="S445" s="16"/>
      <c r="T445" s="16"/>
      <c r="U445" s="16"/>
      <c r="V445" s="16"/>
      <c r="W445" s="16"/>
      <c r="X445" s="16"/>
      <c r="Y445" s="16"/>
      <c r="Z445" s="16"/>
      <c r="AA445" s="16"/>
    </row>
    <row r="446" spans="1:27" s="15" customFormat="1" ht="21" customHeight="1">
      <c r="A446" s="20"/>
      <c r="B446" s="6"/>
      <c r="C446" s="8"/>
      <c r="D446" s="6"/>
      <c r="E446" s="6"/>
      <c r="F446" s="6"/>
      <c r="G446" s="7"/>
      <c r="I446" s="6"/>
      <c r="J446" s="6"/>
      <c r="K446" s="6"/>
      <c r="L446" s="6"/>
      <c r="M446" s="499"/>
      <c r="N446" s="499"/>
      <c r="O446" s="16"/>
      <c r="P446" s="16"/>
      <c r="Q446" s="16"/>
      <c r="R446" s="16"/>
      <c r="S446" s="16"/>
      <c r="T446" s="16"/>
      <c r="U446" s="16"/>
      <c r="V446" s="16"/>
      <c r="W446" s="16"/>
      <c r="X446" s="16"/>
      <c r="Y446" s="16"/>
      <c r="Z446" s="16"/>
      <c r="AA446" s="16"/>
    </row>
    <row r="447" spans="1:27" s="15" customFormat="1" ht="21" customHeight="1">
      <c r="A447" s="501" t="s">
        <v>1061</v>
      </c>
      <c r="B447" s="502" t="s">
        <v>150</v>
      </c>
      <c r="C447" s="503" t="s">
        <v>3</v>
      </c>
      <c r="D447" s="502" t="s">
        <v>706</v>
      </c>
      <c r="E447" s="502" t="s">
        <v>707</v>
      </c>
      <c r="F447" s="502">
        <v>303</v>
      </c>
      <c r="G447" s="504">
        <v>99.42</v>
      </c>
      <c r="H447" s="505" t="s">
        <v>377</v>
      </c>
      <c r="I447" s="502">
        <v>4</v>
      </c>
      <c r="J447" s="502">
        <v>3322</v>
      </c>
      <c r="K447" s="502">
        <v>32</v>
      </c>
      <c r="L447" s="502">
        <v>0</v>
      </c>
      <c r="M447" s="507">
        <v>1</v>
      </c>
      <c r="N447" s="507" t="s">
        <v>708</v>
      </c>
      <c r="O447" s="16"/>
      <c r="P447" s="16"/>
      <c r="Q447" s="16"/>
      <c r="R447" s="16"/>
      <c r="S447" s="16"/>
      <c r="T447" s="16"/>
      <c r="U447" s="16"/>
      <c r="V447" s="16"/>
      <c r="W447" s="16"/>
      <c r="X447" s="16"/>
      <c r="Y447" s="16"/>
      <c r="Z447" s="16"/>
      <c r="AA447" s="16"/>
    </row>
    <row r="448" spans="1:27" s="15" customFormat="1" ht="21" customHeight="1">
      <c r="A448" s="506" t="s">
        <v>1154</v>
      </c>
      <c r="B448" s="6"/>
      <c r="C448" s="8" t="s">
        <v>233</v>
      </c>
      <c r="D448" s="6"/>
      <c r="E448" s="6"/>
      <c r="F448" s="6">
        <v>0</v>
      </c>
      <c r="G448" s="7">
        <v>0</v>
      </c>
      <c r="I448" s="6"/>
      <c r="J448" s="6">
        <v>50</v>
      </c>
      <c r="K448" s="6"/>
      <c r="L448" s="6"/>
      <c r="M448" s="499"/>
      <c r="N448" s="499"/>
      <c r="O448" s="16"/>
      <c r="P448" s="16"/>
      <c r="Q448" s="16"/>
      <c r="R448" s="16"/>
      <c r="S448" s="16"/>
      <c r="T448" s="16"/>
      <c r="U448" s="16"/>
      <c r="V448" s="16"/>
      <c r="W448" s="16"/>
      <c r="X448" s="16"/>
      <c r="Y448" s="16"/>
      <c r="Z448" s="16"/>
      <c r="AA448" s="16"/>
    </row>
    <row r="449" spans="1:27" s="15" customFormat="1" ht="21" customHeight="1">
      <c r="A449" s="506" t="s">
        <v>1155</v>
      </c>
      <c r="B449" s="6"/>
      <c r="C449" s="8" t="s">
        <v>258</v>
      </c>
      <c r="D449" s="6"/>
      <c r="E449" s="6"/>
      <c r="F449" s="6">
        <v>275</v>
      </c>
      <c r="G449" s="7">
        <v>98.61</v>
      </c>
      <c r="I449" s="6"/>
      <c r="J449" s="6">
        <v>3072</v>
      </c>
      <c r="K449" s="6"/>
      <c r="L449" s="6"/>
      <c r="M449" s="499"/>
      <c r="N449" s="499"/>
      <c r="O449" s="16"/>
      <c r="P449" s="16"/>
      <c r="Q449" s="16"/>
      <c r="R449" s="16"/>
      <c r="S449" s="16"/>
      <c r="T449" s="16"/>
      <c r="U449" s="16"/>
      <c r="V449" s="16"/>
      <c r="W449" s="16"/>
      <c r="X449" s="16"/>
      <c r="Y449" s="16"/>
      <c r="Z449" s="16"/>
      <c r="AA449" s="16"/>
    </row>
    <row r="450" spans="1:27" s="15" customFormat="1" ht="21" customHeight="1">
      <c r="A450" s="506" t="s">
        <v>1156</v>
      </c>
      <c r="B450" s="6"/>
      <c r="C450" s="8" t="s">
        <v>233</v>
      </c>
      <c r="D450" s="6"/>
      <c r="E450" s="6"/>
      <c r="F450" s="6">
        <v>0</v>
      </c>
      <c r="G450" s="7">
        <v>0</v>
      </c>
      <c r="I450" s="6"/>
      <c r="J450" s="6">
        <v>100</v>
      </c>
      <c r="K450" s="6"/>
      <c r="L450" s="6"/>
      <c r="M450" s="499"/>
      <c r="N450" s="499"/>
      <c r="O450" s="16"/>
      <c r="P450" s="16"/>
      <c r="Q450" s="16"/>
      <c r="R450" s="16"/>
      <c r="S450" s="16"/>
      <c r="T450" s="16"/>
      <c r="U450" s="16"/>
      <c r="V450" s="16"/>
      <c r="W450" s="16"/>
      <c r="X450" s="16"/>
      <c r="Y450" s="16"/>
      <c r="Z450" s="16"/>
      <c r="AA450" s="16"/>
    </row>
    <row r="451" spans="1:27" s="15" customFormat="1" ht="21" customHeight="1">
      <c r="A451" s="506" t="s">
        <v>1157</v>
      </c>
      <c r="B451" s="6"/>
      <c r="C451" s="8" t="s">
        <v>233</v>
      </c>
      <c r="D451" s="6"/>
      <c r="E451" s="6"/>
      <c r="F451" s="6">
        <v>34</v>
      </c>
      <c r="G451" s="7">
        <v>0.48</v>
      </c>
      <c r="I451" s="6"/>
      <c r="J451" s="6">
        <v>100</v>
      </c>
      <c r="K451" s="6"/>
      <c r="L451" s="6"/>
      <c r="M451" s="499"/>
      <c r="N451" s="499"/>
      <c r="O451" s="16"/>
      <c r="P451" s="16"/>
      <c r="Q451" s="16"/>
      <c r="R451" s="16"/>
      <c r="S451" s="16"/>
      <c r="T451" s="16"/>
      <c r="U451" s="16"/>
      <c r="V451" s="16"/>
      <c r="W451" s="16"/>
      <c r="X451" s="16"/>
      <c r="Y451" s="16"/>
      <c r="Z451" s="16"/>
      <c r="AA451" s="16"/>
    </row>
    <row r="452" spans="1:27" s="15" customFormat="1" ht="21" customHeight="1">
      <c r="A452" s="20"/>
      <c r="B452" s="6"/>
      <c r="C452" s="8"/>
      <c r="D452" s="6"/>
      <c r="E452" s="6"/>
      <c r="F452" s="6"/>
      <c r="G452" s="7"/>
      <c r="I452" s="6"/>
      <c r="J452" s="6"/>
      <c r="K452" s="6"/>
      <c r="L452" s="6"/>
      <c r="M452" s="499"/>
      <c r="N452" s="499"/>
      <c r="O452" s="16"/>
      <c r="P452" s="16"/>
      <c r="Q452" s="16"/>
      <c r="R452" s="16"/>
      <c r="S452" s="16"/>
      <c r="T452" s="16"/>
      <c r="U452" s="16"/>
      <c r="V452" s="16"/>
      <c r="W452" s="16"/>
      <c r="X452" s="16"/>
      <c r="Y452" s="16"/>
      <c r="Z452" s="16"/>
      <c r="AA452" s="16"/>
    </row>
    <row r="453" spans="1:27" s="15" customFormat="1" ht="21" customHeight="1">
      <c r="A453" s="501" t="s">
        <v>1062</v>
      </c>
      <c r="B453" s="502" t="s">
        <v>150</v>
      </c>
      <c r="C453" s="507" t="s">
        <v>195</v>
      </c>
      <c r="D453" s="502" t="s">
        <v>709</v>
      </c>
      <c r="E453" s="502" t="s">
        <v>710</v>
      </c>
      <c r="F453" s="502">
        <v>20</v>
      </c>
      <c r="G453" s="504">
        <v>0.28000000000000003</v>
      </c>
      <c r="H453" s="505" t="s">
        <v>342</v>
      </c>
      <c r="I453" s="502">
        <v>12</v>
      </c>
      <c r="J453" s="502">
        <v>150</v>
      </c>
      <c r="K453" s="502">
        <v>16</v>
      </c>
      <c r="L453" s="502">
        <v>0</v>
      </c>
      <c r="M453" s="507">
        <v>3</v>
      </c>
      <c r="N453" s="507" t="s">
        <v>708</v>
      </c>
      <c r="O453" s="16"/>
      <c r="P453" s="16"/>
      <c r="Q453" s="16"/>
      <c r="R453" s="16"/>
      <c r="S453" s="16"/>
      <c r="T453" s="16"/>
      <c r="U453" s="16"/>
      <c r="V453" s="16"/>
      <c r="W453" s="16"/>
      <c r="X453" s="16"/>
      <c r="Y453" s="16"/>
      <c r="Z453" s="16"/>
      <c r="AA453" s="16"/>
    </row>
    <row r="454" spans="1:27" s="15" customFormat="1" ht="21" customHeight="1">
      <c r="A454" s="506" t="s">
        <v>950</v>
      </c>
      <c r="B454" s="6"/>
      <c r="C454" s="8" t="s">
        <v>247</v>
      </c>
      <c r="D454" s="6"/>
      <c r="E454" s="6"/>
      <c r="F454" s="6">
        <v>20</v>
      </c>
      <c r="G454" s="7">
        <v>0.28000000000000003</v>
      </c>
      <c r="I454" s="6"/>
      <c r="J454" s="6">
        <v>100</v>
      </c>
      <c r="K454" s="6"/>
      <c r="L454" s="6"/>
      <c r="M454" s="499"/>
      <c r="N454" s="499"/>
      <c r="O454" s="16"/>
      <c r="P454" s="16"/>
      <c r="Q454" s="16"/>
      <c r="R454" s="16"/>
      <c r="S454" s="16"/>
      <c r="T454" s="16"/>
      <c r="U454" s="16"/>
      <c r="V454" s="16"/>
      <c r="W454" s="16"/>
      <c r="X454" s="16"/>
      <c r="Y454" s="16"/>
      <c r="Z454" s="16"/>
      <c r="AA454" s="16"/>
    </row>
    <row r="455" spans="1:27" s="15" customFormat="1" ht="21" customHeight="1">
      <c r="A455" s="506" t="s">
        <v>951</v>
      </c>
      <c r="B455" s="6"/>
      <c r="C455" s="8" t="s">
        <v>246</v>
      </c>
      <c r="D455" s="6"/>
      <c r="E455" s="6"/>
      <c r="F455" s="6">
        <v>0</v>
      </c>
      <c r="G455" s="7">
        <v>0</v>
      </c>
      <c r="I455" s="6"/>
      <c r="J455" s="6">
        <v>50</v>
      </c>
      <c r="K455" s="6"/>
      <c r="L455" s="6"/>
      <c r="M455" s="499"/>
      <c r="N455" s="499"/>
      <c r="O455" s="16"/>
      <c r="P455" s="16"/>
      <c r="Q455" s="16"/>
      <c r="R455" s="16"/>
      <c r="S455" s="16"/>
      <c r="T455" s="16"/>
      <c r="U455" s="16"/>
      <c r="V455" s="16"/>
      <c r="W455" s="16"/>
      <c r="X455" s="16"/>
      <c r="Y455" s="16"/>
      <c r="Z455" s="16"/>
      <c r="AA455" s="16"/>
    </row>
    <row r="456" spans="1:27" s="15" customFormat="1" ht="21" customHeight="1">
      <c r="A456" s="20"/>
      <c r="B456" s="6"/>
      <c r="C456" s="8"/>
      <c r="D456" s="6"/>
      <c r="E456" s="6"/>
      <c r="F456" s="6"/>
      <c r="G456" s="7"/>
      <c r="I456" s="6"/>
      <c r="J456" s="6"/>
      <c r="K456" s="6"/>
      <c r="L456" s="6"/>
      <c r="M456" s="499"/>
      <c r="N456" s="499"/>
      <c r="O456" s="16"/>
      <c r="P456" s="16"/>
      <c r="Q456" s="16"/>
      <c r="R456" s="16"/>
      <c r="S456" s="16"/>
      <c r="T456" s="16"/>
      <c r="U456" s="16"/>
      <c r="V456" s="16"/>
      <c r="W456" s="16"/>
      <c r="X456" s="16"/>
      <c r="Y456" s="16"/>
      <c r="Z456" s="16"/>
      <c r="AA456" s="16"/>
    </row>
    <row r="457" spans="1:27" s="15" customFormat="1" ht="21" customHeight="1">
      <c r="A457" s="501" t="s">
        <v>1063</v>
      </c>
      <c r="B457" s="502" t="s">
        <v>150</v>
      </c>
      <c r="C457" s="507" t="s">
        <v>195</v>
      </c>
      <c r="D457" s="502" t="s">
        <v>709</v>
      </c>
      <c r="E457" s="502" t="s">
        <v>710</v>
      </c>
      <c r="F457" s="502">
        <v>31</v>
      </c>
      <c r="G457" s="504">
        <v>0.7</v>
      </c>
      <c r="H457" s="505" t="s">
        <v>342</v>
      </c>
      <c r="I457" s="502">
        <v>12</v>
      </c>
      <c r="J457" s="502">
        <v>150</v>
      </c>
      <c r="K457" s="502">
        <v>16</v>
      </c>
      <c r="L457" s="502">
        <v>0</v>
      </c>
      <c r="M457" s="507">
        <v>3</v>
      </c>
      <c r="N457" s="507" t="s">
        <v>708</v>
      </c>
      <c r="O457" s="16"/>
      <c r="P457" s="16"/>
      <c r="Q457" s="16"/>
      <c r="R457" s="16"/>
      <c r="S457" s="16"/>
      <c r="T457" s="16"/>
      <c r="U457" s="16"/>
      <c r="V457" s="16"/>
      <c r="W457" s="16"/>
      <c r="X457" s="16"/>
      <c r="Y457" s="16"/>
      <c r="Z457" s="16"/>
      <c r="AA457" s="16"/>
    </row>
    <row r="458" spans="1:27" s="15" customFormat="1" ht="21" customHeight="1">
      <c r="A458" s="506" t="s">
        <v>952</v>
      </c>
      <c r="B458" s="6"/>
      <c r="C458" s="8" t="s">
        <v>247</v>
      </c>
      <c r="D458" s="6"/>
      <c r="E458" s="6"/>
      <c r="F458" s="6">
        <v>31</v>
      </c>
      <c r="G458" s="7">
        <v>0.7</v>
      </c>
      <c r="I458" s="6"/>
      <c r="J458" s="6">
        <v>100</v>
      </c>
      <c r="K458" s="6"/>
      <c r="L458" s="6"/>
      <c r="M458" s="499"/>
      <c r="N458" s="499"/>
      <c r="O458" s="16"/>
      <c r="P458" s="16"/>
      <c r="Q458" s="16"/>
      <c r="R458" s="16"/>
      <c r="S458" s="16"/>
      <c r="T458" s="16"/>
      <c r="U458" s="16"/>
      <c r="V458" s="16"/>
      <c r="W458" s="16"/>
      <c r="X458" s="16"/>
      <c r="Y458" s="16"/>
      <c r="Z458" s="16"/>
      <c r="AA458" s="16"/>
    </row>
    <row r="459" spans="1:27" s="15" customFormat="1" ht="21" customHeight="1">
      <c r="A459" s="506" t="s">
        <v>953</v>
      </c>
      <c r="B459" s="6"/>
      <c r="C459" s="8" t="s">
        <v>246</v>
      </c>
      <c r="D459" s="6"/>
      <c r="E459" s="6"/>
      <c r="F459" s="6">
        <v>0</v>
      </c>
      <c r="G459" s="7">
        <v>0</v>
      </c>
      <c r="I459" s="6"/>
      <c r="J459" s="6">
        <v>50</v>
      </c>
      <c r="K459" s="6"/>
      <c r="L459" s="6"/>
      <c r="M459" s="499"/>
      <c r="N459" s="499"/>
      <c r="O459" s="16"/>
      <c r="P459" s="16"/>
      <c r="Q459" s="16"/>
      <c r="R459" s="16"/>
      <c r="S459" s="16"/>
      <c r="T459" s="16"/>
      <c r="U459" s="16"/>
      <c r="V459" s="16"/>
      <c r="W459" s="16"/>
      <c r="X459" s="16"/>
      <c r="Y459" s="16"/>
      <c r="Z459" s="16"/>
      <c r="AA459" s="16"/>
    </row>
    <row r="460" spans="1:27" s="15" customFormat="1" ht="21" customHeight="1">
      <c r="A460" s="20"/>
      <c r="B460" s="6"/>
      <c r="C460" s="8"/>
      <c r="D460" s="6"/>
      <c r="E460" s="6"/>
      <c r="F460" s="6"/>
      <c r="G460" s="7"/>
      <c r="I460" s="6"/>
      <c r="J460" s="6"/>
      <c r="K460" s="6"/>
      <c r="L460" s="6"/>
      <c r="M460" s="499"/>
      <c r="N460" s="499"/>
      <c r="O460" s="16"/>
      <c r="P460" s="16"/>
      <c r="Q460" s="16"/>
      <c r="R460" s="16"/>
      <c r="S460" s="16"/>
      <c r="T460" s="16"/>
      <c r="U460" s="16"/>
      <c r="V460" s="16"/>
      <c r="W460" s="16"/>
      <c r="X460" s="16"/>
      <c r="Y460" s="16"/>
      <c r="Z460" s="16"/>
      <c r="AA460" s="16"/>
    </row>
    <row r="461" spans="1:27" s="15" customFormat="1" ht="21" customHeight="1">
      <c r="A461" s="501" t="s">
        <v>1064</v>
      </c>
      <c r="B461" s="502" t="s">
        <v>150</v>
      </c>
      <c r="C461" s="507" t="s">
        <v>195</v>
      </c>
      <c r="D461" s="502" t="s">
        <v>709</v>
      </c>
      <c r="E461" s="502" t="s">
        <v>710</v>
      </c>
      <c r="F461" s="502">
        <v>24</v>
      </c>
      <c r="G461" s="504">
        <v>0.31</v>
      </c>
      <c r="H461" s="505" t="s">
        <v>278</v>
      </c>
      <c r="I461" s="502">
        <v>3</v>
      </c>
      <c r="J461" s="502">
        <v>200</v>
      </c>
      <c r="K461" s="502">
        <v>4</v>
      </c>
      <c r="L461" s="502">
        <v>0</v>
      </c>
      <c r="M461" s="507">
        <v>2</v>
      </c>
      <c r="N461" s="507" t="s">
        <v>708</v>
      </c>
      <c r="O461" s="16"/>
      <c r="P461" s="16"/>
      <c r="Q461" s="16"/>
      <c r="R461" s="16"/>
      <c r="S461" s="16"/>
      <c r="T461" s="16"/>
      <c r="U461" s="16"/>
      <c r="V461" s="16"/>
      <c r="W461" s="16"/>
      <c r="X461" s="16"/>
      <c r="Y461" s="16"/>
      <c r="Z461" s="16"/>
      <c r="AA461" s="16"/>
    </row>
    <row r="462" spans="1:27" s="15" customFormat="1" ht="21" customHeight="1">
      <c r="A462" s="506" t="s">
        <v>954</v>
      </c>
      <c r="B462" s="6"/>
      <c r="C462" s="8" t="s">
        <v>246</v>
      </c>
      <c r="D462" s="6"/>
      <c r="E462" s="6"/>
      <c r="F462" s="6">
        <v>0</v>
      </c>
      <c r="G462" s="7">
        <v>0</v>
      </c>
      <c r="I462" s="6"/>
      <c r="J462" s="6">
        <v>50</v>
      </c>
      <c r="K462" s="6"/>
      <c r="L462" s="6"/>
      <c r="M462" s="499"/>
      <c r="N462" s="499"/>
      <c r="O462" s="16"/>
      <c r="P462" s="16"/>
      <c r="Q462" s="16"/>
      <c r="R462" s="16"/>
      <c r="S462" s="16"/>
      <c r="T462" s="16"/>
      <c r="U462" s="16"/>
      <c r="V462" s="16"/>
      <c r="W462" s="16"/>
      <c r="X462" s="16"/>
      <c r="Y462" s="16"/>
      <c r="Z462" s="16"/>
      <c r="AA462" s="16"/>
    </row>
    <row r="463" spans="1:27" s="15" customFormat="1" ht="21" customHeight="1">
      <c r="A463" s="506" t="s">
        <v>955</v>
      </c>
      <c r="B463" s="6"/>
      <c r="C463" s="8" t="s">
        <v>246</v>
      </c>
      <c r="D463" s="6"/>
      <c r="E463" s="6"/>
      <c r="F463" s="6">
        <v>7</v>
      </c>
      <c r="G463" s="7">
        <v>0.03</v>
      </c>
      <c r="I463" s="6"/>
      <c r="J463" s="6">
        <v>50</v>
      </c>
      <c r="K463" s="6"/>
      <c r="L463" s="6"/>
      <c r="M463" s="499"/>
      <c r="N463" s="499"/>
      <c r="O463" s="16"/>
      <c r="P463" s="16"/>
      <c r="Q463" s="16"/>
      <c r="R463" s="16"/>
      <c r="S463" s="16"/>
      <c r="T463" s="16"/>
      <c r="U463" s="16"/>
      <c r="V463" s="16"/>
      <c r="W463" s="16"/>
      <c r="X463" s="16"/>
      <c r="Y463" s="16"/>
      <c r="Z463" s="16"/>
      <c r="AA463" s="16"/>
    </row>
    <row r="464" spans="1:27" s="15" customFormat="1" ht="21" customHeight="1">
      <c r="A464" s="506" t="s">
        <v>956</v>
      </c>
      <c r="B464" s="6"/>
      <c r="C464" s="8" t="s">
        <v>247</v>
      </c>
      <c r="D464" s="6"/>
      <c r="E464" s="6"/>
      <c r="F464" s="6">
        <v>21</v>
      </c>
      <c r="G464" s="7">
        <v>0.28999999999999998</v>
      </c>
      <c r="I464" s="6"/>
      <c r="J464" s="6">
        <v>100</v>
      </c>
      <c r="K464" s="6"/>
      <c r="L464" s="6"/>
      <c r="M464" s="499"/>
      <c r="N464" s="499"/>
      <c r="O464" s="16"/>
      <c r="P464" s="16"/>
      <c r="Q464" s="16"/>
      <c r="R464" s="16"/>
      <c r="S464" s="16"/>
      <c r="T464" s="16"/>
      <c r="U464" s="16"/>
      <c r="V464" s="16"/>
      <c r="W464" s="16"/>
      <c r="X464" s="16"/>
      <c r="Y464" s="16"/>
      <c r="Z464" s="16"/>
      <c r="AA464" s="16"/>
    </row>
    <row r="465" spans="1:27" s="15" customFormat="1" ht="21" customHeight="1">
      <c r="A465" s="20"/>
      <c r="B465" s="6"/>
      <c r="C465" s="8"/>
      <c r="D465" s="6"/>
      <c r="E465" s="6"/>
      <c r="F465" s="6"/>
      <c r="G465" s="7"/>
      <c r="I465" s="6"/>
      <c r="J465" s="6"/>
      <c r="K465" s="6"/>
      <c r="L465" s="6"/>
      <c r="M465" s="499"/>
      <c r="N465" s="499"/>
      <c r="O465" s="16"/>
      <c r="P465" s="16"/>
      <c r="Q465" s="16"/>
      <c r="R465" s="16"/>
      <c r="S465" s="16"/>
      <c r="T465" s="16"/>
      <c r="U465" s="16"/>
      <c r="V465" s="16"/>
      <c r="W465" s="16"/>
      <c r="X465" s="16"/>
      <c r="Y465" s="16"/>
      <c r="Z465" s="16"/>
      <c r="AA465" s="16"/>
    </row>
    <row r="466" spans="1:27" s="15" customFormat="1" ht="21" customHeight="1">
      <c r="A466" s="501" t="s">
        <v>1065</v>
      </c>
      <c r="B466" s="502" t="s">
        <v>150</v>
      </c>
      <c r="C466" s="507" t="s">
        <v>195</v>
      </c>
      <c r="D466" s="502" t="s">
        <v>709</v>
      </c>
      <c r="E466" s="502" t="s">
        <v>710</v>
      </c>
      <c r="F466" s="502">
        <v>24</v>
      </c>
      <c r="G466" s="504">
        <v>0.34</v>
      </c>
      <c r="H466" s="505" t="s">
        <v>342</v>
      </c>
      <c r="I466" s="502">
        <v>12</v>
      </c>
      <c r="J466" s="502">
        <v>150</v>
      </c>
      <c r="K466" s="502">
        <v>16</v>
      </c>
      <c r="L466" s="502">
        <v>0</v>
      </c>
      <c r="M466" s="507">
        <v>3</v>
      </c>
      <c r="N466" s="507" t="s">
        <v>708</v>
      </c>
      <c r="O466" s="16"/>
      <c r="P466" s="16"/>
      <c r="Q466" s="16"/>
      <c r="R466" s="16"/>
      <c r="S466" s="16"/>
      <c r="T466" s="16"/>
      <c r="U466" s="16"/>
      <c r="V466" s="16"/>
      <c r="W466" s="16"/>
      <c r="X466" s="16"/>
      <c r="Y466" s="16"/>
      <c r="Z466" s="16"/>
      <c r="AA466" s="16"/>
    </row>
    <row r="467" spans="1:27" s="15" customFormat="1" ht="21" customHeight="1">
      <c r="A467" s="506" t="s">
        <v>957</v>
      </c>
      <c r="B467" s="6"/>
      <c r="C467" s="8" t="s">
        <v>247</v>
      </c>
      <c r="D467" s="6"/>
      <c r="E467" s="6"/>
      <c r="F467" s="6">
        <v>24</v>
      </c>
      <c r="G467" s="7">
        <v>0.34</v>
      </c>
      <c r="I467" s="6"/>
      <c r="J467" s="6">
        <v>100</v>
      </c>
      <c r="K467" s="6"/>
      <c r="L467" s="6"/>
      <c r="M467" s="499"/>
      <c r="N467" s="499"/>
      <c r="O467" s="16"/>
      <c r="P467" s="16"/>
      <c r="Q467" s="16"/>
      <c r="R467" s="16"/>
      <c r="S467" s="16"/>
      <c r="T467" s="16"/>
      <c r="U467" s="16"/>
      <c r="V467" s="16"/>
      <c r="W467" s="16"/>
      <c r="X467" s="16"/>
      <c r="Y467" s="16"/>
      <c r="Z467" s="16"/>
      <c r="AA467" s="16"/>
    </row>
    <row r="468" spans="1:27" s="15" customFormat="1" ht="21" customHeight="1">
      <c r="A468" s="506" t="s">
        <v>958</v>
      </c>
      <c r="B468" s="6"/>
      <c r="C468" s="8" t="s">
        <v>246</v>
      </c>
      <c r="D468" s="6"/>
      <c r="E468" s="6"/>
      <c r="F468" s="6">
        <v>0</v>
      </c>
      <c r="G468" s="7">
        <v>0</v>
      </c>
      <c r="I468" s="6"/>
      <c r="J468" s="6">
        <v>50</v>
      </c>
      <c r="K468" s="6"/>
      <c r="L468" s="6"/>
      <c r="M468" s="499"/>
      <c r="N468" s="499"/>
      <c r="O468" s="16"/>
      <c r="P468" s="16"/>
      <c r="Q468" s="16"/>
      <c r="R468" s="16"/>
      <c r="S468" s="16"/>
      <c r="T468" s="16"/>
      <c r="U468" s="16"/>
      <c r="V468" s="16"/>
      <c r="W468" s="16"/>
      <c r="X468" s="16"/>
      <c r="Y468" s="16"/>
      <c r="Z468" s="16"/>
      <c r="AA468" s="16"/>
    </row>
    <row r="469" spans="1:27" s="15" customFormat="1" ht="21" customHeight="1">
      <c r="A469" s="20"/>
      <c r="B469" s="6"/>
      <c r="C469" s="8"/>
      <c r="D469" s="6"/>
      <c r="E469" s="6"/>
      <c r="F469" s="6"/>
      <c r="G469" s="7"/>
      <c r="I469" s="6"/>
      <c r="J469" s="6"/>
      <c r="K469" s="6"/>
      <c r="L469" s="6"/>
      <c r="M469" s="499"/>
      <c r="N469" s="499"/>
      <c r="O469" s="16"/>
      <c r="P469" s="16"/>
      <c r="Q469" s="16"/>
      <c r="R469" s="16"/>
      <c r="S469" s="16"/>
      <c r="T469" s="16"/>
      <c r="U469" s="16"/>
      <c r="V469" s="16"/>
      <c r="W469" s="16"/>
      <c r="X469" s="16"/>
      <c r="Y469" s="16"/>
      <c r="Z469" s="16"/>
      <c r="AA469" s="16"/>
    </row>
    <row r="470" spans="1:27" s="15" customFormat="1" ht="21" customHeight="1">
      <c r="A470" s="501" t="s">
        <v>1066</v>
      </c>
      <c r="B470" s="502" t="s">
        <v>150</v>
      </c>
      <c r="C470" s="507" t="s">
        <v>195</v>
      </c>
      <c r="D470" s="502" t="s">
        <v>709</v>
      </c>
      <c r="E470" s="502" t="s">
        <v>710</v>
      </c>
      <c r="F470" s="502">
        <v>27</v>
      </c>
      <c r="G470" s="504">
        <v>0.3</v>
      </c>
      <c r="H470" s="505" t="s">
        <v>342</v>
      </c>
      <c r="I470" s="502">
        <v>12</v>
      </c>
      <c r="J470" s="502">
        <v>150</v>
      </c>
      <c r="K470" s="502">
        <v>16</v>
      </c>
      <c r="L470" s="502">
        <v>0</v>
      </c>
      <c r="M470" s="507">
        <v>3</v>
      </c>
      <c r="N470" s="507" t="s">
        <v>708</v>
      </c>
      <c r="O470" s="16"/>
      <c r="P470" s="16"/>
      <c r="Q470" s="16"/>
      <c r="R470" s="16"/>
      <c r="S470" s="16"/>
      <c r="T470" s="16"/>
      <c r="U470" s="16"/>
      <c r="V470" s="16"/>
      <c r="W470" s="16"/>
      <c r="X470" s="16"/>
      <c r="Y470" s="16"/>
      <c r="Z470" s="16"/>
      <c r="AA470" s="16"/>
    </row>
    <row r="471" spans="1:27" s="15" customFormat="1" ht="21" customHeight="1">
      <c r="A471" s="506" t="s">
        <v>959</v>
      </c>
      <c r="B471" s="6"/>
      <c r="C471" s="8" t="s">
        <v>247</v>
      </c>
      <c r="D471" s="6"/>
      <c r="E471" s="6"/>
      <c r="F471" s="6">
        <v>27</v>
      </c>
      <c r="G471" s="7">
        <v>0.3</v>
      </c>
      <c r="I471" s="6"/>
      <c r="J471" s="6">
        <v>100</v>
      </c>
      <c r="K471" s="6"/>
      <c r="L471" s="6"/>
      <c r="M471" s="499"/>
      <c r="N471" s="499"/>
      <c r="O471" s="16"/>
      <c r="P471" s="16"/>
      <c r="Q471" s="16"/>
      <c r="R471" s="16"/>
      <c r="S471" s="16"/>
      <c r="T471" s="16"/>
      <c r="U471" s="16"/>
      <c r="V471" s="16"/>
      <c r="W471" s="16"/>
      <c r="X471" s="16"/>
      <c r="Y471" s="16"/>
      <c r="Z471" s="16"/>
      <c r="AA471" s="16"/>
    </row>
    <row r="472" spans="1:27" s="15" customFormat="1" ht="21" customHeight="1">
      <c r="A472" s="506" t="s">
        <v>960</v>
      </c>
      <c r="B472" s="6"/>
      <c r="C472" s="8" t="s">
        <v>246</v>
      </c>
      <c r="D472" s="6"/>
      <c r="E472" s="6"/>
      <c r="F472" s="6">
        <v>0</v>
      </c>
      <c r="G472" s="7">
        <v>0</v>
      </c>
      <c r="I472" s="6"/>
      <c r="J472" s="6">
        <v>50</v>
      </c>
      <c r="K472" s="6"/>
      <c r="L472" s="6"/>
      <c r="M472" s="499"/>
      <c r="N472" s="499"/>
      <c r="O472" s="16"/>
      <c r="P472" s="16"/>
      <c r="Q472" s="16"/>
      <c r="R472" s="16"/>
      <c r="S472" s="16"/>
      <c r="T472" s="16"/>
      <c r="U472" s="16"/>
      <c r="V472" s="16"/>
      <c r="W472" s="16"/>
      <c r="X472" s="16"/>
      <c r="Y472" s="16"/>
      <c r="Z472" s="16"/>
      <c r="AA472" s="16"/>
    </row>
    <row r="473" spans="1:27" s="15" customFormat="1" ht="21" customHeight="1">
      <c r="A473" s="20"/>
      <c r="B473" s="6"/>
      <c r="C473" s="8"/>
      <c r="D473" s="6"/>
      <c r="E473" s="6"/>
      <c r="F473" s="6"/>
      <c r="G473" s="7"/>
      <c r="I473" s="6"/>
      <c r="J473" s="6"/>
      <c r="K473" s="6"/>
      <c r="L473" s="6"/>
      <c r="M473" s="499"/>
      <c r="N473" s="499"/>
      <c r="O473" s="16"/>
      <c r="P473" s="16"/>
      <c r="Q473" s="16"/>
      <c r="R473" s="16"/>
      <c r="S473" s="16"/>
      <c r="T473" s="16"/>
      <c r="U473" s="16"/>
      <c r="V473" s="16"/>
      <c r="W473" s="16"/>
      <c r="X473" s="16"/>
      <c r="Y473" s="16"/>
      <c r="Z473" s="16"/>
      <c r="AA473" s="16"/>
    </row>
    <row r="474" spans="1:27" s="15" customFormat="1" ht="21" customHeight="1">
      <c r="A474" s="501" t="s">
        <v>1067</v>
      </c>
      <c r="B474" s="502" t="s">
        <v>150</v>
      </c>
      <c r="C474" s="507" t="s">
        <v>195</v>
      </c>
      <c r="D474" s="502" t="s">
        <v>709</v>
      </c>
      <c r="E474" s="502" t="s">
        <v>710</v>
      </c>
      <c r="F474" s="502">
        <v>23</v>
      </c>
      <c r="G474" s="504">
        <v>0.33</v>
      </c>
      <c r="H474" s="505" t="s">
        <v>342</v>
      </c>
      <c r="I474" s="502">
        <v>12</v>
      </c>
      <c r="J474" s="502">
        <v>150</v>
      </c>
      <c r="K474" s="502">
        <v>16</v>
      </c>
      <c r="L474" s="502">
        <v>0</v>
      </c>
      <c r="M474" s="507">
        <v>4</v>
      </c>
      <c r="N474" s="507" t="s">
        <v>708</v>
      </c>
      <c r="O474" s="16"/>
      <c r="P474" s="16"/>
      <c r="Q474" s="16"/>
      <c r="R474" s="16"/>
      <c r="S474" s="16"/>
      <c r="T474" s="16"/>
      <c r="U474" s="16"/>
      <c r="V474" s="16"/>
      <c r="W474" s="16"/>
      <c r="X474" s="16"/>
      <c r="Y474" s="16"/>
      <c r="Z474" s="16"/>
      <c r="AA474" s="16"/>
    </row>
    <row r="475" spans="1:27" s="15" customFormat="1" ht="21" customHeight="1">
      <c r="A475" s="506" t="s">
        <v>961</v>
      </c>
      <c r="B475" s="6"/>
      <c r="C475" s="8" t="s">
        <v>247</v>
      </c>
      <c r="D475" s="6"/>
      <c r="E475" s="6"/>
      <c r="F475" s="6">
        <v>23</v>
      </c>
      <c r="G475" s="7">
        <v>0.33</v>
      </c>
      <c r="I475" s="6"/>
      <c r="J475" s="6">
        <v>100</v>
      </c>
      <c r="K475" s="6"/>
      <c r="L475" s="6"/>
      <c r="M475" s="499"/>
      <c r="N475" s="499"/>
      <c r="O475" s="16"/>
      <c r="P475" s="16"/>
      <c r="Q475" s="16"/>
      <c r="R475" s="16"/>
      <c r="S475" s="16"/>
      <c r="T475" s="16"/>
      <c r="U475" s="16"/>
      <c r="V475" s="16"/>
      <c r="W475" s="16"/>
      <c r="X475" s="16"/>
      <c r="Y475" s="16"/>
      <c r="Z475" s="16"/>
      <c r="AA475" s="16"/>
    </row>
    <row r="476" spans="1:27" s="15" customFormat="1" ht="21" customHeight="1">
      <c r="A476" s="506" t="s">
        <v>962</v>
      </c>
      <c r="B476" s="6"/>
      <c r="C476" s="8" t="s">
        <v>246</v>
      </c>
      <c r="D476" s="6"/>
      <c r="E476" s="6"/>
      <c r="F476" s="6">
        <v>0</v>
      </c>
      <c r="G476" s="7">
        <v>0</v>
      </c>
      <c r="I476" s="6"/>
      <c r="J476" s="6">
        <v>50</v>
      </c>
      <c r="K476" s="6"/>
      <c r="L476" s="6"/>
      <c r="M476" s="499"/>
      <c r="N476" s="499"/>
      <c r="O476" s="16"/>
      <c r="P476" s="16"/>
      <c r="Q476" s="16"/>
      <c r="R476" s="16"/>
      <c r="S476" s="16"/>
      <c r="T476" s="16"/>
      <c r="U476" s="16"/>
      <c r="V476" s="16"/>
      <c r="W476" s="16"/>
      <c r="X476" s="16"/>
      <c r="Y476" s="16"/>
      <c r="Z476" s="16"/>
      <c r="AA476" s="16"/>
    </row>
    <row r="477" spans="1:27" s="15" customFormat="1" ht="21" customHeight="1">
      <c r="A477" s="20"/>
      <c r="B477" s="6"/>
      <c r="C477" s="8"/>
      <c r="D477" s="6"/>
      <c r="E477" s="6"/>
      <c r="F477" s="6"/>
      <c r="G477" s="7"/>
      <c r="I477" s="6"/>
      <c r="J477" s="6"/>
      <c r="K477" s="6"/>
      <c r="L477" s="6"/>
      <c r="M477" s="499"/>
      <c r="N477" s="499"/>
      <c r="O477" s="16"/>
      <c r="P477" s="16"/>
      <c r="Q477" s="16"/>
      <c r="R477" s="16"/>
      <c r="S477" s="16"/>
      <c r="T477" s="16"/>
      <c r="U477" s="16"/>
      <c r="V477" s="16"/>
      <c r="W477" s="16"/>
      <c r="X477" s="16"/>
      <c r="Y477" s="16"/>
      <c r="Z477" s="16"/>
      <c r="AA477" s="16"/>
    </row>
    <row r="478" spans="1:27" s="15" customFormat="1" ht="21" customHeight="1">
      <c r="A478" s="501" t="s">
        <v>1068</v>
      </c>
      <c r="B478" s="502" t="s">
        <v>150</v>
      </c>
      <c r="C478" s="507" t="s">
        <v>195</v>
      </c>
      <c r="D478" s="502" t="s">
        <v>709</v>
      </c>
      <c r="E478" s="502" t="s">
        <v>710</v>
      </c>
      <c r="F478" s="502">
        <v>20</v>
      </c>
      <c r="G478" s="504">
        <v>0.31</v>
      </c>
      <c r="H478" s="505" t="s">
        <v>342</v>
      </c>
      <c r="I478" s="502">
        <v>12</v>
      </c>
      <c r="J478" s="502">
        <v>150</v>
      </c>
      <c r="K478" s="502">
        <v>16</v>
      </c>
      <c r="L478" s="502">
        <v>0</v>
      </c>
      <c r="M478" s="507">
        <v>3</v>
      </c>
      <c r="N478" s="507" t="s">
        <v>708</v>
      </c>
      <c r="O478" s="16"/>
      <c r="P478" s="16"/>
      <c r="Q478" s="16"/>
      <c r="R478" s="16"/>
      <c r="S478" s="16"/>
      <c r="T478" s="16"/>
      <c r="U478" s="16"/>
      <c r="V478" s="16"/>
      <c r="W478" s="16"/>
      <c r="X478" s="16"/>
      <c r="Y478" s="16"/>
      <c r="Z478" s="16"/>
      <c r="AA478" s="16"/>
    </row>
    <row r="479" spans="1:27" s="15" customFormat="1" ht="21" customHeight="1">
      <c r="A479" s="506" t="s">
        <v>963</v>
      </c>
      <c r="B479" s="6"/>
      <c r="C479" s="8" t="s">
        <v>247</v>
      </c>
      <c r="D479" s="6"/>
      <c r="E479" s="6"/>
      <c r="F479" s="6">
        <v>20</v>
      </c>
      <c r="G479" s="7">
        <v>0.31</v>
      </c>
      <c r="I479" s="6"/>
      <c r="J479" s="6">
        <v>100</v>
      </c>
      <c r="K479" s="6"/>
      <c r="L479" s="6"/>
      <c r="M479" s="499"/>
      <c r="N479" s="499"/>
      <c r="O479" s="16"/>
      <c r="P479" s="16"/>
      <c r="Q479" s="16"/>
      <c r="R479" s="16"/>
      <c r="S479" s="16"/>
      <c r="T479" s="16"/>
      <c r="U479" s="16"/>
      <c r="V479" s="16"/>
      <c r="W479" s="16"/>
      <c r="X479" s="16"/>
      <c r="Y479" s="16"/>
      <c r="Z479" s="16"/>
      <c r="AA479" s="16"/>
    </row>
    <row r="480" spans="1:27" s="15" customFormat="1" ht="21" customHeight="1">
      <c r="A480" s="506" t="s">
        <v>964</v>
      </c>
      <c r="B480" s="6"/>
      <c r="C480" s="8" t="s">
        <v>246</v>
      </c>
      <c r="D480" s="6"/>
      <c r="E480" s="6"/>
      <c r="F480" s="6">
        <v>0</v>
      </c>
      <c r="G480" s="7">
        <v>0</v>
      </c>
      <c r="I480" s="6"/>
      <c r="J480" s="6">
        <v>50</v>
      </c>
      <c r="K480" s="6"/>
      <c r="L480" s="6"/>
      <c r="M480" s="499"/>
      <c r="N480" s="499"/>
      <c r="O480" s="16"/>
      <c r="P480" s="16"/>
      <c r="Q480" s="16"/>
      <c r="R480" s="16"/>
      <c r="S480" s="16"/>
      <c r="T480" s="16"/>
      <c r="U480" s="16"/>
      <c r="V480" s="16"/>
      <c r="W480" s="16"/>
      <c r="X480" s="16"/>
      <c r="Y480" s="16"/>
      <c r="Z480" s="16"/>
      <c r="AA480" s="16"/>
    </row>
    <row r="481" spans="1:27" s="15" customFormat="1" ht="21" customHeight="1">
      <c r="A481" s="20"/>
      <c r="B481" s="6"/>
      <c r="C481" s="8"/>
      <c r="D481" s="6"/>
      <c r="E481" s="6"/>
      <c r="F481" s="6"/>
      <c r="G481" s="7"/>
      <c r="I481" s="6"/>
      <c r="J481" s="6"/>
      <c r="K481" s="6"/>
      <c r="L481" s="6"/>
      <c r="M481" s="499"/>
      <c r="N481" s="499"/>
      <c r="O481" s="16"/>
      <c r="P481" s="16"/>
      <c r="Q481" s="16"/>
      <c r="R481" s="16"/>
      <c r="S481" s="16"/>
      <c r="T481" s="16"/>
      <c r="U481" s="16"/>
      <c r="V481" s="16"/>
      <c r="W481" s="16"/>
      <c r="X481" s="16"/>
      <c r="Y481" s="16"/>
      <c r="Z481" s="16"/>
      <c r="AA481" s="16"/>
    </row>
    <row r="482" spans="1:27" s="15" customFormat="1" ht="21" customHeight="1">
      <c r="A482" s="501" t="s">
        <v>1069</v>
      </c>
      <c r="B482" s="502" t="s">
        <v>150</v>
      </c>
      <c r="C482" s="507" t="s">
        <v>195</v>
      </c>
      <c r="D482" s="502" t="s">
        <v>709</v>
      </c>
      <c r="E482" s="502" t="s">
        <v>710</v>
      </c>
      <c r="F482" s="502">
        <v>186</v>
      </c>
      <c r="G482" s="504">
        <v>2.2999999999999998</v>
      </c>
      <c r="H482" s="505" t="s">
        <v>342</v>
      </c>
      <c r="I482" s="502">
        <v>31</v>
      </c>
      <c r="J482" s="502">
        <v>200</v>
      </c>
      <c r="K482" s="502">
        <v>16</v>
      </c>
      <c r="L482" s="502">
        <v>0</v>
      </c>
      <c r="M482" s="507">
        <v>4</v>
      </c>
      <c r="N482" s="507" t="s">
        <v>708</v>
      </c>
      <c r="O482" s="16"/>
      <c r="P482" s="16"/>
      <c r="Q482" s="16"/>
      <c r="R482" s="16"/>
      <c r="S482" s="16"/>
      <c r="T482" s="16"/>
      <c r="U482" s="16"/>
      <c r="V482" s="16"/>
      <c r="W482" s="16"/>
      <c r="X482" s="16"/>
      <c r="Y482" s="16"/>
      <c r="Z482" s="16"/>
      <c r="AA482" s="16"/>
    </row>
    <row r="483" spans="1:27" s="15" customFormat="1" ht="21" customHeight="1">
      <c r="A483" s="506" t="s">
        <v>965</v>
      </c>
      <c r="B483" s="6"/>
      <c r="C483" s="8" t="s">
        <v>247</v>
      </c>
      <c r="D483" s="6"/>
      <c r="E483" s="6"/>
      <c r="F483" s="6">
        <v>186</v>
      </c>
      <c r="G483" s="7">
        <v>2.2999999999999998</v>
      </c>
      <c r="I483" s="6"/>
      <c r="J483" s="6">
        <v>100</v>
      </c>
      <c r="K483" s="6"/>
      <c r="L483" s="6"/>
      <c r="M483" s="499"/>
      <c r="N483" s="499"/>
      <c r="O483" s="16"/>
      <c r="P483" s="16"/>
      <c r="Q483" s="16"/>
      <c r="R483" s="16"/>
      <c r="S483" s="16"/>
      <c r="T483" s="16"/>
      <c r="U483" s="16"/>
      <c r="V483" s="16"/>
      <c r="W483" s="16"/>
      <c r="X483" s="16"/>
      <c r="Y483" s="16"/>
      <c r="Z483" s="16"/>
      <c r="AA483" s="16"/>
    </row>
    <row r="484" spans="1:27" s="15" customFormat="1" ht="21" customHeight="1">
      <c r="A484" s="506" t="s">
        <v>966</v>
      </c>
      <c r="B484" s="6"/>
      <c r="C484" s="8" t="s">
        <v>246</v>
      </c>
      <c r="D484" s="6"/>
      <c r="E484" s="6"/>
      <c r="F484" s="6">
        <v>0</v>
      </c>
      <c r="G484" s="7">
        <v>0</v>
      </c>
      <c r="I484" s="6"/>
      <c r="J484" s="6">
        <v>50</v>
      </c>
      <c r="K484" s="6"/>
      <c r="L484" s="6"/>
      <c r="M484" s="499"/>
      <c r="N484" s="499"/>
      <c r="O484" s="16"/>
      <c r="P484" s="16"/>
      <c r="Q484" s="16"/>
      <c r="R484" s="16"/>
      <c r="S484" s="16"/>
      <c r="T484" s="16"/>
      <c r="U484" s="16"/>
      <c r="V484" s="16"/>
      <c r="W484" s="16"/>
      <c r="X484" s="16"/>
      <c r="Y484" s="16"/>
      <c r="Z484" s="16"/>
      <c r="AA484" s="16"/>
    </row>
    <row r="485" spans="1:27" s="15" customFormat="1" ht="21" customHeight="1">
      <c r="A485" s="506" t="s">
        <v>967</v>
      </c>
      <c r="B485" s="6"/>
      <c r="C485" s="8" t="s">
        <v>246</v>
      </c>
      <c r="D485" s="6"/>
      <c r="E485" s="6"/>
      <c r="F485" s="6">
        <v>0</v>
      </c>
      <c r="G485" s="7">
        <v>0</v>
      </c>
      <c r="I485" s="6"/>
      <c r="J485" s="6">
        <v>50</v>
      </c>
      <c r="K485" s="6"/>
      <c r="L485" s="6"/>
      <c r="M485" s="499"/>
      <c r="N485" s="499"/>
      <c r="O485" s="16"/>
      <c r="P485" s="16"/>
      <c r="Q485" s="16"/>
      <c r="R485" s="16"/>
      <c r="S485" s="16"/>
      <c r="T485" s="16"/>
      <c r="U485" s="16"/>
      <c r="V485" s="16"/>
      <c r="W485" s="16"/>
      <c r="X485" s="16"/>
      <c r="Y485" s="16"/>
      <c r="Z485" s="16"/>
      <c r="AA485" s="16"/>
    </row>
    <row r="486" spans="1:27" s="15" customFormat="1" ht="21" customHeight="1">
      <c r="A486" s="20"/>
      <c r="B486" s="6"/>
      <c r="C486" s="8"/>
      <c r="D486" s="6"/>
      <c r="E486" s="6"/>
      <c r="F486" s="6"/>
      <c r="G486" s="7"/>
      <c r="I486" s="6"/>
      <c r="J486" s="6"/>
      <c r="K486" s="6"/>
      <c r="L486" s="6"/>
      <c r="M486" s="499"/>
      <c r="N486" s="499"/>
      <c r="O486" s="16"/>
      <c r="P486" s="16"/>
      <c r="Q486" s="16"/>
      <c r="R486" s="16"/>
      <c r="S486" s="16"/>
      <c r="T486" s="16"/>
      <c r="U486" s="16"/>
      <c r="V486" s="16"/>
      <c r="W486" s="16"/>
      <c r="X486" s="16"/>
      <c r="Y486" s="16"/>
      <c r="Z486" s="16"/>
      <c r="AA486" s="16"/>
    </row>
    <row r="487" spans="1:27" s="15" customFormat="1" ht="21" customHeight="1">
      <c r="A487" s="501" t="s">
        <v>1070</v>
      </c>
      <c r="B487" s="502" t="s">
        <v>150</v>
      </c>
      <c r="C487" s="507" t="s">
        <v>195</v>
      </c>
      <c r="D487" s="502" t="s">
        <v>709</v>
      </c>
      <c r="E487" s="502" t="s">
        <v>710</v>
      </c>
      <c r="F487" s="502">
        <v>33</v>
      </c>
      <c r="G487" s="504">
        <v>0.38</v>
      </c>
      <c r="H487" s="505" t="s">
        <v>342</v>
      </c>
      <c r="I487" s="502">
        <v>9</v>
      </c>
      <c r="J487" s="502">
        <v>201</v>
      </c>
      <c r="K487" s="502">
        <v>16</v>
      </c>
      <c r="L487" s="502">
        <v>0</v>
      </c>
      <c r="M487" s="507">
        <v>3</v>
      </c>
      <c r="N487" s="507" t="s">
        <v>708</v>
      </c>
      <c r="O487" s="16"/>
      <c r="P487" s="16"/>
      <c r="Q487" s="16"/>
      <c r="R487" s="16"/>
      <c r="S487" s="16"/>
      <c r="T487" s="16"/>
      <c r="U487" s="16"/>
      <c r="V487" s="16"/>
      <c r="W487" s="16"/>
      <c r="X487" s="16"/>
      <c r="Y487" s="16"/>
      <c r="Z487" s="16"/>
      <c r="AA487" s="16"/>
    </row>
    <row r="488" spans="1:27" s="15" customFormat="1" ht="21" customHeight="1">
      <c r="A488" s="506" t="s">
        <v>1158</v>
      </c>
      <c r="B488" s="6"/>
      <c r="C488" s="8" t="s">
        <v>247</v>
      </c>
      <c r="D488" s="6"/>
      <c r="E488" s="6"/>
      <c r="F488" s="6">
        <v>0</v>
      </c>
      <c r="G488" s="7">
        <v>0</v>
      </c>
      <c r="I488" s="6"/>
      <c r="J488" s="6">
        <v>101</v>
      </c>
      <c r="K488" s="6"/>
      <c r="L488" s="6"/>
      <c r="M488" s="499"/>
      <c r="N488" s="499"/>
      <c r="O488" s="16"/>
      <c r="P488" s="16"/>
      <c r="Q488" s="16"/>
      <c r="R488" s="16"/>
      <c r="S488" s="16"/>
      <c r="T488" s="16"/>
      <c r="U488" s="16"/>
      <c r="V488" s="16"/>
      <c r="W488" s="16"/>
      <c r="X488" s="16"/>
      <c r="Y488" s="16"/>
      <c r="Z488" s="16"/>
      <c r="AA488" s="16"/>
    </row>
    <row r="489" spans="1:27" s="15" customFormat="1" ht="21" customHeight="1">
      <c r="A489" s="506" t="s">
        <v>1159</v>
      </c>
      <c r="B489" s="6"/>
      <c r="C489" s="8" t="s">
        <v>247</v>
      </c>
      <c r="D489" s="6"/>
      <c r="E489" s="6"/>
      <c r="F489" s="6">
        <v>33</v>
      </c>
      <c r="G489" s="7">
        <v>0.38</v>
      </c>
      <c r="I489" s="6"/>
      <c r="J489" s="6">
        <v>100</v>
      </c>
      <c r="K489" s="6"/>
      <c r="L489" s="6"/>
      <c r="M489" s="499"/>
      <c r="N489" s="499"/>
      <c r="O489" s="16"/>
      <c r="P489" s="16"/>
      <c r="Q489" s="16"/>
      <c r="R489" s="16"/>
      <c r="S489" s="16"/>
      <c r="T489" s="16"/>
      <c r="U489" s="16"/>
      <c r="V489" s="16"/>
      <c r="W489" s="16"/>
      <c r="X489" s="16"/>
      <c r="Y489" s="16"/>
      <c r="Z489" s="16"/>
      <c r="AA489" s="16"/>
    </row>
    <row r="490" spans="1:27" s="15" customFormat="1" ht="21" customHeight="1">
      <c r="A490" s="20"/>
      <c r="B490" s="6"/>
      <c r="C490" s="8"/>
      <c r="D490" s="6"/>
      <c r="E490" s="6"/>
      <c r="F490" s="6"/>
      <c r="G490" s="7"/>
      <c r="I490" s="6"/>
      <c r="J490" s="6"/>
      <c r="K490" s="6"/>
      <c r="L490" s="6"/>
      <c r="M490" s="499"/>
      <c r="N490" s="499"/>
      <c r="O490" s="16"/>
      <c r="P490" s="16"/>
      <c r="Q490" s="16"/>
      <c r="R490" s="16"/>
      <c r="S490" s="16"/>
      <c r="T490" s="16"/>
      <c r="U490" s="16"/>
      <c r="V490" s="16"/>
      <c r="W490" s="16"/>
      <c r="X490" s="16"/>
      <c r="Y490" s="16"/>
      <c r="Z490" s="16"/>
      <c r="AA490" s="16"/>
    </row>
    <row r="491" spans="1:27" s="15" customFormat="1" ht="21" customHeight="1">
      <c r="A491" s="501" t="s">
        <v>1071</v>
      </c>
      <c r="B491" s="502" t="s">
        <v>150</v>
      </c>
      <c r="C491" s="507" t="s">
        <v>195</v>
      </c>
      <c r="D491" s="502" t="s">
        <v>709</v>
      </c>
      <c r="E491" s="502" t="s">
        <v>710</v>
      </c>
      <c r="F491" s="502">
        <v>21</v>
      </c>
      <c r="G491" s="504">
        <v>0.34</v>
      </c>
      <c r="H491" s="505" t="s">
        <v>342</v>
      </c>
      <c r="I491" s="502">
        <v>12</v>
      </c>
      <c r="J491" s="502">
        <v>150</v>
      </c>
      <c r="K491" s="502">
        <v>16</v>
      </c>
      <c r="L491" s="502">
        <v>0</v>
      </c>
      <c r="M491" s="507">
        <v>3</v>
      </c>
      <c r="N491" s="507" t="s">
        <v>708</v>
      </c>
      <c r="O491" s="16"/>
      <c r="P491" s="16"/>
      <c r="Q491" s="16"/>
      <c r="R491" s="16"/>
      <c r="S491" s="16"/>
      <c r="T491" s="16"/>
      <c r="U491" s="16"/>
      <c r="V491" s="16"/>
      <c r="W491" s="16"/>
      <c r="X491" s="16"/>
      <c r="Y491" s="16"/>
      <c r="Z491" s="16"/>
      <c r="AA491" s="16"/>
    </row>
    <row r="492" spans="1:27" s="15" customFormat="1" ht="21" customHeight="1">
      <c r="A492" s="506" t="s">
        <v>968</v>
      </c>
      <c r="B492" s="6"/>
      <c r="C492" s="8" t="s">
        <v>247</v>
      </c>
      <c r="D492" s="6"/>
      <c r="E492" s="6"/>
      <c r="F492" s="6">
        <v>21</v>
      </c>
      <c r="G492" s="7">
        <v>0.34</v>
      </c>
      <c r="I492" s="6"/>
      <c r="J492" s="6">
        <v>100</v>
      </c>
      <c r="K492" s="6"/>
      <c r="L492" s="6"/>
      <c r="M492" s="499"/>
      <c r="N492" s="499"/>
      <c r="O492" s="16"/>
      <c r="P492" s="16"/>
      <c r="Q492" s="16"/>
      <c r="R492" s="16"/>
      <c r="S492" s="16"/>
      <c r="T492" s="16"/>
      <c r="U492" s="16"/>
      <c r="V492" s="16"/>
      <c r="W492" s="16"/>
      <c r="X492" s="16"/>
      <c r="Y492" s="16"/>
      <c r="Z492" s="16"/>
      <c r="AA492" s="16"/>
    </row>
    <row r="493" spans="1:27" s="15" customFormat="1" ht="21" customHeight="1">
      <c r="A493" s="506" t="s">
        <v>969</v>
      </c>
      <c r="B493" s="6"/>
      <c r="C493" s="8" t="s">
        <v>246</v>
      </c>
      <c r="D493" s="6"/>
      <c r="E493" s="6"/>
      <c r="F493" s="6">
        <v>0</v>
      </c>
      <c r="G493" s="7">
        <v>0</v>
      </c>
      <c r="I493" s="6"/>
      <c r="J493" s="6">
        <v>50</v>
      </c>
      <c r="K493" s="6"/>
      <c r="L493" s="6"/>
      <c r="M493" s="499"/>
      <c r="N493" s="499"/>
      <c r="O493" s="16"/>
      <c r="P493" s="16"/>
      <c r="Q493" s="16"/>
      <c r="R493" s="16"/>
      <c r="S493" s="16"/>
      <c r="T493" s="16"/>
      <c r="U493" s="16"/>
      <c r="V493" s="16"/>
      <c r="W493" s="16"/>
      <c r="X493" s="16"/>
      <c r="Y493" s="16"/>
      <c r="Z493" s="16"/>
      <c r="AA493" s="16"/>
    </row>
    <row r="494" spans="1:27" s="15" customFormat="1" ht="21" customHeight="1">
      <c r="A494" s="20"/>
      <c r="B494" s="6"/>
      <c r="C494" s="8"/>
      <c r="D494" s="6"/>
      <c r="E494" s="6"/>
      <c r="F494" s="6"/>
      <c r="G494" s="7"/>
      <c r="I494" s="6"/>
      <c r="J494" s="6"/>
      <c r="K494" s="6"/>
      <c r="L494" s="6"/>
      <c r="M494" s="499"/>
      <c r="N494" s="499"/>
      <c r="O494" s="16"/>
      <c r="P494" s="16"/>
      <c r="Q494" s="16"/>
      <c r="R494" s="16"/>
      <c r="S494" s="16"/>
      <c r="T494" s="16"/>
      <c r="U494" s="16"/>
      <c r="V494" s="16"/>
      <c r="W494" s="16"/>
      <c r="X494" s="16"/>
      <c r="Y494" s="16"/>
      <c r="Z494" s="16"/>
      <c r="AA494" s="16"/>
    </row>
    <row r="495" spans="1:27" s="15" customFormat="1" ht="21" customHeight="1">
      <c r="A495" s="501" t="s">
        <v>1072</v>
      </c>
      <c r="B495" s="502" t="s">
        <v>150</v>
      </c>
      <c r="C495" s="507" t="s">
        <v>195</v>
      </c>
      <c r="D495" s="502" t="s">
        <v>709</v>
      </c>
      <c r="E495" s="502" t="s">
        <v>710</v>
      </c>
      <c r="F495" s="502">
        <v>50</v>
      </c>
      <c r="G495" s="504">
        <v>0.47</v>
      </c>
      <c r="H495" s="505" t="s">
        <v>280</v>
      </c>
      <c r="I495" s="502">
        <v>9</v>
      </c>
      <c r="J495" s="502">
        <v>201</v>
      </c>
      <c r="K495" s="502">
        <v>8</v>
      </c>
      <c r="L495" s="502">
        <v>0</v>
      </c>
      <c r="M495" s="507">
        <v>3</v>
      </c>
      <c r="N495" s="507" t="s">
        <v>708</v>
      </c>
      <c r="O495" s="16"/>
      <c r="P495" s="16"/>
      <c r="Q495" s="16"/>
      <c r="R495" s="16"/>
      <c r="S495" s="16"/>
      <c r="T495" s="16"/>
      <c r="U495" s="16"/>
      <c r="V495" s="16"/>
      <c r="W495" s="16"/>
      <c r="X495" s="16"/>
      <c r="Y495" s="16"/>
      <c r="Z495" s="16"/>
      <c r="AA495" s="16"/>
    </row>
    <row r="496" spans="1:27" s="15" customFormat="1" ht="21" customHeight="1">
      <c r="A496" s="506" t="s">
        <v>970</v>
      </c>
      <c r="B496" s="6"/>
      <c r="C496" s="8" t="s">
        <v>247</v>
      </c>
      <c r="D496" s="6"/>
      <c r="E496" s="6"/>
      <c r="F496" s="6">
        <v>50</v>
      </c>
      <c r="G496" s="7">
        <v>0.47</v>
      </c>
      <c r="I496" s="6"/>
      <c r="J496" s="6">
        <v>100</v>
      </c>
      <c r="K496" s="6"/>
      <c r="L496" s="6"/>
      <c r="M496" s="499"/>
      <c r="N496" s="499"/>
      <c r="O496" s="16"/>
      <c r="P496" s="16"/>
      <c r="Q496" s="16"/>
      <c r="R496" s="16"/>
      <c r="S496" s="16"/>
      <c r="T496" s="16"/>
      <c r="U496" s="16"/>
      <c r="V496" s="16"/>
      <c r="W496" s="16"/>
      <c r="X496" s="16"/>
      <c r="Y496" s="16"/>
      <c r="Z496" s="16"/>
      <c r="AA496" s="16"/>
    </row>
    <row r="497" spans="1:27" s="15" customFormat="1" ht="21" customHeight="1">
      <c r="A497" s="506" t="s">
        <v>971</v>
      </c>
      <c r="B497" s="6"/>
      <c r="C497" s="8" t="s">
        <v>247</v>
      </c>
      <c r="D497" s="6"/>
      <c r="E497" s="6"/>
      <c r="F497" s="6">
        <v>0</v>
      </c>
      <c r="G497" s="7">
        <v>0</v>
      </c>
      <c r="I497" s="6"/>
      <c r="J497" s="6">
        <v>101</v>
      </c>
      <c r="K497" s="6"/>
      <c r="L497" s="6"/>
      <c r="M497" s="499"/>
      <c r="N497" s="499"/>
      <c r="O497" s="16"/>
      <c r="P497" s="16"/>
      <c r="Q497" s="16"/>
      <c r="R497" s="16"/>
      <c r="S497" s="16"/>
      <c r="T497" s="16"/>
      <c r="U497" s="16"/>
      <c r="V497" s="16"/>
      <c r="W497" s="16"/>
      <c r="X497" s="16"/>
      <c r="Y497" s="16"/>
      <c r="Z497" s="16"/>
      <c r="AA497" s="16"/>
    </row>
    <row r="498" spans="1:27" s="15" customFormat="1" ht="21" customHeight="1">
      <c r="A498" s="20"/>
      <c r="B498" s="6"/>
      <c r="C498" s="8"/>
      <c r="D498" s="6"/>
      <c r="E498" s="6"/>
      <c r="F498" s="6"/>
      <c r="G498" s="7"/>
      <c r="I498" s="6"/>
      <c r="J498" s="6"/>
      <c r="K498" s="6"/>
      <c r="L498" s="6"/>
      <c r="M498" s="499"/>
      <c r="N498" s="499"/>
      <c r="O498" s="16"/>
      <c r="P498" s="16"/>
      <c r="Q498" s="16"/>
      <c r="R498" s="16"/>
      <c r="S498" s="16"/>
      <c r="T498" s="16"/>
      <c r="U498" s="16"/>
      <c r="V498" s="16"/>
      <c r="W498" s="16"/>
      <c r="X498" s="16"/>
      <c r="Y498" s="16"/>
      <c r="Z498" s="16"/>
      <c r="AA498" s="16"/>
    </row>
    <row r="499" spans="1:27" s="15" customFormat="1" ht="21" customHeight="1">
      <c r="A499" s="501" t="s">
        <v>1073</v>
      </c>
      <c r="B499" s="502" t="s">
        <v>150</v>
      </c>
      <c r="C499" s="507" t="s">
        <v>195</v>
      </c>
      <c r="D499" s="502" t="s">
        <v>709</v>
      </c>
      <c r="E499" s="502" t="s">
        <v>710</v>
      </c>
      <c r="F499" s="502">
        <v>24</v>
      </c>
      <c r="G499" s="504">
        <v>0.47</v>
      </c>
      <c r="H499" s="505" t="s">
        <v>342</v>
      </c>
      <c r="I499" s="502">
        <v>12</v>
      </c>
      <c r="J499" s="502">
        <v>150</v>
      </c>
      <c r="K499" s="502">
        <v>16</v>
      </c>
      <c r="L499" s="502">
        <v>0</v>
      </c>
      <c r="M499" s="507">
        <v>3</v>
      </c>
      <c r="N499" s="507" t="s">
        <v>708</v>
      </c>
      <c r="O499" s="16"/>
      <c r="P499" s="16"/>
      <c r="Q499" s="16"/>
      <c r="R499" s="16"/>
      <c r="S499" s="16"/>
      <c r="T499" s="16"/>
      <c r="U499" s="16"/>
      <c r="V499" s="16"/>
      <c r="W499" s="16"/>
      <c r="X499" s="16"/>
      <c r="Y499" s="16"/>
      <c r="Z499" s="16"/>
      <c r="AA499" s="16"/>
    </row>
    <row r="500" spans="1:27" s="15" customFormat="1" ht="21" customHeight="1">
      <c r="A500" s="506" t="s">
        <v>972</v>
      </c>
      <c r="B500" s="6"/>
      <c r="C500" s="8" t="s">
        <v>247</v>
      </c>
      <c r="D500" s="6"/>
      <c r="E500" s="6"/>
      <c r="F500" s="6">
        <v>24</v>
      </c>
      <c r="G500" s="7">
        <v>0.47</v>
      </c>
      <c r="I500" s="6"/>
      <c r="J500" s="6">
        <v>100</v>
      </c>
      <c r="K500" s="6"/>
      <c r="L500" s="6"/>
      <c r="M500" s="499"/>
      <c r="N500" s="499"/>
      <c r="O500" s="16"/>
      <c r="P500" s="16"/>
      <c r="Q500" s="16"/>
      <c r="R500" s="16"/>
      <c r="S500" s="16"/>
      <c r="T500" s="16"/>
      <c r="U500" s="16"/>
      <c r="V500" s="16"/>
      <c r="W500" s="16"/>
      <c r="X500" s="16"/>
      <c r="Y500" s="16"/>
      <c r="Z500" s="16"/>
      <c r="AA500" s="16"/>
    </row>
    <row r="501" spans="1:27" s="15" customFormat="1" ht="21" customHeight="1">
      <c r="A501" s="506" t="s">
        <v>973</v>
      </c>
      <c r="B501" s="6"/>
      <c r="C501" s="8" t="s">
        <v>246</v>
      </c>
      <c r="D501" s="6"/>
      <c r="E501" s="6"/>
      <c r="F501" s="6">
        <v>0</v>
      </c>
      <c r="G501" s="7">
        <v>0</v>
      </c>
      <c r="I501" s="6"/>
      <c r="J501" s="6">
        <v>50</v>
      </c>
      <c r="K501" s="6"/>
      <c r="L501" s="6"/>
      <c r="M501" s="499"/>
      <c r="N501" s="499"/>
      <c r="O501" s="16"/>
      <c r="P501" s="16"/>
      <c r="Q501" s="16"/>
      <c r="R501" s="16"/>
      <c r="S501" s="16"/>
      <c r="T501" s="16"/>
      <c r="U501" s="16"/>
      <c r="V501" s="16"/>
      <c r="W501" s="16"/>
      <c r="X501" s="16"/>
      <c r="Y501" s="16"/>
      <c r="Z501" s="16"/>
      <c r="AA501" s="16"/>
    </row>
    <row r="502" spans="1:27" s="15" customFormat="1" ht="21" customHeight="1">
      <c r="A502" s="20"/>
      <c r="B502" s="6"/>
      <c r="C502" s="8"/>
      <c r="D502" s="6"/>
      <c r="E502" s="6"/>
      <c r="F502" s="6"/>
      <c r="G502" s="7"/>
      <c r="I502" s="6"/>
      <c r="J502" s="6"/>
      <c r="K502" s="6"/>
      <c r="L502" s="6"/>
      <c r="M502" s="499"/>
      <c r="N502" s="499"/>
      <c r="O502" s="16"/>
      <c r="P502" s="16"/>
      <c r="Q502" s="16"/>
      <c r="R502" s="16"/>
      <c r="S502" s="16"/>
      <c r="T502" s="16"/>
      <c r="U502" s="16"/>
      <c r="V502" s="16"/>
      <c r="W502" s="16"/>
      <c r="X502" s="16"/>
      <c r="Y502" s="16"/>
      <c r="Z502" s="16"/>
      <c r="AA502" s="16"/>
    </row>
    <row r="503" spans="1:27" s="15" customFormat="1" ht="21" customHeight="1">
      <c r="A503" s="20"/>
      <c r="B503" s="6"/>
      <c r="C503" s="8"/>
      <c r="D503" s="6"/>
      <c r="E503" s="6"/>
      <c r="F503" s="6"/>
      <c r="G503" s="7"/>
      <c r="I503" s="6"/>
      <c r="J503" s="6"/>
      <c r="K503" s="6"/>
      <c r="L503" s="6"/>
      <c r="M503" s="499"/>
      <c r="N503" s="499"/>
      <c r="O503" s="16"/>
      <c r="P503" s="16"/>
      <c r="Q503" s="16"/>
      <c r="R503" s="16"/>
      <c r="S503" s="16"/>
      <c r="T503" s="16"/>
      <c r="U503" s="16"/>
      <c r="V503" s="16"/>
      <c r="W503" s="16"/>
      <c r="X503" s="16"/>
      <c r="Y503" s="16"/>
      <c r="Z503" s="16"/>
      <c r="AA503" s="16"/>
    </row>
    <row r="504" spans="1:27" s="15" customFormat="1" ht="21" customHeight="1">
      <c r="A504" s="20"/>
      <c r="B504" s="6"/>
      <c r="C504" s="6"/>
      <c r="D504" s="6"/>
      <c r="E504" s="6"/>
      <c r="F504" s="6"/>
      <c r="G504" s="7"/>
      <c r="I504" s="6"/>
      <c r="J504" s="6"/>
      <c r="K504" s="6"/>
      <c r="L504" s="6"/>
      <c r="M504" s="6"/>
      <c r="N504" s="6"/>
      <c r="O504" s="16"/>
      <c r="P504" s="16"/>
      <c r="Q504" s="16"/>
      <c r="R504" s="16"/>
      <c r="S504" s="16"/>
      <c r="T504" s="16"/>
      <c r="U504" s="16"/>
      <c r="V504" s="16"/>
      <c r="W504" s="16"/>
      <c r="X504" s="16"/>
      <c r="Y504" s="16"/>
      <c r="Z504" s="16"/>
      <c r="AA504" s="16"/>
    </row>
    <row r="505" spans="1:27">
      <c r="A505"/>
      <c r="B505"/>
      <c r="C505"/>
      <c r="D505"/>
      <c r="E505"/>
      <c r="F505"/>
      <c r="G505"/>
      <c r="H505"/>
      <c r="I505"/>
      <c r="J505"/>
      <c r="K505"/>
      <c r="L505"/>
      <c r="M505" s="4"/>
      <c r="N505" s="4"/>
      <c r="O505"/>
      <c r="P505"/>
      <c r="Q505"/>
      <c r="R505"/>
      <c r="S505"/>
      <c r="T505"/>
      <c r="U505"/>
      <c r="V505"/>
      <c r="W505"/>
      <c r="X505"/>
      <c r="Y505"/>
      <c r="Z505"/>
    </row>
    <row r="506" spans="1:27">
      <c r="A506" s="701" t="s">
        <v>104</v>
      </c>
      <c r="B506" s="701"/>
      <c r="C506" s="701"/>
      <c r="D506" s="701"/>
      <c r="E506" s="701"/>
      <c r="F506" s="701"/>
      <c r="G506" s="702"/>
      <c r="H506" s="383"/>
      <c r="I506" s="22"/>
      <c r="J506" s="22"/>
      <c r="K506" s="22"/>
      <c r="L506" s="22"/>
      <c r="M506" s="22"/>
      <c r="N506" s="22"/>
      <c r="O506"/>
      <c r="P506"/>
      <c r="Q506"/>
      <c r="R506"/>
      <c r="S506"/>
      <c r="T506"/>
      <c r="U506"/>
      <c r="V506"/>
      <c r="W506"/>
      <c r="X506"/>
      <c r="Y506"/>
      <c r="Z506"/>
    </row>
    <row r="507" spans="1:27">
      <c r="A507" s="703" t="str">
        <f>HYPERLINK(IF(Data!B5= 2, "https://aka.ms/asr-dp-h2a-compatible-vms","https://aka.ms/asr-dp-compatible-vms"), "Learn more about deployment planner and compatible VMs")</f>
        <v>Learn more about deployment planner and compatible VMs</v>
      </c>
      <c r="B507" s="703"/>
      <c r="C507" s="703"/>
      <c r="D507" s="402"/>
      <c r="E507" s="402"/>
      <c r="F507" s="402"/>
      <c r="G507" s="403"/>
      <c r="H507" s="401"/>
      <c r="I507" s="22"/>
      <c r="J507" s="22"/>
      <c r="K507" s="22"/>
      <c r="L507" s="22"/>
      <c r="M507" s="22"/>
      <c r="N507" s="22"/>
      <c r="O507"/>
      <c r="P507"/>
      <c r="Q507"/>
      <c r="R507"/>
      <c r="S507"/>
      <c r="T507"/>
      <c r="U507"/>
      <c r="V507"/>
      <c r="W507"/>
      <c r="X507"/>
      <c r="Y507"/>
      <c r="Z507"/>
    </row>
    <row r="508" spans="1:27">
      <c r="A508"/>
      <c r="B508"/>
      <c r="C508"/>
      <c r="D508"/>
      <c r="E508"/>
      <c r="F508"/>
      <c r="G508"/>
      <c r="H508"/>
      <c r="I508"/>
      <c r="J508"/>
      <c r="K508"/>
      <c r="L508"/>
      <c r="M508" s="4"/>
      <c r="N508" s="4"/>
      <c r="O508"/>
      <c r="P508"/>
      <c r="Q508"/>
      <c r="R508"/>
      <c r="S508"/>
      <c r="T508"/>
      <c r="U508"/>
      <c r="V508"/>
      <c r="W508"/>
      <c r="X508"/>
      <c r="Y508"/>
      <c r="Z508"/>
    </row>
    <row r="509" spans="1:27">
      <c r="A509"/>
      <c r="B509"/>
      <c r="C509"/>
      <c r="D509"/>
      <c r="E509"/>
      <c r="F509"/>
      <c r="G509"/>
      <c r="H509"/>
      <c r="I509"/>
      <c r="J509"/>
      <c r="K509"/>
      <c r="L509"/>
      <c r="M509" s="4"/>
      <c r="N509" s="4"/>
      <c r="O509"/>
      <c r="P509"/>
      <c r="Q509"/>
      <c r="R509"/>
      <c r="S509"/>
      <c r="T509"/>
      <c r="U509"/>
      <c r="V509"/>
      <c r="W509"/>
      <c r="X509"/>
      <c r="Y509"/>
      <c r="Z509"/>
    </row>
    <row r="510" spans="1:27">
      <c r="A510"/>
      <c r="B510"/>
      <c r="C510"/>
      <c r="D510"/>
      <c r="E510"/>
      <c r="F510"/>
      <c r="G510"/>
      <c r="H510"/>
      <c r="I510"/>
      <c r="J510"/>
      <c r="K510"/>
      <c r="L510"/>
      <c r="M510" s="4"/>
      <c r="N510" s="4"/>
      <c r="O510"/>
      <c r="P510"/>
      <c r="Q510"/>
      <c r="R510"/>
      <c r="S510"/>
      <c r="T510"/>
      <c r="U510"/>
      <c r="V510"/>
      <c r="W510"/>
      <c r="X510"/>
      <c r="Y510"/>
      <c r="Z510"/>
    </row>
    <row r="511" spans="1:27">
      <c r="A511"/>
      <c r="B511"/>
      <c r="C511"/>
      <c r="D511"/>
      <c r="E511"/>
      <c r="F511"/>
      <c r="G511"/>
      <c r="H511"/>
      <c r="I511"/>
      <c r="J511"/>
      <c r="K511"/>
      <c r="L511"/>
      <c r="M511" s="4"/>
      <c r="N511" s="4"/>
      <c r="O511"/>
      <c r="P511"/>
      <c r="Q511"/>
      <c r="R511"/>
      <c r="S511"/>
      <c r="T511"/>
      <c r="U511"/>
      <c r="V511"/>
      <c r="W511"/>
      <c r="X511"/>
      <c r="Y511"/>
      <c r="Z511"/>
    </row>
    <row r="512" spans="1:27">
      <c r="A512"/>
      <c r="B512"/>
      <c r="C512"/>
      <c r="D512"/>
      <c r="E512"/>
      <c r="F512"/>
      <c r="G512"/>
      <c r="H512"/>
      <c r="I512"/>
      <c r="J512"/>
      <c r="K512"/>
      <c r="L512"/>
      <c r="M512" s="4"/>
      <c r="N512" s="4"/>
      <c r="O512"/>
      <c r="P512"/>
      <c r="Q512"/>
      <c r="R512"/>
      <c r="S512"/>
      <c r="T512"/>
      <c r="U512"/>
      <c r="V512"/>
      <c r="W512"/>
      <c r="X512"/>
      <c r="Y512"/>
      <c r="Z512"/>
    </row>
    <row r="513" spans="1:26">
      <c r="A513"/>
      <c r="B513"/>
      <c r="C513"/>
      <c r="D513"/>
      <c r="E513"/>
      <c r="F513"/>
      <c r="G513"/>
      <c r="H513"/>
      <c r="I513"/>
      <c r="J513"/>
      <c r="K513"/>
      <c r="L513"/>
      <c r="M513" s="4"/>
      <c r="N513" s="4"/>
      <c r="O513"/>
      <c r="P513"/>
      <c r="Q513"/>
      <c r="R513"/>
      <c r="S513"/>
      <c r="T513"/>
      <c r="U513"/>
      <c r="V513"/>
      <c r="W513"/>
      <c r="X513"/>
      <c r="Y513"/>
      <c r="Z513"/>
    </row>
    <row r="514" spans="1:26">
      <c r="A514"/>
      <c r="B514"/>
      <c r="C514"/>
      <c r="D514"/>
      <c r="E514"/>
      <c r="F514"/>
      <c r="G514"/>
      <c r="H514"/>
      <c r="I514"/>
      <c r="J514"/>
      <c r="K514"/>
      <c r="L514"/>
      <c r="M514" s="4"/>
      <c r="N514" s="4"/>
      <c r="O514"/>
      <c r="P514"/>
      <c r="Q514"/>
      <c r="R514"/>
      <c r="S514"/>
      <c r="T514"/>
      <c r="U514"/>
      <c r="V514"/>
      <c r="W514"/>
      <c r="X514"/>
      <c r="Y514"/>
      <c r="Z514"/>
    </row>
    <row r="515" spans="1:26">
      <c r="A515"/>
      <c r="B515"/>
      <c r="C515"/>
      <c r="D515"/>
      <c r="E515"/>
      <c r="F515"/>
      <c r="G515"/>
      <c r="H515"/>
      <c r="I515"/>
      <c r="J515"/>
      <c r="K515"/>
      <c r="L515"/>
      <c r="M515" s="4"/>
      <c r="N515" s="4"/>
      <c r="O515"/>
      <c r="P515"/>
      <c r="Q515"/>
      <c r="R515"/>
      <c r="S515"/>
      <c r="T515"/>
      <c r="U515"/>
      <c r="V515"/>
      <c r="W515"/>
      <c r="X515"/>
      <c r="Y515"/>
      <c r="Z515"/>
    </row>
    <row r="516" spans="1:26">
      <c r="A516"/>
      <c r="B516"/>
      <c r="C516"/>
      <c r="D516"/>
      <c r="E516"/>
      <c r="F516"/>
      <c r="G516"/>
      <c r="H516"/>
      <c r="I516"/>
      <c r="J516"/>
      <c r="K516"/>
      <c r="L516"/>
      <c r="M516" s="4"/>
      <c r="N516" s="4"/>
      <c r="O516"/>
      <c r="P516"/>
      <c r="Q516"/>
      <c r="R516"/>
      <c r="S516"/>
      <c r="T516"/>
      <c r="U516"/>
      <c r="V516"/>
      <c r="W516"/>
      <c r="X516"/>
      <c r="Y516"/>
      <c r="Z516"/>
    </row>
    <row r="517" spans="1:26">
      <c r="A517"/>
      <c r="B517"/>
      <c r="C517"/>
      <c r="D517"/>
      <c r="E517"/>
      <c r="F517"/>
      <c r="G517"/>
      <c r="H517"/>
      <c r="I517"/>
      <c r="J517"/>
      <c r="K517"/>
      <c r="L517"/>
      <c r="M517" s="4"/>
      <c r="N517" s="4"/>
      <c r="O517"/>
      <c r="P517"/>
      <c r="Q517"/>
      <c r="R517"/>
      <c r="S517"/>
      <c r="T517"/>
      <c r="U517"/>
      <c r="V517"/>
      <c r="W517"/>
      <c r="X517"/>
      <c r="Y517"/>
      <c r="Z517"/>
    </row>
    <row r="518" spans="1:26">
      <c r="A518"/>
      <c r="B518"/>
      <c r="C518"/>
      <c r="D518"/>
      <c r="E518"/>
      <c r="F518"/>
      <c r="G518"/>
      <c r="H518"/>
      <c r="I518"/>
      <c r="J518"/>
      <c r="K518"/>
      <c r="L518"/>
      <c r="M518" s="4"/>
      <c r="N518" s="4"/>
      <c r="O518"/>
      <c r="P518"/>
      <c r="Q518"/>
      <c r="R518"/>
      <c r="S518"/>
      <c r="T518"/>
      <c r="U518"/>
      <c r="V518"/>
      <c r="W518"/>
      <c r="X518"/>
      <c r="Y518"/>
      <c r="Z518"/>
    </row>
    <row r="519" spans="1:26">
      <c r="A519"/>
      <c r="B519"/>
      <c r="C519"/>
      <c r="D519"/>
      <c r="E519"/>
      <c r="F519"/>
      <c r="G519"/>
      <c r="H519"/>
      <c r="I519"/>
      <c r="J519"/>
      <c r="K519"/>
      <c r="L519"/>
      <c r="M519" s="4"/>
      <c r="N519" s="4"/>
      <c r="O519"/>
      <c r="P519"/>
      <c r="Q519"/>
      <c r="R519"/>
      <c r="S519"/>
      <c r="T519"/>
      <c r="U519"/>
      <c r="V519"/>
      <c r="W519"/>
      <c r="X519"/>
      <c r="Y519"/>
      <c r="Z519"/>
    </row>
    <row r="520" spans="1:26">
      <c r="A520"/>
      <c r="B520"/>
      <c r="C520"/>
      <c r="D520"/>
      <c r="E520"/>
      <c r="F520"/>
      <c r="G520"/>
      <c r="H520"/>
      <c r="I520"/>
      <c r="J520"/>
      <c r="K520"/>
      <c r="L520"/>
      <c r="M520" s="4"/>
      <c r="N520" s="4"/>
      <c r="O520"/>
      <c r="P520"/>
      <c r="Q520"/>
      <c r="R520"/>
      <c r="S520"/>
      <c r="T520"/>
      <c r="U520"/>
      <c r="V520"/>
      <c r="W520"/>
      <c r="X520"/>
      <c r="Y520"/>
      <c r="Z520"/>
    </row>
    <row r="521" spans="1:26">
      <c r="A521"/>
      <c r="B521"/>
      <c r="C521"/>
      <c r="D521"/>
      <c r="E521"/>
      <c r="F521"/>
      <c r="G521"/>
      <c r="H521"/>
      <c r="I521"/>
      <c r="J521"/>
      <c r="K521"/>
      <c r="L521"/>
      <c r="M521" s="4"/>
      <c r="N521" s="4"/>
      <c r="O521"/>
      <c r="P521"/>
      <c r="Q521"/>
      <c r="R521"/>
      <c r="S521"/>
      <c r="T521"/>
      <c r="U521"/>
      <c r="V521"/>
      <c r="W521"/>
      <c r="X521"/>
      <c r="Y521"/>
      <c r="Z521"/>
    </row>
    <row r="522" spans="1:26">
      <c r="A522"/>
      <c r="B522"/>
      <c r="C522"/>
      <c r="D522"/>
      <c r="E522"/>
      <c r="F522"/>
      <c r="G522"/>
      <c r="H522"/>
      <c r="I522"/>
      <c r="J522"/>
      <c r="K522"/>
      <c r="L522"/>
      <c r="M522" s="4"/>
      <c r="N522" s="4"/>
      <c r="O522"/>
      <c r="P522"/>
      <c r="Q522"/>
      <c r="R522"/>
      <c r="S522"/>
      <c r="T522"/>
      <c r="U522"/>
      <c r="V522"/>
      <c r="W522"/>
      <c r="X522"/>
      <c r="Y522"/>
      <c r="Z522"/>
    </row>
    <row r="523" spans="1:26">
      <c r="A523"/>
      <c r="B523"/>
      <c r="C523"/>
      <c r="D523"/>
      <c r="E523"/>
      <c r="F523"/>
      <c r="G523"/>
      <c r="H523"/>
      <c r="I523"/>
      <c r="J523"/>
      <c r="K523"/>
      <c r="L523"/>
      <c r="M523" s="4"/>
      <c r="N523" s="4"/>
      <c r="O523"/>
      <c r="P523"/>
      <c r="Q523"/>
      <c r="R523"/>
      <c r="S523"/>
      <c r="T523"/>
      <c r="U523"/>
      <c r="V523"/>
      <c r="W523"/>
      <c r="X523"/>
      <c r="Y523"/>
      <c r="Z523"/>
    </row>
    <row r="524" spans="1:26">
      <c r="A524"/>
      <c r="B524"/>
      <c r="C524"/>
      <c r="D524"/>
      <c r="E524"/>
      <c r="F524"/>
      <c r="G524"/>
      <c r="H524"/>
      <c r="I524"/>
      <c r="J524"/>
      <c r="K524"/>
      <c r="L524"/>
      <c r="M524" s="4"/>
      <c r="N524" s="4"/>
      <c r="O524"/>
      <c r="P524"/>
      <c r="Q524"/>
      <c r="R524"/>
      <c r="S524"/>
      <c r="T524"/>
      <c r="U524"/>
      <c r="V524"/>
      <c r="W524"/>
      <c r="X524"/>
      <c r="Y524"/>
      <c r="Z524"/>
    </row>
    <row r="525" spans="1:26">
      <c r="A525"/>
      <c r="B525"/>
      <c r="C525"/>
      <c r="D525"/>
      <c r="E525"/>
      <c r="F525"/>
      <c r="G525"/>
      <c r="H525"/>
      <c r="I525"/>
      <c r="J525"/>
      <c r="K525"/>
      <c r="L525"/>
      <c r="M525" s="4"/>
      <c r="N525" s="4"/>
      <c r="O525"/>
      <c r="P525"/>
      <c r="Q525"/>
      <c r="R525"/>
      <c r="S525"/>
      <c r="T525"/>
      <c r="U525"/>
      <c r="V525"/>
      <c r="W525"/>
      <c r="X525"/>
      <c r="Y525"/>
      <c r="Z525"/>
    </row>
    <row r="526" spans="1:26">
      <c r="A526"/>
      <c r="B526"/>
      <c r="C526"/>
      <c r="D526"/>
      <c r="E526"/>
      <c r="F526"/>
      <c r="G526"/>
      <c r="H526"/>
      <c r="I526"/>
      <c r="J526"/>
      <c r="K526"/>
      <c r="L526"/>
      <c r="M526" s="4"/>
      <c r="N526" s="4"/>
      <c r="O526"/>
      <c r="P526"/>
      <c r="Q526"/>
      <c r="R526"/>
      <c r="S526"/>
      <c r="T526"/>
      <c r="U526"/>
      <c r="V526"/>
      <c r="W526"/>
      <c r="X526"/>
      <c r="Y526"/>
      <c r="Z526"/>
    </row>
    <row r="527" spans="1:26">
      <c r="A527"/>
      <c r="B527"/>
      <c r="C527"/>
      <c r="D527"/>
      <c r="E527"/>
      <c r="F527"/>
      <c r="G527"/>
      <c r="H527"/>
      <c r="I527"/>
      <c r="J527"/>
      <c r="K527"/>
      <c r="L527"/>
      <c r="M527" s="4"/>
      <c r="N527" s="4"/>
      <c r="O527"/>
      <c r="P527"/>
      <c r="Q527"/>
      <c r="R527"/>
      <c r="S527"/>
      <c r="T527"/>
      <c r="U527"/>
      <c r="V527"/>
      <c r="W527"/>
      <c r="X527"/>
      <c r="Y527"/>
      <c r="Z527"/>
    </row>
    <row r="528" spans="1:26">
      <c r="A528"/>
      <c r="B528"/>
      <c r="C528"/>
      <c r="D528"/>
      <c r="E528"/>
      <c r="F528"/>
      <c r="G528"/>
      <c r="H528"/>
      <c r="I528"/>
      <c r="J528"/>
      <c r="K528"/>
      <c r="L528"/>
      <c r="M528" s="4"/>
      <c r="N528" s="4"/>
      <c r="O528"/>
      <c r="P528"/>
      <c r="Q528"/>
      <c r="R528"/>
      <c r="S528"/>
      <c r="T528"/>
      <c r="U528"/>
      <c r="V528"/>
      <c r="W528"/>
      <c r="X528"/>
      <c r="Y528"/>
      <c r="Z528"/>
    </row>
    <row r="529" spans="1:26">
      <c r="A529"/>
      <c r="B529"/>
      <c r="C529"/>
      <c r="D529"/>
      <c r="E529"/>
      <c r="F529"/>
      <c r="G529"/>
      <c r="H529"/>
      <c r="I529"/>
      <c r="J529"/>
      <c r="K529"/>
      <c r="L529"/>
      <c r="M529" s="4"/>
      <c r="N529" s="4"/>
      <c r="O529"/>
      <c r="P529"/>
      <c r="Q529"/>
      <c r="R529"/>
      <c r="S529"/>
      <c r="T529"/>
      <c r="U529"/>
      <c r="V529"/>
      <c r="W529"/>
      <c r="X529"/>
      <c r="Y529"/>
      <c r="Z529"/>
    </row>
    <row r="530" spans="1:26">
      <c r="A530"/>
      <c r="B530"/>
      <c r="C530"/>
      <c r="D530"/>
      <c r="E530"/>
      <c r="F530"/>
      <c r="G530"/>
      <c r="H530"/>
      <c r="I530"/>
      <c r="J530"/>
      <c r="K530"/>
      <c r="L530"/>
      <c r="M530" s="4"/>
      <c r="N530" s="4"/>
      <c r="O530"/>
      <c r="P530"/>
      <c r="Q530"/>
      <c r="R530"/>
      <c r="S530"/>
      <c r="T530"/>
      <c r="U530"/>
      <c r="V530"/>
      <c r="W530"/>
      <c r="X530"/>
      <c r="Y530"/>
      <c r="Z530"/>
    </row>
    <row r="531" spans="1:26">
      <c r="A531"/>
      <c r="B531"/>
      <c r="C531"/>
      <c r="D531"/>
      <c r="E531"/>
      <c r="F531"/>
      <c r="G531"/>
      <c r="H531"/>
      <c r="I531"/>
      <c r="J531"/>
      <c r="K531"/>
      <c r="L531"/>
      <c r="M531" s="4"/>
      <c r="N531" s="4"/>
      <c r="O531"/>
      <c r="P531"/>
      <c r="Q531"/>
      <c r="R531"/>
      <c r="S531"/>
      <c r="T531"/>
      <c r="U531"/>
      <c r="V531"/>
      <c r="W531"/>
      <c r="X531"/>
      <c r="Y531"/>
      <c r="Z531"/>
    </row>
    <row r="532" spans="1:26">
      <c r="A532"/>
      <c r="B532"/>
      <c r="C532"/>
      <c r="D532"/>
      <c r="E532"/>
      <c r="F532"/>
      <c r="G532"/>
      <c r="H532"/>
      <c r="I532"/>
      <c r="J532"/>
      <c r="K532"/>
      <c r="L532"/>
      <c r="M532" s="4"/>
      <c r="N532" s="4"/>
      <c r="O532"/>
      <c r="P532"/>
      <c r="Q532"/>
      <c r="R532"/>
      <c r="S532"/>
      <c r="T532"/>
      <c r="U532"/>
      <c r="V532"/>
      <c r="W532"/>
      <c r="X532"/>
      <c r="Y532"/>
      <c r="Z532"/>
    </row>
    <row r="533" spans="1:26">
      <c r="A533"/>
      <c r="B533"/>
      <c r="C533"/>
      <c r="D533"/>
      <c r="E533"/>
      <c r="F533"/>
      <c r="G533"/>
      <c r="H533"/>
      <c r="I533"/>
      <c r="J533"/>
      <c r="K533"/>
      <c r="L533"/>
      <c r="M533" s="4"/>
      <c r="N533" s="4"/>
      <c r="O533"/>
      <c r="P533"/>
      <c r="Q533"/>
      <c r="R533"/>
      <c r="S533"/>
      <c r="T533"/>
      <c r="U533"/>
      <c r="V533"/>
      <c r="W533"/>
      <c r="X533"/>
      <c r="Y533"/>
      <c r="Z533"/>
    </row>
    <row r="534" spans="1:26">
      <c r="A534"/>
      <c r="B534"/>
      <c r="C534"/>
      <c r="D534"/>
      <c r="E534"/>
      <c r="F534"/>
      <c r="G534"/>
      <c r="H534"/>
      <c r="I534"/>
      <c r="J534"/>
      <c r="K534"/>
      <c r="L534"/>
      <c r="M534" s="4"/>
      <c r="N534" s="4"/>
      <c r="O534"/>
      <c r="P534"/>
      <c r="Q534"/>
      <c r="R534"/>
      <c r="S534"/>
      <c r="T534"/>
      <c r="U534"/>
      <c r="V534"/>
      <c r="W534"/>
      <c r="X534"/>
      <c r="Y534"/>
      <c r="Z534"/>
    </row>
    <row r="535" spans="1:26">
      <c r="A535"/>
      <c r="B535"/>
      <c r="C535"/>
      <c r="D535"/>
      <c r="E535"/>
      <c r="F535"/>
      <c r="G535"/>
      <c r="H535"/>
      <c r="I535"/>
      <c r="J535"/>
      <c r="K535"/>
      <c r="L535"/>
      <c r="M535" s="4"/>
      <c r="N535" s="4"/>
      <c r="O535"/>
      <c r="P535"/>
      <c r="Q535"/>
      <c r="R535"/>
      <c r="S535"/>
      <c r="T535"/>
      <c r="U535"/>
      <c r="V535"/>
      <c r="W535"/>
      <c r="X535"/>
      <c r="Y535"/>
      <c r="Z535"/>
    </row>
    <row r="536" spans="1:26">
      <c r="A536"/>
      <c r="B536"/>
      <c r="C536"/>
      <c r="D536"/>
      <c r="E536"/>
      <c r="F536"/>
      <c r="G536"/>
      <c r="H536"/>
      <c r="I536"/>
      <c r="J536"/>
      <c r="K536"/>
      <c r="L536"/>
      <c r="M536" s="4"/>
      <c r="N536" s="4"/>
      <c r="O536"/>
      <c r="P536"/>
      <c r="Q536"/>
      <c r="R536"/>
      <c r="S536"/>
      <c r="T536"/>
      <c r="U536"/>
      <c r="V536"/>
      <c r="W536"/>
      <c r="X536"/>
      <c r="Y536"/>
      <c r="Z536"/>
    </row>
    <row r="537" spans="1:26">
      <c r="A537"/>
      <c r="B537"/>
      <c r="C537"/>
      <c r="D537"/>
      <c r="E537"/>
      <c r="F537"/>
      <c r="G537"/>
      <c r="H537"/>
      <c r="I537"/>
      <c r="J537"/>
      <c r="K537"/>
      <c r="L537"/>
      <c r="M537" s="4"/>
      <c r="N537" s="4"/>
      <c r="O537"/>
      <c r="P537"/>
      <c r="Q537"/>
      <c r="R537"/>
      <c r="S537"/>
      <c r="T537"/>
      <c r="U537"/>
      <c r="V537"/>
      <c r="W537"/>
      <c r="X537"/>
      <c r="Y537"/>
      <c r="Z537"/>
    </row>
    <row r="538" spans="1:26">
      <c r="A538"/>
      <c r="B538"/>
      <c r="C538"/>
      <c r="D538"/>
      <c r="E538"/>
      <c r="F538"/>
      <c r="G538"/>
      <c r="H538"/>
      <c r="I538"/>
      <c r="J538"/>
      <c r="K538"/>
      <c r="L538"/>
      <c r="M538" s="4"/>
      <c r="N538" s="4"/>
      <c r="O538"/>
      <c r="P538"/>
      <c r="Q538"/>
      <c r="R538"/>
      <c r="S538"/>
      <c r="T538"/>
      <c r="U538"/>
      <c r="V538"/>
      <c r="W538"/>
      <c r="X538"/>
      <c r="Y538"/>
      <c r="Z538"/>
    </row>
    <row r="539" spans="1:26">
      <c r="A539"/>
      <c r="B539"/>
      <c r="C539"/>
      <c r="D539"/>
      <c r="E539"/>
      <c r="F539"/>
      <c r="G539"/>
      <c r="H539"/>
      <c r="I539"/>
      <c r="J539"/>
      <c r="K539"/>
      <c r="L539"/>
      <c r="M539" s="4"/>
      <c r="N539" s="4"/>
      <c r="O539"/>
      <c r="P539"/>
      <c r="Q539"/>
      <c r="R539"/>
      <c r="S539"/>
      <c r="T539"/>
      <c r="U539"/>
      <c r="V539"/>
      <c r="W539"/>
      <c r="X539"/>
      <c r="Y539"/>
      <c r="Z539"/>
    </row>
    <row r="540" spans="1:26">
      <c r="A540"/>
      <c r="B540"/>
      <c r="C540"/>
      <c r="D540"/>
      <c r="E540"/>
      <c r="F540"/>
      <c r="G540"/>
      <c r="H540"/>
      <c r="I540"/>
      <c r="J540"/>
      <c r="K540"/>
      <c r="L540"/>
      <c r="M540" s="4"/>
      <c r="N540" s="4"/>
      <c r="O540"/>
      <c r="P540"/>
      <c r="Q540"/>
      <c r="R540"/>
      <c r="S540"/>
      <c r="T540"/>
      <c r="U540"/>
      <c r="V540"/>
      <c r="W540"/>
      <c r="X540"/>
      <c r="Y540"/>
      <c r="Z540"/>
    </row>
    <row r="541" spans="1:26">
      <c r="A541"/>
      <c r="B541"/>
      <c r="C541"/>
      <c r="D541"/>
      <c r="E541"/>
      <c r="F541"/>
      <c r="G541"/>
      <c r="H541"/>
      <c r="I541"/>
      <c r="J541"/>
      <c r="K541"/>
      <c r="L541"/>
      <c r="M541" s="4"/>
      <c r="N541" s="4"/>
      <c r="O541"/>
      <c r="P541"/>
      <c r="Q541"/>
      <c r="R541"/>
      <c r="S541"/>
      <c r="T541"/>
      <c r="U541"/>
      <c r="V541"/>
      <c r="W541"/>
      <c r="X541"/>
      <c r="Y541"/>
      <c r="Z541"/>
    </row>
    <row r="542" spans="1:26">
      <c r="A542"/>
      <c r="B542"/>
      <c r="C542"/>
      <c r="D542"/>
      <c r="E542"/>
      <c r="F542"/>
      <c r="G542"/>
      <c r="H542"/>
      <c r="I542"/>
      <c r="J542"/>
      <c r="K542"/>
      <c r="L542"/>
      <c r="M542" s="4"/>
      <c r="N542" s="4"/>
      <c r="O542"/>
      <c r="P542"/>
      <c r="Q542"/>
      <c r="R542"/>
      <c r="S542"/>
      <c r="T542"/>
      <c r="U542"/>
      <c r="V542"/>
      <c r="W542"/>
      <c r="X542"/>
      <c r="Y542"/>
      <c r="Z542"/>
    </row>
    <row r="543" spans="1:26">
      <c r="A543"/>
      <c r="B543"/>
      <c r="C543"/>
      <c r="D543"/>
      <c r="E543"/>
      <c r="F543"/>
      <c r="G543"/>
      <c r="H543"/>
      <c r="I543"/>
      <c r="J543"/>
      <c r="K543"/>
      <c r="L543"/>
      <c r="M543" s="4"/>
      <c r="N543" s="4"/>
      <c r="O543"/>
      <c r="P543"/>
      <c r="Q543"/>
      <c r="R543"/>
      <c r="S543"/>
      <c r="T543"/>
      <c r="U543"/>
      <c r="V543"/>
      <c r="W543"/>
      <c r="X543"/>
      <c r="Y543"/>
      <c r="Z543"/>
    </row>
    <row r="544" spans="1:26">
      <c r="A544"/>
      <c r="B544"/>
      <c r="C544"/>
      <c r="D544"/>
      <c r="E544"/>
      <c r="F544"/>
      <c r="G544"/>
      <c r="H544"/>
      <c r="I544"/>
      <c r="J544"/>
      <c r="K544"/>
      <c r="L544"/>
      <c r="M544" s="4"/>
      <c r="N544" s="4"/>
      <c r="O544"/>
      <c r="P544"/>
      <c r="Q544"/>
      <c r="R544"/>
      <c r="S544"/>
      <c r="T544"/>
      <c r="U544"/>
      <c r="V544"/>
      <c r="W544"/>
      <c r="X544"/>
      <c r="Y544"/>
      <c r="Z544"/>
    </row>
    <row r="545" spans="1:26">
      <c r="A545"/>
      <c r="B545"/>
      <c r="C545"/>
      <c r="D545"/>
      <c r="E545"/>
      <c r="F545"/>
      <c r="G545"/>
      <c r="H545"/>
      <c r="I545"/>
      <c r="J545"/>
      <c r="K545"/>
      <c r="L545"/>
      <c r="M545" s="4"/>
      <c r="N545" s="4"/>
      <c r="O545"/>
      <c r="P545"/>
      <c r="Q545"/>
      <c r="R545"/>
      <c r="S545"/>
      <c r="T545"/>
      <c r="U545"/>
      <c r="V545"/>
      <c r="W545"/>
      <c r="X545"/>
      <c r="Y545"/>
      <c r="Z545"/>
    </row>
    <row r="546" spans="1:26">
      <c r="A546"/>
      <c r="B546"/>
      <c r="C546"/>
      <c r="D546"/>
      <c r="E546"/>
      <c r="F546"/>
      <c r="G546"/>
      <c r="H546"/>
      <c r="I546"/>
      <c r="J546"/>
      <c r="K546"/>
      <c r="L546"/>
      <c r="M546" s="4"/>
      <c r="N546" s="4"/>
      <c r="O546"/>
      <c r="P546"/>
      <c r="Q546"/>
      <c r="R546"/>
      <c r="S546"/>
      <c r="T546"/>
      <c r="U546"/>
      <c r="V546"/>
      <c r="W546"/>
      <c r="X546"/>
      <c r="Y546"/>
      <c r="Z546"/>
    </row>
    <row r="547" spans="1:26">
      <c r="A547"/>
      <c r="B547"/>
      <c r="C547"/>
      <c r="D547"/>
      <c r="E547"/>
      <c r="F547"/>
      <c r="G547"/>
      <c r="H547"/>
      <c r="I547"/>
      <c r="J547"/>
      <c r="K547"/>
      <c r="L547"/>
      <c r="M547" s="4"/>
      <c r="N547" s="4"/>
      <c r="O547"/>
      <c r="P547"/>
      <c r="Q547"/>
      <c r="R547"/>
      <c r="S547"/>
      <c r="T547"/>
      <c r="U547"/>
      <c r="V547"/>
      <c r="W547"/>
      <c r="X547"/>
      <c r="Y547"/>
      <c r="Z547"/>
    </row>
    <row r="548" spans="1:26">
      <c r="A548"/>
      <c r="B548"/>
      <c r="C548"/>
      <c r="D548"/>
      <c r="E548"/>
      <c r="F548"/>
      <c r="G548"/>
      <c r="H548"/>
      <c r="I548"/>
      <c r="J548"/>
      <c r="K548"/>
      <c r="L548"/>
      <c r="M548" s="4"/>
      <c r="N548" s="4"/>
      <c r="O548"/>
      <c r="P548"/>
      <c r="Q548"/>
      <c r="R548"/>
      <c r="S548"/>
      <c r="T548"/>
      <c r="U548"/>
      <c r="V548"/>
      <c r="W548"/>
      <c r="X548"/>
      <c r="Y548"/>
      <c r="Z548"/>
    </row>
    <row r="549" spans="1:26">
      <c r="A549"/>
      <c r="B549"/>
      <c r="C549"/>
      <c r="D549"/>
      <c r="E549"/>
      <c r="F549"/>
      <c r="G549"/>
      <c r="H549"/>
      <c r="I549"/>
      <c r="J549"/>
      <c r="K549"/>
      <c r="L549"/>
      <c r="M549" s="4"/>
      <c r="N549" s="4"/>
      <c r="O549"/>
      <c r="P549"/>
      <c r="Q549"/>
      <c r="R549"/>
      <c r="S549"/>
      <c r="T549"/>
      <c r="U549"/>
      <c r="V549"/>
      <c r="W549"/>
      <c r="X549"/>
      <c r="Y549"/>
      <c r="Z549"/>
    </row>
    <row r="550" spans="1:26">
      <c r="A550"/>
      <c r="B550"/>
      <c r="C550"/>
      <c r="D550"/>
      <c r="E550"/>
      <c r="F550"/>
      <c r="G550"/>
      <c r="H550"/>
      <c r="I550"/>
      <c r="J550"/>
      <c r="K550"/>
      <c r="L550"/>
      <c r="M550" s="4"/>
      <c r="N550" s="4"/>
      <c r="O550"/>
      <c r="P550"/>
      <c r="Q550"/>
      <c r="R550"/>
      <c r="S550"/>
      <c r="T550"/>
      <c r="U550"/>
      <c r="V550"/>
      <c r="W550"/>
      <c r="X550"/>
      <c r="Y550"/>
      <c r="Z550"/>
    </row>
    <row r="551" spans="1:26">
      <c r="A551"/>
      <c r="B551"/>
      <c r="C551"/>
      <c r="D551"/>
      <c r="E551"/>
      <c r="F551"/>
      <c r="G551"/>
      <c r="H551"/>
      <c r="I551"/>
      <c r="J551"/>
      <c r="K551"/>
      <c r="L551"/>
      <c r="M551" s="4"/>
      <c r="N551" s="4"/>
      <c r="O551"/>
      <c r="P551"/>
      <c r="Q551"/>
      <c r="R551"/>
      <c r="S551"/>
      <c r="T551"/>
      <c r="U551"/>
      <c r="V551"/>
      <c r="W551"/>
      <c r="X551"/>
      <c r="Y551"/>
      <c r="Z551"/>
    </row>
    <row r="552" spans="1:26">
      <c r="A552"/>
      <c r="B552"/>
      <c r="C552"/>
      <c r="D552"/>
      <c r="E552"/>
      <c r="F552"/>
      <c r="G552"/>
      <c r="H552"/>
      <c r="I552"/>
      <c r="J552"/>
      <c r="K552"/>
      <c r="L552"/>
      <c r="M552" s="4"/>
      <c r="N552" s="4"/>
      <c r="O552"/>
      <c r="P552"/>
      <c r="Q552"/>
      <c r="R552"/>
      <c r="S552"/>
      <c r="T552"/>
      <c r="U552"/>
      <c r="V552"/>
      <c r="W552"/>
      <c r="X552"/>
      <c r="Y552"/>
      <c r="Z552"/>
    </row>
    <row r="553" spans="1:26">
      <c r="A553"/>
      <c r="B553"/>
      <c r="C553"/>
      <c r="D553"/>
      <c r="E553"/>
      <c r="F553"/>
      <c r="G553"/>
      <c r="H553"/>
      <c r="I553"/>
      <c r="J553"/>
      <c r="K553"/>
      <c r="L553"/>
      <c r="M553" s="4"/>
      <c r="N553" s="4"/>
      <c r="O553"/>
      <c r="P553"/>
      <c r="Q553"/>
      <c r="R553"/>
      <c r="S553"/>
      <c r="T553"/>
      <c r="U553"/>
      <c r="V553"/>
      <c r="W553"/>
      <c r="X553"/>
      <c r="Y553"/>
      <c r="Z553"/>
    </row>
    <row r="554" spans="1:26">
      <c r="A554"/>
      <c r="B554"/>
      <c r="C554"/>
      <c r="D554"/>
      <c r="E554"/>
      <c r="F554"/>
      <c r="G554"/>
      <c r="H554"/>
      <c r="I554"/>
      <c r="J554"/>
      <c r="K554"/>
      <c r="L554"/>
      <c r="M554" s="4"/>
      <c r="N554" s="4"/>
      <c r="O554"/>
      <c r="P554"/>
      <c r="Q554"/>
      <c r="R554"/>
      <c r="S554"/>
      <c r="T554"/>
      <c r="U554"/>
      <c r="V554"/>
      <c r="W554"/>
      <c r="X554"/>
      <c r="Y554"/>
      <c r="Z554"/>
    </row>
    <row r="555" spans="1:26">
      <c r="A555"/>
      <c r="B555"/>
      <c r="C555"/>
      <c r="D555"/>
      <c r="E555"/>
      <c r="F555"/>
      <c r="G555"/>
      <c r="H555"/>
      <c r="I555"/>
      <c r="J555"/>
      <c r="K555"/>
      <c r="L555"/>
      <c r="M555" s="4"/>
      <c r="N555" s="4"/>
      <c r="O555"/>
      <c r="P555"/>
      <c r="Q555"/>
      <c r="R555"/>
      <c r="S555"/>
      <c r="T555"/>
      <c r="U555"/>
      <c r="V555"/>
      <c r="W555"/>
      <c r="X555"/>
      <c r="Y555"/>
      <c r="Z555"/>
    </row>
    <row r="556" spans="1:26">
      <c r="A556"/>
      <c r="B556"/>
      <c r="C556"/>
      <c r="D556"/>
      <c r="E556"/>
      <c r="F556"/>
      <c r="G556"/>
      <c r="H556"/>
      <c r="I556"/>
      <c r="J556"/>
      <c r="K556"/>
      <c r="L556"/>
      <c r="M556" s="4"/>
      <c r="N556" s="4"/>
      <c r="O556"/>
      <c r="P556"/>
      <c r="Q556"/>
      <c r="R556"/>
      <c r="S556"/>
      <c r="T556"/>
      <c r="U556"/>
      <c r="V556"/>
      <c r="W556"/>
      <c r="X556"/>
      <c r="Y556"/>
      <c r="Z556"/>
    </row>
    <row r="557" spans="1:26">
      <c r="A557"/>
      <c r="B557"/>
      <c r="C557"/>
      <c r="D557"/>
      <c r="E557"/>
      <c r="F557"/>
      <c r="G557"/>
      <c r="H557"/>
      <c r="I557"/>
      <c r="J557"/>
      <c r="K557"/>
      <c r="L557"/>
      <c r="M557" s="4"/>
      <c r="N557" s="4"/>
      <c r="O557"/>
      <c r="P557"/>
      <c r="Q557"/>
      <c r="R557"/>
      <c r="S557"/>
      <c r="T557"/>
      <c r="U557"/>
      <c r="V557"/>
      <c r="W557"/>
      <c r="X557"/>
      <c r="Y557"/>
      <c r="Z557"/>
    </row>
    <row r="558" spans="1:26">
      <c r="A558"/>
      <c r="B558"/>
      <c r="C558"/>
      <c r="D558"/>
      <c r="E558"/>
      <c r="F558"/>
      <c r="G558"/>
      <c r="H558"/>
      <c r="I558"/>
      <c r="J558"/>
      <c r="K558"/>
      <c r="L558"/>
      <c r="M558" s="4"/>
      <c r="N558" s="4"/>
      <c r="O558"/>
      <c r="P558"/>
      <c r="Q558"/>
      <c r="R558"/>
      <c r="S558"/>
      <c r="T558"/>
      <c r="U558"/>
      <c r="V558"/>
      <c r="W558"/>
      <c r="X558"/>
      <c r="Y558"/>
      <c r="Z558"/>
    </row>
    <row r="559" spans="1:26">
      <c r="A559"/>
      <c r="B559"/>
      <c r="C559"/>
      <c r="D559"/>
      <c r="E559"/>
      <c r="F559"/>
      <c r="G559"/>
      <c r="H559"/>
      <c r="I559"/>
      <c r="J559"/>
      <c r="K559"/>
      <c r="L559"/>
      <c r="M559" s="4"/>
      <c r="N559" s="4"/>
      <c r="O559"/>
      <c r="P559"/>
      <c r="Q559"/>
      <c r="R559"/>
      <c r="S559"/>
      <c r="T559"/>
      <c r="U559"/>
      <c r="V559"/>
      <c r="W559"/>
      <c r="X559"/>
      <c r="Y559"/>
      <c r="Z559"/>
    </row>
    <row r="560" spans="1:26">
      <c r="A560"/>
      <c r="B560"/>
      <c r="C560"/>
      <c r="D560"/>
      <c r="E560"/>
      <c r="F560"/>
      <c r="G560"/>
      <c r="H560"/>
      <c r="I560"/>
      <c r="J560"/>
      <c r="K560"/>
      <c r="L560"/>
      <c r="M560" s="4"/>
      <c r="N560" s="4"/>
      <c r="O560"/>
      <c r="P560"/>
      <c r="Q560"/>
      <c r="R560"/>
      <c r="S560"/>
      <c r="T560"/>
      <c r="U560"/>
      <c r="V560"/>
      <c r="W560"/>
      <c r="X560"/>
      <c r="Y560"/>
      <c r="Z560"/>
    </row>
    <row r="561" spans="1:26">
      <c r="A561"/>
      <c r="B561"/>
      <c r="C561"/>
      <c r="D561"/>
      <c r="E561"/>
      <c r="F561"/>
      <c r="G561"/>
      <c r="H561"/>
      <c r="I561"/>
      <c r="J561"/>
      <c r="K561"/>
      <c r="L561"/>
      <c r="M561" s="4"/>
      <c r="N561" s="4"/>
      <c r="O561"/>
      <c r="P561"/>
      <c r="Q561"/>
      <c r="R561"/>
      <c r="S561"/>
      <c r="T561"/>
      <c r="U561"/>
      <c r="V561"/>
      <c r="W561"/>
      <c r="X561"/>
      <c r="Y561"/>
      <c r="Z561"/>
    </row>
    <row r="562" spans="1:26">
      <c r="A562"/>
      <c r="B562"/>
      <c r="C562"/>
      <c r="D562"/>
      <c r="E562"/>
      <c r="F562"/>
      <c r="G562"/>
      <c r="H562"/>
      <c r="I562"/>
      <c r="J562"/>
      <c r="K562"/>
      <c r="L562"/>
      <c r="M562" s="4"/>
      <c r="N562" s="4"/>
      <c r="O562"/>
      <c r="P562"/>
      <c r="Q562"/>
      <c r="R562"/>
      <c r="S562"/>
      <c r="T562"/>
      <c r="U562"/>
      <c r="V562"/>
      <c r="W562"/>
      <c r="X562"/>
      <c r="Y562"/>
      <c r="Z562"/>
    </row>
    <row r="563" spans="1:26">
      <c r="A563"/>
      <c r="B563"/>
      <c r="C563"/>
      <c r="D563"/>
      <c r="E563"/>
      <c r="F563"/>
      <c r="G563"/>
      <c r="H563"/>
      <c r="I563"/>
      <c r="J563"/>
      <c r="K563"/>
      <c r="L563"/>
      <c r="M563" s="4"/>
      <c r="N563" s="4"/>
      <c r="O563"/>
      <c r="P563"/>
      <c r="Q563"/>
      <c r="R563"/>
      <c r="S563"/>
      <c r="T563"/>
      <c r="U563"/>
      <c r="V563"/>
      <c r="W563"/>
      <c r="X563"/>
      <c r="Y563"/>
      <c r="Z563"/>
    </row>
    <row r="564" spans="1:26">
      <c r="A564"/>
      <c r="B564"/>
      <c r="C564"/>
      <c r="D564"/>
      <c r="E564"/>
      <c r="F564"/>
      <c r="G564"/>
      <c r="H564"/>
      <c r="I564"/>
      <c r="J564"/>
      <c r="K564"/>
      <c r="L564"/>
      <c r="M564" s="4"/>
      <c r="N564" s="4"/>
      <c r="O564"/>
      <c r="P564"/>
      <c r="Q564"/>
      <c r="R564"/>
      <c r="S564"/>
      <c r="T564"/>
      <c r="U564"/>
      <c r="V564"/>
      <c r="W564"/>
      <c r="X564"/>
      <c r="Y564"/>
      <c r="Z564"/>
    </row>
    <row r="565" spans="1:26">
      <c r="A565"/>
      <c r="B565"/>
      <c r="C565"/>
      <c r="D565"/>
      <c r="E565"/>
      <c r="F565"/>
      <c r="G565"/>
      <c r="H565"/>
      <c r="I565"/>
      <c r="J565"/>
      <c r="K565"/>
      <c r="L565"/>
      <c r="M565" s="4"/>
      <c r="N565" s="4"/>
      <c r="O565"/>
      <c r="P565"/>
      <c r="Q565"/>
      <c r="R565"/>
      <c r="S565"/>
      <c r="T565"/>
      <c r="U565"/>
      <c r="V565"/>
      <c r="W565"/>
      <c r="X565"/>
      <c r="Y565"/>
      <c r="Z565"/>
    </row>
    <row r="566" spans="1:26">
      <c r="A566"/>
      <c r="B566"/>
      <c r="C566"/>
      <c r="D566"/>
      <c r="E566"/>
      <c r="F566"/>
      <c r="G566"/>
      <c r="H566"/>
      <c r="I566"/>
      <c r="J566"/>
      <c r="K566"/>
      <c r="L566"/>
      <c r="M566" s="4"/>
      <c r="N566" s="4"/>
      <c r="O566"/>
      <c r="P566"/>
      <c r="Q566"/>
      <c r="R566"/>
      <c r="S566"/>
      <c r="T566"/>
      <c r="U566"/>
      <c r="V566"/>
      <c r="W566"/>
      <c r="X566"/>
      <c r="Y566"/>
      <c r="Z566"/>
    </row>
    <row r="567" spans="1:26">
      <c r="A567"/>
      <c r="B567"/>
      <c r="C567"/>
      <c r="D567"/>
      <c r="E567"/>
      <c r="F567"/>
      <c r="G567"/>
      <c r="H567"/>
      <c r="I567"/>
      <c r="J567"/>
      <c r="K567"/>
      <c r="L567"/>
      <c r="M567" s="4"/>
      <c r="N567" s="4"/>
      <c r="O567"/>
      <c r="P567"/>
      <c r="Q567"/>
      <c r="R567"/>
      <c r="S567"/>
      <c r="T567"/>
      <c r="U567"/>
      <c r="V567"/>
      <c r="W567"/>
      <c r="X567"/>
      <c r="Y567"/>
      <c r="Z567"/>
    </row>
    <row r="568" spans="1:26">
      <c r="A568"/>
      <c r="B568"/>
      <c r="C568"/>
      <c r="D568"/>
      <c r="E568"/>
      <c r="F568"/>
      <c r="G568"/>
      <c r="H568"/>
      <c r="I568"/>
      <c r="J568"/>
      <c r="K568"/>
      <c r="L568"/>
      <c r="M568" s="4"/>
      <c r="N568" s="4"/>
      <c r="O568"/>
      <c r="P568"/>
      <c r="Q568"/>
      <c r="R568"/>
      <c r="S568"/>
      <c r="T568"/>
      <c r="U568"/>
      <c r="V568"/>
      <c r="W568"/>
      <c r="X568"/>
      <c r="Y568"/>
      <c r="Z568"/>
    </row>
    <row r="569" spans="1:26">
      <c r="A569"/>
      <c r="B569"/>
      <c r="C569"/>
      <c r="D569"/>
      <c r="E569"/>
      <c r="F569"/>
      <c r="G569"/>
      <c r="H569"/>
      <c r="I569"/>
      <c r="J569"/>
      <c r="K569"/>
      <c r="L569"/>
      <c r="M569" s="4"/>
      <c r="N569" s="4"/>
      <c r="O569"/>
      <c r="P569"/>
      <c r="Q569"/>
      <c r="R569"/>
      <c r="S569"/>
      <c r="T569"/>
      <c r="U569"/>
      <c r="V569"/>
      <c r="W569"/>
      <c r="X569"/>
      <c r="Y569"/>
      <c r="Z569"/>
    </row>
    <row r="570" spans="1:26">
      <c r="A570"/>
      <c r="B570"/>
      <c r="C570"/>
      <c r="D570"/>
      <c r="E570"/>
      <c r="F570"/>
      <c r="G570"/>
      <c r="H570"/>
      <c r="I570"/>
      <c r="J570"/>
      <c r="K570"/>
      <c r="L570"/>
      <c r="M570" s="4"/>
      <c r="N570" s="4"/>
      <c r="O570"/>
      <c r="P570"/>
      <c r="Q570"/>
      <c r="R570"/>
      <c r="S570"/>
      <c r="T570"/>
      <c r="U570"/>
      <c r="V570"/>
      <c r="W570"/>
      <c r="X570"/>
      <c r="Y570"/>
      <c r="Z570"/>
    </row>
    <row r="571" spans="1:26">
      <c r="A571"/>
      <c r="B571"/>
      <c r="C571"/>
      <c r="D571"/>
      <c r="E571"/>
      <c r="F571"/>
      <c r="G571"/>
      <c r="H571"/>
      <c r="I571"/>
      <c r="J571"/>
      <c r="K571"/>
      <c r="L571"/>
      <c r="M571" s="4"/>
      <c r="N571" s="4"/>
      <c r="O571"/>
      <c r="P571"/>
      <c r="Q571"/>
      <c r="R571"/>
      <c r="S571"/>
      <c r="T571"/>
      <c r="U571"/>
      <c r="V571"/>
      <c r="W571"/>
      <c r="X571"/>
      <c r="Y571"/>
      <c r="Z571"/>
    </row>
    <row r="572" spans="1:26">
      <c r="A572"/>
      <c r="B572"/>
      <c r="C572"/>
      <c r="D572"/>
      <c r="E572"/>
      <c r="F572"/>
      <c r="G572"/>
      <c r="H572"/>
      <c r="I572"/>
      <c r="J572"/>
      <c r="K572"/>
      <c r="L572"/>
      <c r="M572" s="4"/>
      <c r="N572" s="4"/>
      <c r="O572"/>
      <c r="P572"/>
      <c r="Q572"/>
      <c r="R572"/>
      <c r="S572"/>
      <c r="T572"/>
      <c r="U572"/>
      <c r="V572"/>
      <c r="W572"/>
      <c r="X572"/>
      <c r="Y572"/>
      <c r="Z572"/>
    </row>
    <row r="573" spans="1:26">
      <c r="A573"/>
      <c r="B573"/>
      <c r="C573"/>
      <c r="D573"/>
      <c r="E573"/>
      <c r="F573"/>
      <c r="G573"/>
      <c r="H573"/>
      <c r="I573"/>
      <c r="J573"/>
      <c r="K573"/>
      <c r="L573"/>
      <c r="M573" s="4"/>
      <c r="N573" s="4"/>
      <c r="O573"/>
      <c r="P573"/>
      <c r="Q573"/>
      <c r="R573"/>
      <c r="S573"/>
      <c r="T573"/>
      <c r="U573"/>
      <c r="V573"/>
      <c r="W573"/>
      <c r="X573"/>
      <c r="Y573"/>
      <c r="Z573"/>
    </row>
    <row r="574" spans="1:26">
      <c r="A574"/>
      <c r="B574"/>
      <c r="C574"/>
      <c r="D574"/>
      <c r="E574"/>
      <c r="F574"/>
      <c r="G574"/>
      <c r="H574"/>
      <c r="I574"/>
      <c r="J574"/>
      <c r="K574"/>
      <c r="L574"/>
      <c r="M574" s="4"/>
      <c r="N574" s="4"/>
      <c r="O574"/>
      <c r="P574"/>
      <c r="Q574"/>
      <c r="R574"/>
      <c r="S574"/>
      <c r="T574"/>
      <c r="U574"/>
      <c r="V574"/>
      <c r="W574"/>
      <c r="X574"/>
      <c r="Y574"/>
      <c r="Z574"/>
    </row>
    <row r="575" spans="1:26">
      <c r="A575"/>
      <c r="B575"/>
      <c r="C575"/>
      <c r="D575"/>
      <c r="E575"/>
      <c r="F575"/>
      <c r="G575"/>
      <c r="H575"/>
      <c r="I575"/>
      <c r="J575"/>
      <c r="K575"/>
      <c r="L575"/>
      <c r="M575" s="4"/>
      <c r="N575" s="4"/>
      <c r="O575"/>
      <c r="P575"/>
      <c r="Q575"/>
      <c r="R575"/>
      <c r="S575"/>
      <c r="T575"/>
      <c r="U575"/>
      <c r="V575"/>
      <c r="W575"/>
      <c r="X575"/>
      <c r="Y575"/>
      <c r="Z575"/>
    </row>
    <row r="576" spans="1:26">
      <c r="A576"/>
      <c r="B576"/>
      <c r="C576"/>
      <c r="D576"/>
      <c r="E576"/>
      <c r="F576"/>
      <c r="G576"/>
      <c r="H576"/>
      <c r="I576"/>
      <c r="J576"/>
      <c r="K576"/>
      <c r="L576"/>
      <c r="M576" s="4"/>
      <c r="N576" s="4"/>
      <c r="O576"/>
      <c r="P576"/>
      <c r="Q576"/>
      <c r="R576"/>
      <c r="S576"/>
      <c r="T576"/>
      <c r="U576"/>
      <c r="V576"/>
      <c r="W576"/>
      <c r="X576"/>
      <c r="Y576"/>
      <c r="Z576"/>
    </row>
    <row r="577" spans="1:26">
      <c r="A577"/>
      <c r="B577"/>
      <c r="C577"/>
      <c r="D577"/>
      <c r="E577"/>
      <c r="F577"/>
      <c r="G577"/>
      <c r="H577"/>
      <c r="I577"/>
      <c r="J577"/>
      <c r="K577"/>
      <c r="L577"/>
      <c r="M577" s="4"/>
      <c r="N577" s="4"/>
      <c r="O577"/>
      <c r="P577"/>
      <c r="Q577"/>
      <c r="R577"/>
      <c r="S577"/>
      <c r="T577"/>
      <c r="U577"/>
      <c r="V577"/>
      <c r="W577"/>
      <c r="X577"/>
      <c r="Y577"/>
      <c r="Z577"/>
    </row>
    <row r="578" spans="1:26">
      <c r="A578"/>
      <c r="B578"/>
      <c r="C578"/>
      <c r="D578"/>
      <c r="E578"/>
      <c r="F578"/>
      <c r="G578"/>
      <c r="H578"/>
      <c r="I578"/>
      <c r="J578"/>
      <c r="K578"/>
      <c r="L578"/>
      <c r="M578" s="4"/>
      <c r="N578" s="4"/>
      <c r="O578"/>
      <c r="P578"/>
      <c r="Q578"/>
      <c r="R578"/>
      <c r="S578"/>
      <c r="T578"/>
      <c r="U578"/>
      <c r="V578"/>
      <c r="W578"/>
      <c r="X578"/>
      <c r="Y578"/>
      <c r="Z578"/>
    </row>
    <row r="579" spans="1:26">
      <c r="A579"/>
      <c r="B579"/>
      <c r="C579"/>
      <c r="D579"/>
      <c r="E579"/>
      <c r="F579"/>
      <c r="G579"/>
      <c r="H579"/>
      <c r="I579"/>
      <c r="J579"/>
      <c r="K579"/>
      <c r="L579"/>
      <c r="M579" s="4"/>
      <c r="N579" s="4"/>
      <c r="O579"/>
      <c r="P579"/>
      <c r="Q579"/>
      <c r="R579"/>
      <c r="S579"/>
      <c r="T579"/>
      <c r="U579"/>
      <c r="V579"/>
      <c r="W579"/>
      <c r="X579"/>
      <c r="Y579"/>
      <c r="Z579"/>
    </row>
    <row r="580" spans="1:26">
      <c r="A580"/>
      <c r="B580"/>
      <c r="C580"/>
      <c r="D580"/>
      <c r="E580"/>
      <c r="F580"/>
      <c r="G580"/>
      <c r="H580"/>
      <c r="I580"/>
      <c r="J580"/>
      <c r="K580"/>
      <c r="L580"/>
      <c r="M580" s="4"/>
      <c r="N580" s="4"/>
      <c r="O580"/>
      <c r="P580"/>
      <c r="Q580"/>
      <c r="R580"/>
      <c r="S580"/>
      <c r="T580"/>
      <c r="U580"/>
      <c r="V580"/>
      <c r="W580"/>
      <c r="X580"/>
      <c r="Y580"/>
      <c r="Z580"/>
    </row>
    <row r="581" spans="1:26">
      <c r="A581"/>
      <c r="B581"/>
      <c r="C581"/>
      <c r="D581"/>
      <c r="E581"/>
      <c r="F581"/>
      <c r="G581"/>
      <c r="H581"/>
      <c r="I581"/>
      <c r="J581"/>
      <c r="K581"/>
      <c r="L581"/>
      <c r="M581" s="4"/>
      <c r="N581" s="4"/>
      <c r="O581"/>
      <c r="P581"/>
      <c r="Q581"/>
      <c r="R581"/>
      <c r="S581"/>
      <c r="T581"/>
      <c r="U581"/>
      <c r="V581"/>
      <c r="W581"/>
      <c r="X581"/>
      <c r="Y581"/>
      <c r="Z581"/>
    </row>
    <row r="582" spans="1:26">
      <c r="A582"/>
      <c r="B582"/>
      <c r="C582"/>
      <c r="D582"/>
      <c r="E582"/>
      <c r="F582"/>
      <c r="G582"/>
      <c r="H582"/>
      <c r="I582"/>
      <c r="J582"/>
      <c r="K582"/>
      <c r="L582"/>
      <c r="M582" s="4"/>
      <c r="N582" s="4"/>
      <c r="O582"/>
      <c r="P582"/>
      <c r="Q582"/>
      <c r="R582"/>
      <c r="S582"/>
      <c r="T582"/>
      <c r="U582"/>
      <c r="V582"/>
      <c r="W582"/>
      <c r="X582"/>
      <c r="Y582"/>
      <c r="Z582"/>
    </row>
    <row r="583" spans="1:26">
      <c r="A583"/>
      <c r="B583"/>
      <c r="C583"/>
      <c r="D583"/>
      <c r="E583"/>
      <c r="F583"/>
      <c r="G583"/>
      <c r="H583"/>
      <c r="I583"/>
      <c r="J583"/>
      <c r="K583"/>
      <c r="L583"/>
      <c r="M583" s="4"/>
      <c r="N583" s="4"/>
      <c r="O583"/>
      <c r="P583"/>
      <c r="Q583"/>
      <c r="R583"/>
      <c r="S583"/>
      <c r="T583"/>
      <c r="U583"/>
      <c r="V583"/>
      <c r="W583"/>
      <c r="X583"/>
      <c r="Y583"/>
      <c r="Z583"/>
    </row>
    <row r="584" spans="1:26">
      <c r="A584"/>
      <c r="B584"/>
      <c r="C584"/>
      <c r="D584"/>
      <c r="E584"/>
      <c r="F584"/>
      <c r="G584"/>
      <c r="H584"/>
      <c r="I584"/>
      <c r="J584"/>
      <c r="K584"/>
      <c r="L584"/>
      <c r="M584" s="4"/>
      <c r="N584" s="4"/>
      <c r="O584"/>
      <c r="P584"/>
      <c r="Q584"/>
      <c r="R584"/>
      <c r="S584"/>
      <c r="T584"/>
      <c r="U584"/>
      <c r="V584"/>
      <c r="W584"/>
      <c r="X584"/>
      <c r="Y584"/>
      <c r="Z584"/>
    </row>
    <row r="585" spans="1:26">
      <c r="A585"/>
      <c r="B585"/>
      <c r="C585"/>
      <c r="D585"/>
      <c r="E585"/>
      <c r="F585"/>
      <c r="G585"/>
      <c r="H585"/>
      <c r="I585"/>
      <c r="J585"/>
      <c r="K585"/>
      <c r="L585"/>
      <c r="M585" s="4"/>
      <c r="N585" s="4"/>
      <c r="O585"/>
      <c r="P585"/>
      <c r="Q585"/>
      <c r="R585"/>
      <c r="S585"/>
      <c r="T585"/>
      <c r="U585"/>
      <c r="V585"/>
      <c r="W585"/>
      <c r="X585"/>
      <c r="Y585"/>
      <c r="Z585"/>
    </row>
    <row r="586" spans="1:26">
      <c r="A586"/>
      <c r="B586"/>
      <c r="C586"/>
      <c r="D586"/>
      <c r="E586"/>
      <c r="F586"/>
      <c r="G586"/>
      <c r="H586"/>
      <c r="I586"/>
      <c r="J586"/>
      <c r="K586"/>
      <c r="L586"/>
      <c r="M586" s="4"/>
      <c r="N586" s="4"/>
      <c r="O586"/>
      <c r="P586"/>
      <c r="Q586"/>
      <c r="R586"/>
      <c r="S586"/>
      <c r="T586"/>
      <c r="U586"/>
      <c r="V586"/>
      <c r="W586"/>
      <c r="X586"/>
      <c r="Y586"/>
      <c r="Z586"/>
    </row>
    <row r="587" spans="1:26">
      <c r="A587"/>
      <c r="B587"/>
      <c r="C587"/>
      <c r="D587"/>
      <c r="E587"/>
      <c r="F587"/>
      <c r="G587"/>
      <c r="H587"/>
      <c r="I587"/>
      <c r="J587"/>
      <c r="K587"/>
      <c r="L587"/>
      <c r="M587" s="4"/>
      <c r="N587" s="4"/>
      <c r="O587"/>
      <c r="P587"/>
      <c r="Q587"/>
      <c r="R587"/>
      <c r="S587"/>
      <c r="T587"/>
      <c r="U587"/>
      <c r="V587"/>
      <c r="W587"/>
      <c r="X587"/>
      <c r="Y587"/>
      <c r="Z587"/>
    </row>
    <row r="588" spans="1:26">
      <c r="A588"/>
      <c r="B588"/>
      <c r="C588"/>
      <c r="D588"/>
      <c r="E588"/>
      <c r="F588"/>
      <c r="G588"/>
      <c r="H588"/>
      <c r="I588"/>
      <c r="J588"/>
      <c r="K588"/>
      <c r="L588"/>
      <c r="M588" s="4"/>
      <c r="N588" s="4"/>
      <c r="O588"/>
      <c r="P588"/>
      <c r="Q588"/>
      <c r="R588"/>
      <c r="S588"/>
      <c r="T588"/>
      <c r="U588"/>
      <c r="V588"/>
      <c r="W588"/>
      <c r="X588"/>
      <c r="Y588"/>
      <c r="Z588"/>
    </row>
    <row r="589" spans="1:26">
      <c r="A589"/>
      <c r="B589"/>
      <c r="C589"/>
      <c r="D589"/>
      <c r="E589"/>
      <c r="F589"/>
      <c r="G589"/>
      <c r="H589"/>
      <c r="I589"/>
      <c r="J589"/>
      <c r="K589"/>
      <c r="L589"/>
      <c r="M589" s="4"/>
      <c r="N589" s="4"/>
      <c r="O589"/>
      <c r="P589"/>
      <c r="Q589"/>
      <c r="R589"/>
      <c r="S589"/>
      <c r="T589"/>
      <c r="U589"/>
      <c r="V589"/>
      <c r="W589"/>
      <c r="X589"/>
      <c r="Y589"/>
      <c r="Z589"/>
    </row>
    <row r="590" spans="1:26">
      <c r="A590"/>
      <c r="B590"/>
      <c r="C590"/>
      <c r="D590"/>
      <c r="E590"/>
      <c r="F590"/>
      <c r="G590"/>
      <c r="H590"/>
      <c r="I590"/>
      <c r="J590"/>
      <c r="K590"/>
      <c r="L590"/>
      <c r="M590" s="4"/>
      <c r="N590" s="4"/>
      <c r="O590"/>
      <c r="P590"/>
      <c r="Q590"/>
      <c r="R590"/>
      <c r="S590"/>
      <c r="T590"/>
      <c r="U590"/>
      <c r="V590"/>
      <c r="W590"/>
      <c r="X590"/>
      <c r="Y590"/>
      <c r="Z590"/>
    </row>
    <row r="591" spans="1:26">
      <c r="A591"/>
      <c r="B591"/>
      <c r="C591"/>
      <c r="D591"/>
      <c r="E591"/>
      <c r="F591"/>
      <c r="G591"/>
      <c r="H591"/>
      <c r="I591"/>
      <c r="J591"/>
      <c r="K591"/>
      <c r="L591"/>
      <c r="M591" s="4"/>
      <c r="N591" s="4"/>
      <c r="O591"/>
      <c r="P591"/>
      <c r="Q591"/>
      <c r="R591"/>
      <c r="S591"/>
      <c r="T591"/>
      <c r="U591"/>
      <c r="V591"/>
      <c r="W591"/>
      <c r="X591"/>
      <c r="Y591"/>
      <c r="Z591"/>
    </row>
    <row r="592" spans="1:26">
      <c r="A592"/>
      <c r="B592"/>
      <c r="C592"/>
      <c r="D592"/>
      <c r="E592"/>
      <c r="F592"/>
      <c r="G592"/>
      <c r="H592"/>
      <c r="I592"/>
      <c r="J592"/>
      <c r="K592"/>
      <c r="L592"/>
      <c r="M592" s="4"/>
      <c r="N592" s="4"/>
      <c r="O592"/>
      <c r="P592"/>
      <c r="Q592"/>
      <c r="R592"/>
      <c r="S592"/>
      <c r="T592"/>
      <c r="U592"/>
      <c r="V592"/>
      <c r="W592"/>
      <c r="X592"/>
      <c r="Y592"/>
      <c r="Z592"/>
    </row>
    <row r="593" spans="1:26">
      <c r="A593"/>
      <c r="B593"/>
      <c r="C593"/>
      <c r="D593"/>
      <c r="E593"/>
      <c r="F593"/>
      <c r="G593"/>
      <c r="H593"/>
      <c r="I593"/>
      <c r="J593"/>
      <c r="K593"/>
      <c r="L593"/>
      <c r="M593" s="4"/>
      <c r="N593" s="4"/>
      <c r="O593"/>
      <c r="P593"/>
      <c r="Q593"/>
      <c r="R593"/>
      <c r="S593"/>
      <c r="T593"/>
      <c r="U593"/>
      <c r="V593"/>
      <c r="W593"/>
      <c r="X593"/>
      <c r="Y593"/>
      <c r="Z593"/>
    </row>
    <row r="594" spans="1:26">
      <c r="A594"/>
      <c r="B594"/>
      <c r="C594"/>
      <c r="D594"/>
      <c r="E594"/>
      <c r="F594"/>
      <c r="G594"/>
      <c r="H594"/>
      <c r="I594"/>
      <c r="J594"/>
      <c r="K594"/>
      <c r="L594"/>
      <c r="M594" s="4"/>
      <c r="N594" s="4"/>
      <c r="O594"/>
      <c r="P594"/>
      <c r="Q594"/>
      <c r="R594"/>
      <c r="S594"/>
      <c r="T594"/>
      <c r="U594"/>
      <c r="V594"/>
      <c r="W594"/>
      <c r="X594"/>
      <c r="Y594"/>
      <c r="Z594"/>
    </row>
    <row r="595" spans="1:26">
      <c r="A595"/>
      <c r="B595"/>
      <c r="C595"/>
      <c r="D595"/>
      <c r="E595"/>
      <c r="F595"/>
      <c r="G595"/>
      <c r="H595"/>
      <c r="I595"/>
      <c r="J595"/>
      <c r="K595"/>
      <c r="L595"/>
      <c r="M595" s="4"/>
      <c r="N595" s="4"/>
      <c r="O595"/>
      <c r="P595"/>
      <c r="Q595"/>
      <c r="R595"/>
      <c r="S595"/>
      <c r="T595"/>
      <c r="U595"/>
      <c r="V595"/>
      <c r="W595"/>
      <c r="X595"/>
      <c r="Y595"/>
      <c r="Z595"/>
    </row>
    <row r="596" spans="1:26">
      <c r="A596"/>
      <c r="B596"/>
      <c r="C596"/>
      <c r="D596"/>
      <c r="E596"/>
      <c r="F596"/>
      <c r="G596"/>
      <c r="H596"/>
      <c r="I596"/>
      <c r="J596"/>
      <c r="K596"/>
      <c r="L596"/>
      <c r="M596" s="4"/>
      <c r="N596" s="4"/>
      <c r="O596"/>
      <c r="P596"/>
      <c r="Q596"/>
      <c r="R596"/>
      <c r="S596"/>
      <c r="T596"/>
      <c r="U596"/>
      <c r="V596"/>
      <c r="W596"/>
      <c r="X596"/>
      <c r="Y596"/>
      <c r="Z596"/>
    </row>
    <row r="597" spans="1:26">
      <c r="A597"/>
      <c r="B597"/>
      <c r="C597"/>
      <c r="D597"/>
      <c r="E597"/>
      <c r="F597"/>
      <c r="G597"/>
      <c r="H597"/>
      <c r="I597"/>
      <c r="J597"/>
      <c r="K597"/>
      <c r="L597"/>
      <c r="M597" s="4"/>
      <c r="N597" s="4"/>
      <c r="O597"/>
      <c r="P597"/>
      <c r="Q597"/>
      <c r="R597"/>
      <c r="S597"/>
      <c r="T597"/>
      <c r="U597"/>
      <c r="V597"/>
      <c r="W597"/>
      <c r="X597"/>
      <c r="Y597"/>
      <c r="Z597"/>
    </row>
    <row r="598" spans="1:26">
      <c r="A598"/>
      <c r="B598"/>
      <c r="C598"/>
      <c r="D598"/>
      <c r="E598"/>
      <c r="F598"/>
      <c r="G598"/>
      <c r="H598"/>
      <c r="I598"/>
      <c r="J598"/>
      <c r="K598"/>
      <c r="L598"/>
      <c r="M598" s="4"/>
      <c r="N598" s="4"/>
      <c r="O598"/>
      <c r="P598"/>
      <c r="Q598"/>
      <c r="R598"/>
      <c r="S598"/>
      <c r="T598"/>
      <c r="U598"/>
      <c r="V598"/>
      <c r="W598"/>
      <c r="X598"/>
      <c r="Y598"/>
      <c r="Z598"/>
    </row>
    <row r="599" spans="1:26">
      <c r="A599"/>
      <c r="B599"/>
      <c r="C599"/>
      <c r="D599"/>
      <c r="E599"/>
      <c r="F599"/>
      <c r="G599"/>
      <c r="H599"/>
      <c r="I599"/>
      <c r="J599"/>
      <c r="K599"/>
      <c r="L599"/>
      <c r="M599" s="4"/>
      <c r="N599" s="4"/>
      <c r="O599"/>
      <c r="P599"/>
      <c r="Q599"/>
      <c r="R599"/>
      <c r="S599"/>
      <c r="T599"/>
      <c r="U599"/>
      <c r="V599"/>
      <c r="W599"/>
      <c r="X599"/>
      <c r="Y599"/>
      <c r="Z599"/>
    </row>
    <row r="600" spans="1:26">
      <c r="A600"/>
      <c r="B600"/>
      <c r="C600"/>
      <c r="D600"/>
      <c r="E600"/>
      <c r="F600"/>
      <c r="G600"/>
      <c r="H600"/>
      <c r="I600"/>
      <c r="J600"/>
      <c r="K600"/>
      <c r="L600"/>
      <c r="M600" s="4"/>
      <c r="N600" s="4"/>
      <c r="O600"/>
      <c r="P600"/>
      <c r="Q600"/>
      <c r="R600"/>
      <c r="S600"/>
      <c r="T600"/>
      <c r="U600"/>
      <c r="V600"/>
      <c r="W600"/>
      <c r="X600"/>
      <c r="Y600"/>
      <c r="Z600"/>
    </row>
    <row r="601" spans="1:26">
      <c r="A601"/>
      <c r="B601"/>
      <c r="C601"/>
      <c r="D601"/>
      <c r="E601"/>
      <c r="F601"/>
      <c r="G601"/>
      <c r="H601"/>
      <c r="I601"/>
      <c r="J601"/>
      <c r="K601"/>
      <c r="L601"/>
      <c r="M601" s="4"/>
      <c r="N601" s="4"/>
      <c r="O601"/>
      <c r="P601"/>
      <c r="Q601"/>
      <c r="R601"/>
      <c r="S601"/>
      <c r="T601"/>
      <c r="U601"/>
      <c r="V601"/>
      <c r="W601"/>
      <c r="X601"/>
      <c r="Y601"/>
      <c r="Z601"/>
    </row>
    <row r="602" spans="1:26">
      <c r="A602"/>
      <c r="B602"/>
      <c r="C602"/>
      <c r="D602"/>
      <c r="E602"/>
      <c r="F602"/>
      <c r="G602"/>
      <c r="H602"/>
      <c r="I602"/>
      <c r="J602"/>
      <c r="K602"/>
      <c r="L602"/>
      <c r="M602" s="4"/>
      <c r="N602" s="4"/>
      <c r="O602"/>
      <c r="P602"/>
      <c r="Q602"/>
      <c r="R602"/>
      <c r="S602"/>
      <c r="T602"/>
      <c r="U602"/>
      <c r="V602"/>
      <c r="W602"/>
      <c r="X602"/>
      <c r="Y602"/>
      <c r="Z602"/>
    </row>
    <row r="603" spans="1:26">
      <c r="A603"/>
      <c r="B603"/>
      <c r="C603"/>
      <c r="D603"/>
      <c r="E603"/>
      <c r="F603"/>
      <c r="G603"/>
      <c r="H603"/>
      <c r="I603"/>
      <c r="J603"/>
      <c r="K603"/>
      <c r="L603"/>
      <c r="M603" s="4"/>
      <c r="N603" s="4"/>
      <c r="O603"/>
      <c r="P603"/>
      <c r="Q603"/>
      <c r="R603"/>
      <c r="S603"/>
      <c r="T603"/>
      <c r="U603"/>
      <c r="V603"/>
      <c r="W603"/>
      <c r="X603"/>
      <c r="Y603"/>
      <c r="Z603"/>
    </row>
    <row r="604" spans="1:26">
      <c r="A604"/>
      <c r="B604"/>
      <c r="C604"/>
      <c r="D604"/>
      <c r="E604"/>
      <c r="F604"/>
      <c r="G604"/>
      <c r="H604"/>
      <c r="I604"/>
      <c r="J604"/>
      <c r="K604"/>
      <c r="L604"/>
      <c r="M604" s="4"/>
      <c r="N604" s="4"/>
      <c r="O604"/>
      <c r="P604"/>
      <c r="Q604"/>
      <c r="R604"/>
      <c r="S604"/>
      <c r="T604"/>
      <c r="U604"/>
      <c r="V604"/>
      <c r="W604"/>
      <c r="X604"/>
      <c r="Y604"/>
      <c r="Z604"/>
    </row>
    <row r="605" spans="1:26">
      <c r="A605"/>
      <c r="B605"/>
      <c r="C605"/>
      <c r="D605"/>
      <c r="E605"/>
      <c r="F605"/>
      <c r="G605"/>
      <c r="H605"/>
      <c r="I605"/>
      <c r="J605"/>
      <c r="K605"/>
      <c r="L605"/>
      <c r="M605" s="4"/>
      <c r="N605" s="4"/>
      <c r="O605"/>
      <c r="P605"/>
      <c r="Q605"/>
      <c r="R605"/>
      <c r="S605"/>
      <c r="T605"/>
      <c r="U605"/>
      <c r="V605"/>
      <c r="W605"/>
      <c r="X605"/>
      <c r="Y605"/>
      <c r="Z605"/>
    </row>
    <row r="606" spans="1:26">
      <c r="A606"/>
      <c r="B606"/>
      <c r="C606"/>
      <c r="D606"/>
      <c r="E606"/>
      <c r="F606"/>
      <c r="G606"/>
      <c r="H606"/>
      <c r="I606"/>
      <c r="J606"/>
      <c r="K606"/>
      <c r="L606"/>
      <c r="M606" s="4"/>
      <c r="N606" s="4"/>
      <c r="O606"/>
      <c r="P606"/>
      <c r="Q606"/>
      <c r="R606"/>
      <c r="S606"/>
      <c r="T606"/>
      <c r="U606"/>
      <c r="V606"/>
      <c r="W606"/>
      <c r="X606"/>
      <c r="Y606"/>
      <c r="Z606"/>
    </row>
    <row r="607" spans="1:26">
      <c r="A607"/>
      <c r="B607"/>
      <c r="C607"/>
      <c r="D607"/>
      <c r="E607"/>
      <c r="F607"/>
      <c r="G607"/>
      <c r="H607"/>
      <c r="I607"/>
      <c r="J607"/>
      <c r="K607"/>
      <c r="L607"/>
      <c r="M607" s="4"/>
      <c r="N607" s="4"/>
      <c r="O607"/>
      <c r="P607"/>
      <c r="Q607"/>
      <c r="R607"/>
      <c r="S607"/>
      <c r="T607"/>
      <c r="U607"/>
      <c r="V607"/>
      <c r="W607"/>
      <c r="X607"/>
      <c r="Y607"/>
      <c r="Z607"/>
    </row>
    <row r="608" spans="1:26">
      <c r="A608"/>
      <c r="B608"/>
      <c r="C608"/>
      <c r="D608"/>
      <c r="E608"/>
      <c r="F608"/>
      <c r="G608"/>
      <c r="H608"/>
      <c r="I608"/>
      <c r="J608"/>
      <c r="K608"/>
      <c r="L608"/>
      <c r="M608" s="4"/>
      <c r="N608" s="4"/>
      <c r="O608"/>
      <c r="P608"/>
      <c r="Q608"/>
      <c r="R608"/>
      <c r="S608"/>
      <c r="T608"/>
      <c r="U608"/>
      <c r="V608"/>
      <c r="W608"/>
      <c r="X608"/>
      <c r="Y608"/>
      <c r="Z608"/>
    </row>
    <row r="609" spans="1:26">
      <c r="A609"/>
      <c r="B609"/>
      <c r="C609"/>
      <c r="D609"/>
      <c r="E609"/>
      <c r="F609"/>
      <c r="G609"/>
      <c r="H609"/>
      <c r="I609"/>
      <c r="J609"/>
      <c r="K609"/>
      <c r="L609"/>
      <c r="M609" s="4"/>
      <c r="N609" s="4"/>
      <c r="O609"/>
      <c r="P609"/>
      <c r="Q609"/>
      <c r="R609"/>
      <c r="S609"/>
      <c r="T609"/>
      <c r="U609"/>
      <c r="V609"/>
      <c r="W609"/>
      <c r="X609"/>
      <c r="Y609"/>
      <c r="Z609"/>
    </row>
    <row r="610" spans="1:26">
      <c r="A610"/>
      <c r="B610"/>
      <c r="C610"/>
      <c r="D610"/>
      <c r="E610"/>
      <c r="F610"/>
      <c r="G610"/>
      <c r="H610"/>
      <c r="I610"/>
      <c r="J610"/>
      <c r="K610"/>
      <c r="L610"/>
      <c r="M610" s="4"/>
      <c r="N610" s="4"/>
      <c r="O610"/>
      <c r="P610"/>
      <c r="Q610"/>
      <c r="R610"/>
      <c r="S610"/>
      <c r="T610"/>
      <c r="U610"/>
      <c r="V610"/>
      <c r="W610"/>
      <c r="X610"/>
      <c r="Y610"/>
      <c r="Z610"/>
    </row>
    <row r="611" spans="1:26">
      <c r="A611"/>
      <c r="B611"/>
      <c r="C611"/>
      <c r="D611"/>
      <c r="E611"/>
      <c r="F611"/>
      <c r="G611"/>
      <c r="H611"/>
      <c r="I611"/>
      <c r="J611"/>
      <c r="K611"/>
      <c r="L611"/>
      <c r="M611" s="4"/>
      <c r="N611" s="4"/>
      <c r="O611"/>
      <c r="P611"/>
      <c r="Q611"/>
      <c r="R611"/>
      <c r="S611"/>
      <c r="T611"/>
      <c r="U611"/>
      <c r="V611"/>
      <c r="W611"/>
      <c r="X611"/>
      <c r="Y611"/>
      <c r="Z611"/>
    </row>
    <row r="612" spans="1:26">
      <c r="A612"/>
      <c r="B612"/>
      <c r="C612"/>
      <c r="D612"/>
      <c r="E612"/>
      <c r="F612"/>
      <c r="G612"/>
      <c r="H612"/>
      <c r="I612"/>
      <c r="J612"/>
      <c r="K612"/>
      <c r="L612"/>
      <c r="M612" s="4"/>
      <c r="N612" s="4"/>
      <c r="O612"/>
      <c r="P612"/>
      <c r="Q612"/>
      <c r="R612"/>
      <c r="S612"/>
      <c r="T612"/>
      <c r="U612"/>
      <c r="V612"/>
      <c r="W612"/>
      <c r="X612"/>
      <c r="Y612"/>
      <c r="Z612"/>
    </row>
    <row r="613" spans="1:26">
      <c r="A613"/>
      <c r="B613"/>
      <c r="C613"/>
      <c r="D613"/>
      <c r="E613"/>
      <c r="F613"/>
      <c r="G613"/>
      <c r="H613"/>
      <c r="I613"/>
      <c r="J613"/>
      <c r="K613"/>
      <c r="L613"/>
      <c r="M613" s="4"/>
      <c r="N613" s="4"/>
      <c r="O613"/>
      <c r="P613"/>
      <c r="Q613"/>
      <c r="R613"/>
      <c r="S613"/>
      <c r="T613"/>
      <c r="U613"/>
      <c r="V613"/>
      <c r="W613"/>
      <c r="X613"/>
      <c r="Y613"/>
      <c r="Z613"/>
    </row>
    <row r="614" spans="1:26">
      <c r="A614"/>
      <c r="B614"/>
      <c r="C614"/>
      <c r="D614"/>
      <c r="E614"/>
      <c r="F614"/>
      <c r="G614"/>
      <c r="H614"/>
      <c r="I614"/>
      <c r="J614"/>
      <c r="K614"/>
      <c r="L614"/>
      <c r="M614" s="4"/>
      <c r="N614" s="4"/>
      <c r="O614"/>
      <c r="P614"/>
      <c r="Q614"/>
      <c r="R614"/>
      <c r="S614"/>
      <c r="T614"/>
      <c r="U614"/>
      <c r="V614"/>
      <c r="W614"/>
      <c r="X614"/>
      <c r="Y614"/>
      <c r="Z614"/>
    </row>
    <row r="615" spans="1:26">
      <c r="A615"/>
      <c r="B615"/>
      <c r="C615"/>
      <c r="D615"/>
      <c r="E615"/>
      <c r="F615"/>
      <c r="G615"/>
      <c r="H615"/>
      <c r="I615"/>
      <c r="J615"/>
      <c r="K615"/>
      <c r="L615"/>
      <c r="M615" s="4"/>
      <c r="N615" s="4"/>
      <c r="O615"/>
      <c r="P615"/>
      <c r="Q615"/>
      <c r="R615"/>
      <c r="S615"/>
      <c r="T615"/>
      <c r="U615"/>
      <c r="V615"/>
      <c r="W615"/>
      <c r="X615"/>
      <c r="Y615"/>
      <c r="Z615"/>
    </row>
    <row r="616" spans="1:26">
      <c r="A616"/>
      <c r="B616"/>
      <c r="C616"/>
      <c r="D616"/>
      <c r="E616"/>
      <c r="F616"/>
      <c r="G616"/>
      <c r="H616"/>
      <c r="I616"/>
      <c r="J616"/>
      <c r="K616"/>
      <c r="L616"/>
      <c r="M616" s="4"/>
      <c r="N616" s="4"/>
      <c r="O616"/>
      <c r="P616"/>
      <c r="Q616"/>
      <c r="R616"/>
      <c r="S616"/>
      <c r="T616"/>
      <c r="U616"/>
      <c r="V616"/>
      <c r="W616"/>
      <c r="X616"/>
      <c r="Y616"/>
      <c r="Z616"/>
    </row>
    <row r="617" spans="1:26">
      <c r="A617"/>
      <c r="B617"/>
      <c r="C617"/>
      <c r="D617"/>
      <c r="E617"/>
      <c r="F617"/>
      <c r="G617"/>
      <c r="H617"/>
      <c r="I617"/>
      <c r="J617"/>
      <c r="K617"/>
      <c r="L617"/>
      <c r="M617" s="4"/>
      <c r="N617" s="4"/>
      <c r="O617"/>
      <c r="P617"/>
      <c r="Q617"/>
      <c r="R617"/>
      <c r="S617"/>
      <c r="T617"/>
      <c r="U617"/>
      <c r="V617"/>
      <c r="W617"/>
      <c r="X617"/>
      <c r="Y617"/>
      <c r="Z617"/>
    </row>
    <row r="618" spans="1:26">
      <c r="A618"/>
      <c r="B618"/>
      <c r="C618"/>
      <c r="D618"/>
      <c r="E618"/>
      <c r="F618"/>
      <c r="G618"/>
      <c r="H618"/>
      <c r="I618"/>
      <c r="J618"/>
      <c r="K618"/>
      <c r="L618"/>
      <c r="M618" s="4"/>
      <c r="N618" s="4"/>
      <c r="O618"/>
      <c r="P618"/>
      <c r="Q618"/>
      <c r="R618"/>
      <c r="S618"/>
      <c r="T618"/>
      <c r="U618"/>
      <c r="V618"/>
      <c r="W618"/>
      <c r="X618"/>
      <c r="Y618"/>
      <c r="Z618"/>
    </row>
    <row r="619" spans="1:26">
      <c r="A619"/>
      <c r="B619"/>
      <c r="C619"/>
      <c r="D619"/>
      <c r="E619"/>
      <c r="F619"/>
      <c r="G619"/>
      <c r="H619"/>
      <c r="I619"/>
      <c r="J619"/>
      <c r="K619"/>
      <c r="L619"/>
      <c r="M619" s="4"/>
      <c r="N619" s="4"/>
      <c r="O619"/>
      <c r="P619"/>
      <c r="Q619"/>
      <c r="R619"/>
      <c r="S619"/>
      <c r="T619"/>
      <c r="U619"/>
      <c r="V619"/>
      <c r="W619"/>
      <c r="X619"/>
      <c r="Y619"/>
      <c r="Z619"/>
    </row>
    <row r="620" spans="1:26">
      <c r="A620"/>
      <c r="B620"/>
      <c r="C620"/>
      <c r="D620"/>
      <c r="E620"/>
      <c r="F620"/>
      <c r="G620"/>
      <c r="H620"/>
      <c r="I620"/>
      <c r="J620"/>
      <c r="K620"/>
      <c r="L620"/>
      <c r="M620" s="4"/>
      <c r="N620" s="4"/>
      <c r="O620"/>
      <c r="P620"/>
      <c r="Q620"/>
      <c r="R620"/>
      <c r="S620"/>
      <c r="T620"/>
      <c r="U620"/>
      <c r="V620"/>
      <c r="W620"/>
      <c r="X620"/>
      <c r="Y620"/>
      <c r="Z620"/>
    </row>
    <row r="621" spans="1:26">
      <c r="A621"/>
      <c r="B621"/>
      <c r="C621"/>
      <c r="D621"/>
      <c r="E621"/>
      <c r="F621"/>
      <c r="G621"/>
      <c r="H621"/>
      <c r="I621"/>
      <c r="J621"/>
      <c r="K621"/>
      <c r="L621"/>
      <c r="M621" s="4"/>
      <c r="N621" s="4"/>
      <c r="O621"/>
      <c r="P621"/>
      <c r="Q621"/>
      <c r="R621"/>
      <c r="S621"/>
      <c r="T621"/>
      <c r="U621"/>
      <c r="V621"/>
      <c r="W621"/>
      <c r="X621"/>
      <c r="Y621"/>
      <c r="Z621"/>
    </row>
    <row r="622" spans="1:26">
      <c r="A622"/>
      <c r="B622"/>
      <c r="C622"/>
      <c r="D622"/>
      <c r="E622"/>
      <c r="F622"/>
      <c r="G622"/>
      <c r="H622"/>
      <c r="I622"/>
      <c r="J622"/>
      <c r="K622"/>
      <c r="L622"/>
      <c r="M622" s="4"/>
      <c r="N622" s="4"/>
      <c r="O622"/>
      <c r="P622"/>
      <c r="Q622"/>
      <c r="R622"/>
      <c r="S622"/>
      <c r="T622"/>
      <c r="U622"/>
      <c r="V622"/>
      <c r="W622"/>
      <c r="X622"/>
      <c r="Y622"/>
      <c r="Z622"/>
    </row>
    <row r="623" spans="1:26">
      <c r="A623"/>
      <c r="B623"/>
      <c r="C623"/>
      <c r="D623"/>
      <c r="E623"/>
      <c r="F623"/>
      <c r="G623"/>
      <c r="H623"/>
      <c r="I623"/>
      <c r="J623"/>
      <c r="K623"/>
      <c r="L623"/>
      <c r="M623" s="4"/>
      <c r="N623" s="4"/>
      <c r="O623"/>
      <c r="P623"/>
      <c r="Q623"/>
      <c r="R623"/>
      <c r="S623"/>
      <c r="T623"/>
      <c r="U623"/>
      <c r="V623"/>
      <c r="W623"/>
      <c r="X623"/>
      <c r="Y623"/>
      <c r="Z623"/>
    </row>
    <row r="624" spans="1:26">
      <c r="A624"/>
      <c r="B624"/>
      <c r="C624"/>
      <c r="D624"/>
      <c r="E624"/>
      <c r="F624"/>
      <c r="G624"/>
      <c r="H624"/>
      <c r="I624"/>
      <c r="J624"/>
      <c r="K624"/>
      <c r="L624"/>
      <c r="M624" s="4"/>
      <c r="N624" s="4"/>
      <c r="O624"/>
      <c r="P624"/>
      <c r="Q624"/>
      <c r="R624"/>
      <c r="S624"/>
      <c r="T624"/>
      <c r="U624"/>
      <c r="V624"/>
      <c r="W624"/>
      <c r="X624"/>
      <c r="Y624"/>
      <c r="Z624"/>
    </row>
    <row r="625" spans="1:26">
      <c r="A625"/>
      <c r="B625"/>
      <c r="C625"/>
      <c r="D625"/>
      <c r="E625"/>
      <c r="F625"/>
      <c r="G625"/>
      <c r="H625"/>
      <c r="I625"/>
      <c r="J625"/>
      <c r="K625"/>
      <c r="L625"/>
      <c r="M625" s="4"/>
      <c r="N625" s="4"/>
      <c r="O625"/>
      <c r="P625"/>
      <c r="Q625"/>
      <c r="R625"/>
      <c r="S625"/>
      <c r="T625"/>
      <c r="U625"/>
      <c r="V625"/>
      <c r="W625"/>
      <c r="X625"/>
      <c r="Y625"/>
      <c r="Z625"/>
    </row>
    <row r="626" spans="1:26">
      <c r="A626"/>
      <c r="B626"/>
      <c r="C626"/>
      <c r="D626"/>
      <c r="E626"/>
      <c r="F626"/>
      <c r="G626"/>
      <c r="H626"/>
      <c r="I626"/>
      <c r="J626"/>
      <c r="K626"/>
      <c r="L626"/>
      <c r="M626" s="4"/>
      <c r="N626" s="4"/>
      <c r="O626"/>
      <c r="P626"/>
      <c r="Q626"/>
      <c r="R626"/>
      <c r="S626"/>
      <c r="T626"/>
      <c r="U626"/>
      <c r="V626"/>
      <c r="W626"/>
      <c r="X626"/>
      <c r="Y626"/>
      <c r="Z626"/>
    </row>
    <row r="627" spans="1:26">
      <c r="A627"/>
      <c r="B627"/>
      <c r="C627"/>
      <c r="D627"/>
      <c r="E627"/>
      <c r="F627"/>
      <c r="G627"/>
      <c r="H627"/>
      <c r="I627"/>
      <c r="J627"/>
      <c r="K627"/>
      <c r="L627"/>
      <c r="M627" s="4"/>
      <c r="N627" s="4"/>
      <c r="O627"/>
      <c r="P627"/>
      <c r="Q627"/>
      <c r="R627"/>
      <c r="S627"/>
      <c r="T627"/>
      <c r="U627"/>
      <c r="V627"/>
      <c r="W627"/>
      <c r="X627"/>
      <c r="Y627"/>
      <c r="Z627"/>
    </row>
    <row r="628" spans="1:26">
      <c r="A628"/>
      <c r="B628"/>
      <c r="C628"/>
      <c r="D628"/>
      <c r="E628"/>
      <c r="F628"/>
      <c r="G628"/>
      <c r="H628"/>
      <c r="I628"/>
      <c r="J628"/>
      <c r="K628"/>
      <c r="L628"/>
      <c r="M628" s="4"/>
      <c r="N628" s="4"/>
      <c r="O628"/>
      <c r="P628"/>
      <c r="Q628"/>
      <c r="R628"/>
      <c r="S628"/>
      <c r="T628"/>
      <c r="U628"/>
      <c r="V628"/>
      <c r="W628"/>
      <c r="X628"/>
      <c r="Y628"/>
      <c r="Z628"/>
    </row>
    <row r="629" spans="1:26">
      <c r="A629"/>
      <c r="B629"/>
      <c r="C629"/>
      <c r="D629"/>
      <c r="E629"/>
      <c r="F629"/>
      <c r="G629"/>
      <c r="H629"/>
      <c r="I629"/>
      <c r="J629"/>
      <c r="K629"/>
      <c r="L629"/>
      <c r="M629" s="4"/>
      <c r="N629" s="4"/>
      <c r="O629"/>
      <c r="P629"/>
      <c r="Q629"/>
      <c r="R629"/>
      <c r="S629"/>
      <c r="T629"/>
      <c r="U629"/>
      <c r="V629"/>
      <c r="W629"/>
      <c r="X629"/>
      <c r="Y629"/>
      <c r="Z629"/>
    </row>
    <row r="630" spans="1:26">
      <c r="A630"/>
      <c r="B630"/>
      <c r="C630"/>
      <c r="D630"/>
      <c r="E630"/>
      <c r="F630"/>
      <c r="G630"/>
      <c r="H630"/>
      <c r="I630"/>
      <c r="J630"/>
      <c r="K630"/>
      <c r="L630"/>
      <c r="M630" s="4"/>
      <c r="N630" s="4"/>
      <c r="O630"/>
      <c r="P630"/>
      <c r="Q630"/>
      <c r="R630"/>
      <c r="S630"/>
      <c r="T630"/>
      <c r="U630"/>
      <c r="V630"/>
      <c r="W630"/>
      <c r="X630"/>
      <c r="Y630"/>
      <c r="Z630"/>
    </row>
    <row r="631" spans="1:26">
      <c r="A631"/>
      <c r="B631"/>
      <c r="C631"/>
      <c r="D631"/>
      <c r="E631"/>
      <c r="F631"/>
      <c r="G631"/>
      <c r="H631"/>
      <c r="I631"/>
      <c r="J631"/>
      <c r="K631"/>
      <c r="L631"/>
      <c r="M631" s="4"/>
      <c r="N631" s="4"/>
      <c r="O631"/>
      <c r="P631"/>
      <c r="Q631"/>
      <c r="R631"/>
      <c r="S631"/>
      <c r="T631"/>
      <c r="U631"/>
      <c r="V631"/>
      <c r="W631"/>
      <c r="X631"/>
      <c r="Y631"/>
      <c r="Z631"/>
    </row>
    <row r="632" spans="1:26">
      <c r="A632"/>
      <c r="B632"/>
      <c r="C632"/>
      <c r="D632"/>
      <c r="E632"/>
      <c r="F632"/>
      <c r="G632"/>
      <c r="H632"/>
      <c r="I632"/>
      <c r="J632"/>
      <c r="K632"/>
      <c r="L632"/>
      <c r="M632" s="4"/>
      <c r="N632" s="4"/>
      <c r="O632"/>
      <c r="P632"/>
      <c r="Q632"/>
      <c r="R632"/>
      <c r="S632"/>
      <c r="T632"/>
      <c r="U632"/>
      <c r="V632"/>
      <c r="W632"/>
      <c r="X632"/>
      <c r="Y632"/>
      <c r="Z632"/>
    </row>
    <row r="633" spans="1:26">
      <c r="A633"/>
      <c r="B633"/>
      <c r="C633"/>
      <c r="D633"/>
      <c r="E633"/>
      <c r="F633"/>
      <c r="G633"/>
      <c r="H633"/>
      <c r="I633"/>
      <c r="J633"/>
      <c r="K633"/>
      <c r="L633"/>
      <c r="M633" s="4"/>
      <c r="N633" s="4"/>
      <c r="O633"/>
      <c r="P633"/>
      <c r="Q633"/>
      <c r="R633"/>
      <c r="S633"/>
      <c r="T633"/>
      <c r="U633"/>
      <c r="V633"/>
      <c r="W633"/>
      <c r="X633"/>
      <c r="Y633"/>
      <c r="Z633"/>
    </row>
    <row r="634" spans="1:26">
      <c r="A634"/>
      <c r="B634"/>
      <c r="C634"/>
      <c r="D634"/>
      <c r="E634"/>
      <c r="F634"/>
      <c r="G634"/>
      <c r="H634"/>
      <c r="I634"/>
      <c r="J634"/>
      <c r="K634"/>
      <c r="L634"/>
      <c r="M634" s="4"/>
      <c r="N634" s="4"/>
      <c r="O634"/>
      <c r="P634"/>
      <c r="Q634"/>
      <c r="R634"/>
      <c r="S634"/>
      <c r="T634"/>
      <c r="U634"/>
      <c r="V634"/>
      <c r="W634"/>
      <c r="X634"/>
      <c r="Y634"/>
      <c r="Z634"/>
    </row>
    <row r="635" spans="1:26">
      <c r="A635"/>
      <c r="B635"/>
      <c r="C635"/>
      <c r="D635"/>
      <c r="E635"/>
      <c r="F635"/>
      <c r="G635"/>
      <c r="H635"/>
      <c r="I635"/>
      <c r="J635"/>
      <c r="K635"/>
      <c r="L635"/>
      <c r="M635" s="4"/>
      <c r="N635" s="4"/>
      <c r="O635"/>
      <c r="P635"/>
      <c r="Q635"/>
      <c r="R635"/>
      <c r="S635"/>
      <c r="T635"/>
      <c r="U635"/>
      <c r="V635"/>
      <c r="W635"/>
      <c r="X635"/>
      <c r="Y635"/>
      <c r="Z635"/>
    </row>
    <row r="636" spans="1:26">
      <c r="A636"/>
      <c r="B636"/>
      <c r="C636"/>
      <c r="D636"/>
      <c r="E636"/>
      <c r="F636"/>
      <c r="G636"/>
      <c r="H636"/>
      <c r="I636"/>
      <c r="J636"/>
      <c r="K636"/>
      <c r="L636"/>
      <c r="M636" s="4"/>
      <c r="N636" s="4"/>
      <c r="O636"/>
      <c r="P636"/>
      <c r="Q636"/>
      <c r="R636"/>
      <c r="S636"/>
      <c r="T636"/>
      <c r="U636"/>
      <c r="V636"/>
      <c r="W636"/>
      <c r="X636"/>
      <c r="Y636"/>
      <c r="Z636"/>
    </row>
    <row r="637" spans="1:26">
      <c r="A637"/>
      <c r="B637"/>
      <c r="C637"/>
      <c r="D637"/>
      <c r="E637"/>
      <c r="F637"/>
      <c r="G637"/>
      <c r="H637"/>
      <c r="I637"/>
      <c r="J637"/>
      <c r="K637"/>
      <c r="L637"/>
      <c r="M637" s="4"/>
      <c r="N637" s="4"/>
      <c r="O637"/>
      <c r="P637"/>
      <c r="Q637"/>
      <c r="R637"/>
      <c r="S637"/>
      <c r="T637"/>
      <c r="U637"/>
      <c r="V637"/>
      <c r="W637"/>
      <c r="X637"/>
      <c r="Y637"/>
      <c r="Z637"/>
    </row>
    <row r="638" spans="1:26">
      <c r="A638"/>
      <c r="B638"/>
      <c r="C638"/>
      <c r="D638"/>
      <c r="E638"/>
      <c r="F638"/>
      <c r="G638"/>
      <c r="H638"/>
      <c r="I638"/>
      <c r="J638"/>
      <c r="K638"/>
      <c r="L638"/>
      <c r="M638" s="4"/>
      <c r="N638" s="4"/>
      <c r="O638"/>
      <c r="P638"/>
      <c r="Q638"/>
      <c r="R638"/>
      <c r="S638"/>
      <c r="T638"/>
      <c r="U638"/>
      <c r="V638"/>
      <c r="W638"/>
      <c r="X638"/>
      <c r="Y638"/>
      <c r="Z638"/>
    </row>
    <row r="639" spans="1:26">
      <c r="A639"/>
      <c r="B639"/>
      <c r="C639"/>
      <c r="D639"/>
      <c r="E639"/>
      <c r="F639"/>
      <c r="G639"/>
      <c r="H639"/>
      <c r="I639"/>
      <c r="J639"/>
      <c r="K639"/>
      <c r="L639"/>
      <c r="M639" s="4"/>
      <c r="N639" s="4"/>
      <c r="O639"/>
      <c r="P639"/>
      <c r="Q639"/>
      <c r="R639"/>
      <c r="S639"/>
      <c r="T639"/>
      <c r="U639"/>
      <c r="V639"/>
      <c r="W639"/>
      <c r="X639"/>
      <c r="Y639"/>
      <c r="Z639"/>
    </row>
    <row r="640" spans="1:26">
      <c r="A640"/>
      <c r="B640"/>
      <c r="C640"/>
      <c r="D640"/>
      <c r="E640"/>
      <c r="F640"/>
      <c r="G640"/>
      <c r="H640"/>
      <c r="I640"/>
      <c r="J640"/>
      <c r="K640"/>
      <c r="L640"/>
      <c r="M640" s="4"/>
      <c r="N640" s="4"/>
      <c r="O640"/>
      <c r="P640"/>
      <c r="Q640"/>
      <c r="R640"/>
      <c r="S640"/>
      <c r="T640"/>
      <c r="U640"/>
      <c r="V640"/>
      <c r="W640"/>
      <c r="X640"/>
      <c r="Y640"/>
      <c r="Z640"/>
    </row>
    <row r="641" spans="1:26">
      <c r="A641"/>
      <c r="B641"/>
      <c r="C641"/>
      <c r="D641"/>
      <c r="E641"/>
      <c r="F641"/>
      <c r="G641"/>
      <c r="H641"/>
      <c r="I641"/>
      <c r="J641"/>
      <c r="K641"/>
      <c r="L641"/>
      <c r="M641" s="4"/>
      <c r="N641" s="4"/>
      <c r="O641"/>
      <c r="P641"/>
      <c r="Q641"/>
      <c r="R641"/>
      <c r="S641"/>
      <c r="T641"/>
      <c r="U641"/>
      <c r="V641"/>
      <c r="W641"/>
      <c r="X641"/>
      <c r="Y641"/>
      <c r="Z641"/>
    </row>
    <row r="642" spans="1:26">
      <c r="A642"/>
      <c r="B642"/>
      <c r="C642"/>
      <c r="D642"/>
      <c r="E642"/>
      <c r="F642"/>
      <c r="G642"/>
      <c r="H642"/>
      <c r="I642"/>
      <c r="J642"/>
      <c r="K642"/>
      <c r="L642"/>
      <c r="M642" s="4"/>
      <c r="N642" s="4"/>
      <c r="O642"/>
      <c r="P642"/>
      <c r="Q642"/>
      <c r="R642"/>
      <c r="S642"/>
      <c r="T642"/>
      <c r="U642"/>
      <c r="V642"/>
      <c r="W642"/>
      <c r="X642"/>
      <c r="Y642"/>
      <c r="Z642"/>
    </row>
    <row r="643" spans="1:26">
      <c r="A643"/>
      <c r="B643"/>
      <c r="C643"/>
      <c r="D643"/>
      <c r="E643"/>
      <c r="F643"/>
      <c r="G643"/>
      <c r="H643"/>
      <c r="I643"/>
      <c r="J643"/>
      <c r="K643"/>
      <c r="L643"/>
      <c r="M643" s="4"/>
      <c r="N643" s="4"/>
      <c r="O643"/>
      <c r="P643"/>
      <c r="Q643"/>
      <c r="R643"/>
      <c r="S643"/>
      <c r="T643"/>
      <c r="U643"/>
      <c r="V643"/>
      <c r="W643"/>
      <c r="X643"/>
      <c r="Y643"/>
      <c r="Z643"/>
    </row>
    <row r="644" spans="1:26">
      <c r="A644"/>
      <c r="B644"/>
      <c r="C644"/>
      <c r="D644"/>
      <c r="E644"/>
      <c r="F644"/>
      <c r="G644"/>
      <c r="H644"/>
      <c r="I644"/>
      <c r="J644"/>
      <c r="K644"/>
      <c r="L644"/>
      <c r="M644" s="4"/>
      <c r="N644" s="4"/>
      <c r="O644"/>
      <c r="P644"/>
      <c r="Q644"/>
      <c r="R644"/>
      <c r="S644"/>
      <c r="T644"/>
      <c r="U644"/>
      <c r="V644"/>
      <c r="W644"/>
      <c r="X644"/>
      <c r="Y644"/>
      <c r="Z644"/>
    </row>
    <row r="645" spans="1:26">
      <c r="A645"/>
      <c r="B645"/>
      <c r="C645"/>
      <c r="D645"/>
      <c r="E645"/>
      <c r="F645"/>
      <c r="G645"/>
      <c r="H645"/>
      <c r="I645"/>
      <c r="J645"/>
      <c r="K645"/>
      <c r="L645"/>
      <c r="M645" s="4"/>
      <c r="N645" s="4"/>
      <c r="O645"/>
      <c r="P645"/>
      <c r="Q645"/>
      <c r="R645"/>
      <c r="S645"/>
      <c r="T645"/>
      <c r="U645"/>
      <c r="V645"/>
      <c r="W645"/>
      <c r="X645"/>
      <c r="Y645"/>
      <c r="Z645"/>
    </row>
    <row r="646" spans="1:26">
      <c r="A646"/>
      <c r="B646"/>
      <c r="C646"/>
      <c r="D646"/>
      <c r="E646"/>
      <c r="F646"/>
      <c r="G646"/>
      <c r="H646"/>
      <c r="I646"/>
      <c r="J646"/>
      <c r="K646"/>
      <c r="L646"/>
      <c r="M646" s="4"/>
      <c r="N646" s="4"/>
      <c r="O646"/>
      <c r="P646"/>
      <c r="Q646"/>
      <c r="R646"/>
      <c r="S646"/>
      <c r="T646"/>
      <c r="U646"/>
      <c r="V646"/>
      <c r="W646"/>
      <c r="X646"/>
      <c r="Y646"/>
      <c r="Z646"/>
    </row>
    <row r="647" spans="1:26">
      <c r="A647"/>
      <c r="B647"/>
      <c r="C647"/>
      <c r="D647"/>
      <c r="E647"/>
      <c r="F647"/>
      <c r="G647"/>
      <c r="H647"/>
      <c r="I647"/>
      <c r="J647"/>
      <c r="K647"/>
      <c r="L647"/>
      <c r="M647" s="4"/>
      <c r="N647" s="4"/>
      <c r="O647"/>
      <c r="P647"/>
      <c r="Q647"/>
      <c r="R647"/>
      <c r="S647"/>
      <c r="T647"/>
      <c r="U647"/>
      <c r="V647"/>
      <c r="W647"/>
      <c r="X647"/>
      <c r="Y647"/>
      <c r="Z647"/>
    </row>
    <row r="648" spans="1:26">
      <c r="A648"/>
      <c r="B648"/>
      <c r="C648"/>
      <c r="D648"/>
      <c r="E648"/>
      <c r="F648"/>
      <c r="G648"/>
      <c r="H648"/>
      <c r="I648"/>
      <c r="J648"/>
      <c r="K648"/>
      <c r="L648"/>
      <c r="M648" s="4"/>
      <c r="N648" s="4"/>
      <c r="O648"/>
      <c r="P648"/>
      <c r="Q648"/>
      <c r="R648"/>
      <c r="S648"/>
      <c r="T648"/>
      <c r="U648"/>
      <c r="V648"/>
      <c r="W648"/>
      <c r="X648"/>
      <c r="Y648"/>
      <c r="Z648"/>
    </row>
    <row r="649" spans="1:26">
      <c r="A649"/>
      <c r="B649"/>
      <c r="C649"/>
      <c r="D649"/>
      <c r="E649"/>
      <c r="F649"/>
      <c r="G649"/>
      <c r="H649"/>
      <c r="I649"/>
      <c r="J649"/>
      <c r="K649"/>
      <c r="L649"/>
      <c r="M649" s="4"/>
      <c r="N649" s="4"/>
      <c r="O649"/>
      <c r="P649"/>
      <c r="Q649"/>
      <c r="R649"/>
      <c r="S649"/>
      <c r="T649"/>
      <c r="U649"/>
      <c r="V649"/>
      <c r="W649"/>
      <c r="X649"/>
      <c r="Y649"/>
      <c r="Z649"/>
    </row>
    <row r="650" spans="1:26">
      <c r="A650"/>
      <c r="B650"/>
      <c r="C650"/>
      <c r="D650"/>
      <c r="E650"/>
      <c r="F650"/>
      <c r="G650"/>
      <c r="H650"/>
      <c r="I650"/>
      <c r="J650"/>
      <c r="K650"/>
      <c r="L650"/>
      <c r="M650" s="4"/>
      <c r="N650" s="4"/>
      <c r="O650"/>
      <c r="P650"/>
      <c r="Q650"/>
      <c r="R650"/>
      <c r="S650"/>
      <c r="T650"/>
      <c r="U650"/>
      <c r="V650"/>
      <c r="W650"/>
      <c r="X650"/>
      <c r="Y650"/>
      <c r="Z650"/>
    </row>
    <row r="651" spans="1:26">
      <c r="A651"/>
      <c r="B651"/>
      <c r="C651"/>
      <c r="D651"/>
      <c r="E651"/>
      <c r="F651"/>
      <c r="G651"/>
      <c r="H651"/>
      <c r="I651"/>
      <c r="J651"/>
      <c r="K651"/>
      <c r="L651"/>
      <c r="M651" s="4"/>
      <c r="N651" s="4"/>
      <c r="O651"/>
      <c r="P651"/>
      <c r="Q651"/>
      <c r="R651"/>
      <c r="S651"/>
      <c r="T651"/>
      <c r="U651"/>
      <c r="V651"/>
      <c r="W651"/>
      <c r="X651"/>
      <c r="Y651"/>
      <c r="Z651"/>
    </row>
    <row r="652" spans="1:26">
      <c r="A652"/>
      <c r="B652"/>
      <c r="C652"/>
      <c r="D652"/>
      <c r="E652"/>
      <c r="F652"/>
      <c r="G652"/>
      <c r="H652"/>
      <c r="I652"/>
      <c r="J652"/>
      <c r="K652"/>
      <c r="L652"/>
      <c r="M652" s="4"/>
      <c r="N652" s="4"/>
      <c r="O652"/>
      <c r="P652"/>
      <c r="Q652"/>
      <c r="R652"/>
      <c r="S652"/>
      <c r="T652"/>
      <c r="U652"/>
      <c r="V652"/>
      <c r="W652"/>
      <c r="X652"/>
      <c r="Y652"/>
      <c r="Z652"/>
    </row>
    <row r="653" spans="1:26">
      <c r="A653"/>
      <c r="B653"/>
      <c r="C653"/>
      <c r="D653"/>
      <c r="E653"/>
      <c r="F653"/>
      <c r="G653"/>
      <c r="H653"/>
      <c r="I653"/>
      <c r="J653"/>
      <c r="K653"/>
      <c r="L653"/>
      <c r="M653" s="4"/>
      <c r="N653" s="4"/>
      <c r="O653"/>
      <c r="P653"/>
      <c r="Q653"/>
      <c r="R653"/>
      <c r="S653"/>
      <c r="T653"/>
      <c r="U653"/>
      <c r="V653"/>
      <c r="W653"/>
      <c r="X653"/>
      <c r="Y653"/>
      <c r="Z653"/>
    </row>
    <row r="654" spans="1:26">
      <c r="A654"/>
      <c r="B654"/>
      <c r="C654"/>
      <c r="D654"/>
      <c r="E654"/>
      <c r="F654"/>
      <c r="G654"/>
      <c r="H654"/>
      <c r="I654"/>
      <c r="J654"/>
      <c r="K654"/>
      <c r="L654"/>
      <c r="M654" s="4"/>
      <c r="N654" s="4"/>
      <c r="O654"/>
      <c r="P654"/>
      <c r="Q654"/>
      <c r="R654"/>
      <c r="S654"/>
      <c r="T654"/>
      <c r="U654"/>
      <c r="V654"/>
      <c r="W654"/>
      <c r="X654"/>
      <c r="Y654"/>
      <c r="Z654"/>
    </row>
    <row r="655" spans="1:26">
      <c r="A655"/>
      <c r="B655"/>
      <c r="C655"/>
      <c r="D655"/>
      <c r="E655"/>
      <c r="F655"/>
      <c r="G655"/>
      <c r="H655"/>
      <c r="I655"/>
      <c r="J655"/>
      <c r="K655"/>
      <c r="L655"/>
      <c r="M655" s="4"/>
      <c r="N655" s="4"/>
      <c r="O655"/>
      <c r="P655"/>
      <c r="Q655"/>
      <c r="R655"/>
      <c r="S655"/>
      <c r="T655"/>
      <c r="U655"/>
      <c r="V655"/>
      <c r="W655"/>
      <c r="X655"/>
      <c r="Y655"/>
      <c r="Z655"/>
    </row>
    <row r="656" spans="1:26">
      <c r="A656"/>
      <c r="B656"/>
      <c r="C656"/>
      <c r="D656"/>
      <c r="E656"/>
      <c r="F656"/>
      <c r="G656"/>
      <c r="H656"/>
      <c r="I656"/>
      <c r="J656"/>
      <c r="K656"/>
      <c r="L656"/>
      <c r="M656" s="4"/>
      <c r="N656" s="4"/>
      <c r="O656"/>
      <c r="P656"/>
      <c r="Q656"/>
      <c r="R656"/>
      <c r="S656"/>
      <c r="T656"/>
      <c r="U656"/>
      <c r="V656"/>
      <c r="W656"/>
      <c r="X656"/>
      <c r="Y656"/>
      <c r="Z656"/>
    </row>
    <row r="657" spans="1:26">
      <c r="A657"/>
      <c r="B657"/>
      <c r="C657"/>
      <c r="D657"/>
      <c r="E657"/>
      <c r="F657"/>
      <c r="G657"/>
      <c r="H657"/>
      <c r="I657"/>
      <c r="J657"/>
      <c r="K657"/>
      <c r="L657"/>
      <c r="M657" s="4"/>
      <c r="N657" s="4"/>
      <c r="O657"/>
      <c r="P657"/>
      <c r="Q657"/>
      <c r="R657"/>
      <c r="S657"/>
      <c r="T657"/>
      <c r="U657"/>
      <c r="V657"/>
      <c r="W657"/>
      <c r="X657"/>
      <c r="Y657"/>
      <c r="Z657"/>
    </row>
    <row r="658" spans="1:26">
      <c r="A658"/>
      <c r="B658"/>
      <c r="C658"/>
      <c r="D658"/>
      <c r="E658"/>
      <c r="F658"/>
      <c r="G658"/>
      <c r="H658"/>
      <c r="I658"/>
      <c r="J658"/>
      <c r="K658"/>
      <c r="L658"/>
      <c r="M658" s="4"/>
      <c r="N658" s="4"/>
      <c r="O658"/>
      <c r="P658"/>
      <c r="Q658"/>
      <c r="R658"/>
      <c r="S658"/>
      <c r="T658"/>
      <c r="U658"/>
      <c r="V658"/>
      <c r="W658"/>
      <c r="X658"/>
      <c r="Y658"/>
      <c r="Z658"/>
    </row>
    <row r="659" spans="1:26">
      <c r="A659"/>
      <c r="B659"/>
      <c r="C659"/>
      <c r="D659"/>
      <c r="E659"/>
      <c r="F659"/>
      <c r="G659"/>
      <c r="H659"/>
      <c r="I659"/>
      <c r="J659"/>
      <c r="K659"/>
      <c r="L659"/>
      <c r="M659" s="4"/>
      <c r="N659" s="4"/>
      <c r="O659"/>
      <c r="P659"/>
      <c r="Q659"/>
      <c r="R659"/>
      <c r="S659"/>
      <c r="T659"/>
      <c r="U659"/>
      <c r="V659"/>
      <c r="W659"/>
      <c r="X659"/>
      <c r="Y659"/>
      <c r="Z659"/>
    </row>
    <row r="660" spans="1:26">
      <c r="A660"/>
      <c r="B660"/>
      <c r="C660"/>
      <c r="D660"/>
      <c r="E660"/>
      <c r="F660"/>
      <c r="G660"/>
      <c r="H660"/>
      <c r="I660"/>
      <c r="J660"/>
      <c r="K660"/>
      <c r="L660"/>
      <c r="M660" s="4"/>
      <c r="N660" s="4"/>
      <c r="O660"/>
      <c r="P660"/>
      <c r="Q660"/>
      <c r="R660"/>
      <c r="S660"/>
      <c r="T660"/>
      <c r="U660"/>
      <c r="V660"/>
      <c r="W660"/>
      <c r="X660"/>
      <c r="Y660"/>
      <c r="Z660"/>
    </row>
    <row r="661" spans="1:26">
      <c r="A661"/>
      <c r="B661"/>
      <c r="C661"/>
      <c r="D661"/>
      <c r="E661"/>
      <c r="F661"/>
      <c r="G661"/>
      <c r="H661"/>
      <c r="I661"/>
      <c r="J661"/>
      <c r="K661"/>
      <c r="L661"/>
      <c r="M661" s="4"/>
      <c r="N661" s="4"/>
      <c r="O661"/>
      <c r="P661"/>
      <c r="Q661"/>
      <c r="R661"/>
      <c r="S661"/>
      <c r="T661"/>
      <c r="U661"/>
      <c r="V661"/>
      <c r="W661"/>
      <c r="X661"/>
      <c r="Y661"/>
      <c r="Z661"/>
    </row>
    <row r="662" spans="1:26">
      <c r="A662"/>
      <c r="B662"/>
      <c r="C662"/>
      <c r="D662"/>
      <c r="E662"/>
      <c r="F662"/>
      <c r="G662"/>
      <c r="H662"/>
      <c r="I662"/>
      <c r="J662"/>
      <c r="K662"/>
      <c r="L662"/>
      <c r="M662" s="4"/>
      <c r="N662" s="4"/>
      <c r="O662"/>
      <c r="P662"/>
      <c r="Q662"/>
      <c r="R662"/>
      <c r="S662"/>
      <c r="T662"/>
      <c r="U662"/>
      <c r="V662"/>
      <c r="W662"/>
      <c r="X662"/>
      <c r="Y662"/>
      <c r="Z662"/>
    </row>
    <row r="663" spans="1:26">
      <c r="A663"/>
      <c r="B663"/>
      <c r="C663"/>
      <c r="D663"/>
      <c r="E663"/>
      <c r="F663"/>
      <c r="G663"/>
      <c r="H663"/>
      <c r="I663"/>
      <c r="J663"/>
      <c r="K663"/>
      <c r="L663"/>
      <c r="M663" s="4"/>
      <c r="N663" s="4"/>
      <c r="O663"/>
      <c r="P663"/>
      <c r="Q663"/>
      <c r="R663"/>
      <c r="S663"/>
      <c r="T663"/>
      <c r="U663"/>
      <c r="V663"/>
      <c r="W663"/>
      <c r="X663"/>
      <c r="Y663"/>
      <c r="Z663"/>
    </row>
    <row r="664" spans="1:26">
      <c r="A664"/>
      <c r="B664"/>
      <c r="C664"/>
      <c r="D664"/>
      <c r="E664"/>
      <c r="F664"/>
      <c r="G664"/>
      <c r="H664"/>
      <c r="I664"/>
      <c r="J664"/>
      <c r="K664"/>
      <c r="L664"/>
      <c r="M664" s="4"/>
      <c r="N664" s="4"/>
      <c r="O664"/>
      <c r="P664"/>
      <c r="Q664"/>
      <c r="R664"/>
      <c r="S664"/>
      <c r="T664"/>
      <c r="U664"/>
      <c r="V664"/>
      <c r="W664"/>
      <c r="X664"/>
      <c r="Y664"/>
      <c r="Z664"/>
    </row>
    <row r="665" spans="1:26">
      <c r="A665"/>
      <c r="B665"/>
      <c r="C665"/>
      <c r="D665"/>
      <c r="E665"/>
      <c r="F665"/>
      <c r="G665"/>
      <c r="H665"/>
      <c r="I665"/>
      <c r="J665"/>
      <c r="K665"/>
      <c r="L665"/>
      <c r="M665" s="4"/>
      <c r="N665" s="4"/>
      <c r="O665"/>
      <c r="P665"/>
      <c r="Q665"/>
      <c r="R665"/>
      <c r="S665"/>
      <c r="T665"/>
      <c r="U665"/>
      <c r="V665"/>
      <c r="W665"/>
      <c r="X665"/>
      <c r="Y665"/>
      <c r="Z665"/>
    </row>
    <row r="666" spans="1:26">
      <c r="A666"/>
      <c r="B666"/>
      <c r="C666"/>
      <c r="D666"/>
      <c r="E666"/>
      <c r="F666"/>
      <c r="G666"/>
      <c r="H666"/>
      <c r="I666"/>
      <c r="J666"/>
      <c r="K666"/>
      <c r="L666"/>
      <c r="M666" s="4"/>
      <c r="N666" s="4"/>
      <c r="O666"/>
      <c r="P666"/>
      <c r="Q666"/>
      <c r="R666"/>
      <c r="S666"/>
      <c r="T666"/>
      <c r="U666"/>
      <c r="V666"/>
      <c r="W666"/>
      <c r="X666"/>
      <c r="Y666"/>
      <c r="Z666"/>
    </row>
    <row r="667" spans="1:26">
      <c r="A667"/>
      <c r="B667"/>
      <c r="C667"/>
      <c r="D667"/>
      <c r="E667"/>
      <c r="F667"/>
      <c r="G667"/>
      <c r="H667"/>
      <c r="I667"/>
      <c r="J667"/>
      <c r="K667"/>
      <c r="L667"/>
      <c r="M667" s="4"/>
      <c r="N667" s="4"/>
      <c r="O667"/>
      <c r="P667"/>
      <c r="Q667"/>
      <c r="R667"/>
      <c r="S667"/>
      <c r="T667"/>
      <c r="U667"/>
      <c r="V667"/>
      <c r="W667"/>
      <c r="X667"/>
      <c r="Y667"/>
      <c r="Z667"/>
    </row>
    <row r="668" spans="1:26">
      <c r="A668"/>
      <c r="B668"/>
      <c r="C668"/>
      <c r="D668"/>
      <c r="E668"/>
      <c r="F668"/>
      <c r="G668"/>
      <c r="H668"/>
      <c r="I668"/>
      <c r="J668"/>
      <c r="K668"/>
      <c r="L668"/>
      <c r="M668" s="4"/>
      <c r="N668" s="4"/>
      <c r="O668"/>
      <c r="P668"/>
      <c r="Q668"/>
      <c r="R668"/>
      <c r="S668"/>
      <c r="T668"/>
      <c r="U668"/>
      <c r="V668"/>
      <c r="W668"/>
      <c r="X668"/>
      <c r="Y668"/>
      <c r="Z668"/>
    </row>
    <row r="669" spans="1:26">
      <c r="A669"/>
      <c r="B669"/>
      <c r="C669"/>
      <c r="D669"/>
      <c r="E669"/>
      <c r="F669"/>
      <c r="G669"/>
      <c r="H669"/>
      <c r="I669"/>
      <c r="J669"/>
      <c r="K669"/>
      <c r="L669"/>
      <c r="M669" s="4"/>
      <c r="N669" s="4"/>
      <c r="O669"/>
      <c r="P669"/>
      <c r="Q669"/>
      <c r="R669"/>
      <c r="S669"/>
      <c r="T669"/>
      <c r="U669"/>
      <c r="V669"/>
      <c r="W669"/>
      <c r="X669"/>
      <c r="Y669"/>
      <c r="Z669"/>
    </row>
    <row r="670" spans="1:26">
      <c r="A670"/>
      <c r="B670"/>
      <c r="C670"/>
      <c r="D670"/>
      <c r="E670"/>
      <c r="F670"/>
      <c r="G670"/>
      <c r="H670"/>
      <c r="I670"/>
      <c r="J670"/>
      <c r="K670"/>
      <c r="L670"/>
      <c r="M670" s="4"/>
      <c r="N670" s="4"/>
      <c r="O670"/>
      <c r="P670"/>
      <c r="Q670"/>
      <c r="R670"/>
      <c r="S670"/>
      <c r="T670"/>
      <c r="U670"/>
      <c r="V670"/>
      <c r="W670"/>
      <c r="X670"/>
      <c r="Y670"/>
      <c r="Z670"/>
    </row>
    <row r="671" spans="1:26">
      <c r="A671"/>
      <c r="B671"/>
      <c r="C671"/>
      <c r="D671"/>
      <c r="E671"/>
      <c r="F671"/>
      <c r="G671"/>
      <c r="H671"/>
      <c r="I671"/>
      <c r="J671"/>
      <c r="K671"/>
      <c r="L671"/>
      <c r="M671" s="4"/>
      <c r="N671" s="4"/>
      <c r="O671"/>
      <c r="P671"/>
      <c r="Q671"/>
      <c r="R671"/>
      <c r="S671"/>
      <c r="T671"/>
      <c r="U671"/>
      <c r="V671"/>
      <c r="W671"/>
      <c r="X671"/>
      <c r="Y671"/>
      <c r="Z671"/>
    </row>
    <row r="672" spans="1:26">
      <c r="A672"/>
      <c r="B672"/>
      <c r="C672"/>
      <c r="D672"/>
      <c r="E672"/>
      <c r="F672"/>
      <c r="G672"/>
      <c r="H672"/>
      <c r="I672"/>
      <c r="J672"/>
      <c r="K672"/>
      <c r="L672"/>
      <c r="M672" s="4"/>
      <c r="N672" s="4"/>
      <c r="O672"/>
      <c r="P672"/>
      <c r="Q672"/>
      <c r="R672"/>
      <c r="S672"/>
      <c r="T672"/>
      <c r="U672"/>
      <c r="V672"/>
      <c r="W672"/>
      <c r="X672"/>
      <c r="Y672"/>
      <c r="Z672"/>
    </row>
    <row r="673" spans="1:26">
      <c r="A673"/>
      <c r="B673"/>
      <c r="C673"/>
      <c r="D673"/>
      <c r="E673"/>
      <c r="F673"/>
      <c r="G673"/>
      <c r="H673"/>
      <c r="I673"/>
      <c r="J673"/>
      <c r="K673"/>
      <c r="L673"/>
      <c r="M673" s="4"/>
      <c r="N673" s="4"/>
      <c r="O673"/>
      <c r="P673"/>
      <c r="Q673"/>
      <c r="R673"/>
      <c r="S673"/>
      <c r="T673"/>
      <c r="U673"/>
      <c r="V673"/>
      <c r="W673"/>
      <c r="X673"/>
      <c r="Y673"/>
      <c r="Z673"/>
    </row>
    <row r="674" spans="1:26">
      <c r="A674"/>
      <c r="B674"/>
      <c r="C674"/>
      <c r="D674"/>
      <c r="E674"/>
      <c r="F674"/>
      <c r="G674"/>
      <c r="H674"/>
      <c r="I674"/>
      <c r="J674"/>
      <c r="K674"/>
      <c r="L674"/>
      <c r="M674" s="4"/>
      <c r="N674" s="4"/>
      <c r="O674"/>
      <c r="P674"/>
      <c r="Q674"/>
      <c r="R674"/>
      <c r="S674"/>
      <c r="T674"/>
      <c r="U674"/>
      <c r="V674"/>
      <c r="W674"/>
      <c r="X674"/>
      <c r="Y674"/>
      <c r="Z674"/>
    </row>
    <row r="675" spans="1:26">
      <c r="A675"/>
      <c r="B675"/>
      <c r="C675"/>
      <c r="D675"/>
      <c r="E675"/>
      <c r="F675"/>
      <c r="G675"/>
      <c r="H675"/>
      <c r="I675"/>
      <c r="J675"/>
      <c r="K675"/>
      <c r="L675"/>
      <c r="M675" s="4"/>
      <c r="N675" s="4"/>
      <c r="O675"/>
      <c r="P675"/>
      <c r="Q675"/>
      <c r="R675"/>
      <c r="S675"/>
      <c r="T675"/>
      <c r="U675"/>
      <c r="V675"/>
      <c r="W675"/>
      <c r="X675"/>
      <c r="Y675"/>
      <c r="Z675"/>
    </row>
    <row r="676" spans="1:26">
      <c r="A676"/>
      <c r="B676"/>
      <c r="C676"/>
      <c r="D676"/>
      <c r="E676"/>
      <c r="F676"/>
      <c r="G676"/>
      <c r="H676"/>
      <c r="I676"/>
      <c r="J676"/>
      <c r="K676"/>
      <c r="L676"/>
      <c r="M676" s="4"/>
      <c r="N676" s="4"/>
      <c r="O676"/>
      <c r="P676"/>
      <c r="Q676"/>
      <c r="R676"/>
      <c r="S676"/>
      <c r="T676"/>
      <c r="U676"/>
      <c r="V676"/>
      <c r="W676"/>
      <c r="X676"/>
      <c r="Y676"/>
      <c r="Z676"/>
    </row>
    <row r="677" spans="1:26">
      <c r="A677"/>
      <c r="B677"/>
      <c r="C677"/>
      <c r="D677"/>
      <c r="E677"/>
      <c r="F677"/>
      <c r="G677"/>
      <c r="H677"/>
      <c r="I677"/>
      <c r="J677"/>
      <c r="K677"/>
      <c r="L677"/>
      <c r="M677" s="4"/>
      <c r="N677" s="4"/>
      <c r="O677"/>
      <c r="P677"/>
      <c r="Q677"/>
      <c r="R677"/>
      <c r="S677"/>
      <c r="T677"/>
      <c r="U677"/>
      <c r="V677"/>
      <c r="W677"/>
      <c r="X677"/>
      <c r="Y677"/>
      <c r="Z677"/>
    </row>
    <row r="678" spans="1:26">
      <c r="A678"/>
      <c r="B678"/>
      <c r="C678"/>
      <c r="D678"/>
      <c r="E678"/>
      <c r="F678"/>
      <c r="G678"/>
      <c r="H678"/>
      <c r="I678"/>
      <c r="J678"/>
      <c r="K678"/>
      <c r="L678"/>
      <c r="M678" s="4"/>
      <c r="N678" s="4"/>
      <c r="O678"/>
      <c r="P678"/>
      <c r="Q678"/>
      <c r="R678"/>
      <c r="S678"/>
      <c r="T678"/>
      <c r="U678"/>
      <c r="V678"/>
      <c r="W678"/>
      <c r="X678"/>
      <c r="Y678"/>
      <c r="Z678"/>
    </row>
    <row r="679" spans="1:26">
      <c r="A679"/>
      <c r="B679"/>
      <c r="C679"/>
      <c r="D679"/>
      <c r="E679"/>
      <c r="F679"/>
      <c r="G679"/>
      <c r="H679"/>
      <c r="I679"/>
      <c r="J679"/>
      <c r="K679"/>
      <c r="L679"/>
      <c r="M679" s="4"/>
      <c r="N679" s="4"/>
      <c r="O679"/>
      <c r="P679"/>
      <c r="Q679"/>
      <c r="R679"/>
      <c r="S679"/>
      <c r="T679"/>
      <c r="U679"/>
      <c r="V679"/>
      <c r="W679"/>
      <c r="X679"/>
      <c r="Y679"/>
      <c r="Z679"/>
    </row>
    <row r="680" spans="1:26">
      <c r="A680"/>
      <c r="B680"/>
      <c r="C680"/>
      <c r="D680"/>
      <c r="E680"/>
      <c r="F680"/>
      <c r="G680"/>
      <c r="H680"/>
      <c r="I680"/>
      <c r="J680"/>
      <c r="K680"/>
      <c r="L680"/>
      <c r="M680" s="4"/>
      <c r="N680" s="4"/>
      <c r="O680"/>
      <c r="P680"/>
      <c r="Q680"/>
      <c r="R680"/>
      <c r="S680"/>
      <c r="T680"/>
      <c r="U680"/>
      <c r="V680"/>
      <c r="W680"/>
      <c r="X680"/>
      <c r="Y680"/>
      <c r="Z680"/>
    </row>
    <row r="681" spans="1:26">
      <c r="A681"/>
      <c r="B681"/>
      <c r="C681"/>
      <c r="D681"/>
      <c r="E681"/>
      <c r="F681"/>
      <c r="G681"/>
      <c r="H681"/>
      <c r="I681"/>
      <c r="J681"/>
      <c r="K681"/>
      <c r="L681"/>
      <c r="M681" s="4"/>
      <c r="N681" s="4"/>
      <c r="O681"/>
      <c r="P681"/>
      <c r="Q681"/>
      <c r="R681"/>
      <c r="S681"/>
      <c r="T681"/>
      <c r="U681"/>
      <c r="V681"/>
      <c r="W681"/>
      <c r="X681"/>
      <c r="Y681"/>
      <c r="Z681"/>
    </row>
    <row r="682" spans="1:26">
      <c r="A682"/>
      <c r="B682"/>
      <c r="C682"/>
      <c r="D682"/>
      <c r="E682"/>
      <c r="F682"/>
      <c r="G682"/>
      <c r="H682"/>
      <c r="I682"/>
      <c r="J682"/>
      <c r="K682"/>
      <c r="L682"/>
      <c r="M682" s="4"/>
      <c r="N682" s="4"/>
      <c r="O682"/>
      <c r="P682"/>
      <c r="Q682"/>
      <c r="R682"/>
      <c r="S682"/>
      <c r="T682"/>
      <c r="U682"/>
      <c r="V682"/>
      <c r="W682"/>
      <c r="X682"/>
      <c r="Y682"/>
      <c r="Z682"/>
    </row>
    <row r="683" spans="1:26">
      <c r="A683"/>
      <c r="B683"/>
      <c r="C683"/>
      <c r="D683"/>
      <c r="E683"/>
      <c r="F683"/>
      <c r="G683"/>
      <c r="H683"/>
      <c r="I683"/>
      <c r="J683"/>
      <c r="K683"/>
      <c r="L683"/>
      <c r="M683" s="4"/>
      <c r="N683" s="4"/>
      <c r="O683"/>
      <c r="P683"/>
      <c r="Q683"/>
      <c r="R683"/>
      <c r="S683"/>
      <c r="T683"/>
      <c r="U683"/>
      <c r="V683"/>
      <c r="W683"/>
      <c r="X683"/>
      <c r="Y683"/>
      <c r="Z683"/>
    </row>
    <row r="684" spans="1:26">
      <c r="A684"/>
      <c r="B684"/>
      <c r="C684"/>
      <c r="D684"/>
      <c r="E684"/>
      <c r="F684"/>
      <c r="G684"/>
      <c r="H684"/>
      <c r="I684"/>
      <c r="J684"/>
      <c r="K684"/>
      <c r="L684"/>
      <c r="M684" s="4"/>
      <c r="N684" s="4"/>
      <c r="O684"/>
      <c r="P684"/>
      <c r="Q684"/>
      <c r="R684"/>
      <c r="S684"/>
      <c r="T684"/>
      <c r="U684"/>
      <c r="V684"/>
      <c r="W684"/>
      <c r="X684"/>
      <c r="Y684"/>
      <c r="Z684"/>
    </row>
    <row r="685" spans="1:26">
      <c r="A685"/>
      <c r="B685"/>
      <c r="C685"/>
      <c r="D685"/>
      <c r="E685"/>
      <c r="F685"/>
      <c r="G685"/>
      <c r="H685"/>
      <c r="I685"/>
      <c r="J685"/>
      <c r="K685"/>
      <c r="L685"/>
      <c r="M685" s="4"/>
      <c r="N685" s="4"/>
      <c r="O685"/>
      <c r="P685"/>
      <c r="Q685"/>
      <c r="R685"/>
      <c r="S685"/>
      <c r="T685"/>
      <c r="U685"/>
      <c r="V685"/>
      <c r="W685"/>
      <c r="X685"/>
      <c r="Y685"/>
      <c r="Z685"/>
    </row>
    <row r="686" spans="1:26">
      <c r="A686"/>
      <c r="B686"/>
      <c r="C686"/>
      <c r="D686"/>
      <c r="E686"/>
      <c r="F686"/>
      <c r="G686"/>
      <c r="H686"/>
      <c r="I686"/>
      <c r="J686"/>
      <c r="K686"/>
      <c r="L686"/>
      <c r="M686" s="4"/>
      <c r="N686" s="4"/>
      <c r="O686"/>
      <c r="P686"/>
      <c r="Q686"/>
      <c r="R686"/>
      <c r="S686"/>
      <c r="T686"/>
      <c r="U686"/>
      <c r="V686"/>
      <c r="W686"/>
      <c r="X686"/>
      <c r="Y686"/>
      <c r="Z686"/>
    </row>
    <row r="687" spans="1:26">
      <c r="A687"/>
      <c r="B687"/>
      <c r="C687"/>
      <c r="D687"/>
      <c r="E687"/>
      <c r="F687"/>
      <c r="G687"/>
      <c r="H687"/>
      <c r="I687"/>
      <c r="J687"/>
      <c r="K687"/>
      <c r="L687"/>
      <c r="M687" s="4"/>
      <c r="N687" s="4"/>
      <c r="O687"/>
      <c r="P687"/>
      <c r="Q687"/>
      <c r="R687"/>
      <c r="S687"/>
      <c r="T687"/>
      <c r="U687"/>
      <c r="V687"/>
      <c r="W687"/>
      <c r="X687"/>
      <c r="Y687"/>
      <c r="Z687"/>
    </row>
    <row r="688" spans="1:26">
      <c r="A688"/>
      <c r="B688"/>
      <c r="C688"/>
      <c r="D688"/>
      <c r="E688"/>
      <c r="F688"/>
      <c r="G688"/>
      <c r="H688"/>
      <c r="I688"/>
      <c r="J688"/>
      <c r="K688"/>
      <c r="L688"/>
      <c r="M688" s="4"/>
      <c r="N688" s="4"/>
      <c r="O688"/>
      <c r="P688"/>
      <c r="Q688"/>
      <c r="R688"/>
      <c r="S688"/>
      <c r="T688"/>
      <c r="U688"/>
      <c r="V688"/>
      <c r="W688"/>
      <c r="X688"/>
      <c r="Y688"/>
      <c r="Z688"/>
    </row>
    <row r="689" spans="1:26">
      <c r="A689"/>
      <c r="B689"/>
      <c r="C689"/>
      <c r="D689"/>
      <c r="E689"/>
      <c r="F689"/>
      <c r="G689"/>
      <c r="H689"/>
      <c r="I689"/>
      <c r="J689"/>
      <c r="K689"/>
      <c r="L689"/>
      <c r="M689" s="4"/>
      <c r="N689" s="4"/>
      <c r="O689"/>
      <c r="P689"/>
      <c r="Q689"/>
      <c r="R689"/>
      <c r="S689"/>
      <c r="T689"/>
      <c r="U689"/>
      <c r="V689"/>
      <c r="W689"/>
      <c r="X689"/>
      <c r="Y689"/>
      <c r="Z689"/>
    </row>
    <row r="690" spans="1:26">
      <c r="A690"/>
      <c r="B690"/>
      <c r="C690"/>
      <c r="D690"/>
      <c r="E690"/>
      <c r="F690"/>
      <c r="G690"/>
      <c r="H690"/>
      <c r="I690"/>
      <c r="J690"/>
      <c r="K690"/>
      <c r="L690"/>
      <c r="M690" s="4"/>
      <c r="N690" s="4"/>
      <c r="O690"/>
      <c r="P690"/>
      <c r="Q690"/>
      <c r="R690"/>
      <c r="S690"/>
      <c r="T690"/>
      <c r="U690"/>
      <c r="V690"/>
      <c r="W690"/>
      <c r="X690"/>
      <c r="Y690"/>
      <c r="Z690"/>
    </row>
    <row r="691" spans="1:26">
      <c r="A691"/>
      <c r="B691"/>
      <c r="C691"/>
      <c r="D691"/>
      <c r="E691"/>
      <c r="F691"/>
      <c r="G691"/>
      <c r="H691"/>
      <c r="I691"/>
      <c r="J691"/>
      <c r="K691"/>
      <c r="L691"/>
      <c r="M691" s="4"/>
      <c r="N691" s="4"/>
      <c r="O691"/>
      <c r="P691"/>
      <c r="Q691"/>
      <c r="R691"/>
      <c r="S691"/>
      <c r="T691"/>
      <c r="U691"/>
      <c r="V691"/>
      <c r="W691"/>
      <c r="X691"/>
      <c r="Y691"/>
      <c r="Z691"/>
    </row>
    <row r="692" spans="1:26">
      <c r="A692"/>
      <c r="B692"/>
      <c r="C692"/>
      <c r="D692"/>
      <c r="E692"/>
      <c r="F692"/>
      <c r="G692"/>
      <c r="H692"/>
      <c r="I692"/>
      <c r="J692"/>
      <c r="K692"/>
      <c r="L692"/>
      <c r="M692" s="4"/>
      <c r="N692" s="4"/>
      <c r="O692"/>
      <c r="P692"/>
      <c r="Q692"/>
      <c r="R692"/>
      <c r="S692"/>
      <c r="T692"/>
      <c r="U692"/>
      <c r="V692"/>
      <c r="W692"/>
      <c r="X692"/>
      <c r="Y692"/>
      <c r="Z692"/>
    </row>
    <row r="693" spans="1:26">
      <c r="A693"/>
      <c r="B693"/>
      <c r="C693"/>
      <c r="D693"/>
      <c r="E693"/>
      <c r="F693"/>
      <c r="G693"/>
      <c r="H693"/>
      <c r="I693"/>
      <c r="J693"/>
      <c r="K693"/>
      <c r="L693"/>
      <c r="M693" s="4"/>
      <c r="N693" s="4"/>
      <c r="O693"/>
      <c r="P693"/>
      <c r="Q693"/>
      <c r="R693"/>
      <c r="S693"/>
      <c r="T693"/>
      <c r="U693"/>
      <c r="V693"/>
      <c r="W693"/>
      <c r="X693"/>
      <c r="Y693"/>
      <c r="Z693"/>
    </row>
    <row r="694" spans="1:26">
      <c r="A694"/>
      <c r="B694"/>
      <c r="C694"/>
      <c r="D694"/>
      <c r="E694"/>
      <c r="F694"/>
      <c r="G694"/>
      <c r="H694"/>
      <c r="I694"/>
      <c r="J694"/>
      <c r="K694"/>
      <c r="L694"/>
      <c r="M694" s="4"/>
      <c r="N694" s="4"/>
      <c r="O694"/>
      <c r="P694"/>
      <c r="Q694"/>
      <c r="R694"/>
      <c r="S694"/>
      <c r="T694"/>
      <c r="U694"/>
      <c r="V694"/>
      <c r="W694"/>
      <c r="X694"/>
      <c r="Y694"/>
      <c r="Z694"/>
    </row>
    <row r="695" spans="1:26">
      <c r="A695"/>
      <c r="B695"/>
      <c r="C695"/>
      <c r="D695"/>
      <c r="E695"/>
      <c r="F695"/>
      <c r="G695"/>
      <c r="H695"/>
      <c r="I695"/>
      <c r="J695"/>
      <c r="K695"/>
      <c r="L695"/>
      <c r="M695" s="4"/>
      <c r="N695" s="4"/>
      <c r="O695"/>
      <c r="P695"/>
      <c r="Q695"/>
      <c r="R695"/>
      <c r="S695"/>
      <c r="T695"/>
      <c r="U695"/>
      <c r="V695"/>
      <c r="W695"/>
      <c r="X695"/>
      <c r="Y695"/>
      <c r="Z695"/>
    </row>
    <row r="696" spans="1:26">
      <c r="A696"/>
      <c r="B696"/>
      <c r="C696"/>
      <c r="D696"/>
      <c r="E696"/>
      <c r="F696"/>
      <c r="G696"/>
      <c r="H696"/>
      <c r="I696"/>
      <c r="J696"/>
      <c r="K696"/>
      <c r="L696"/>
      <c r="M696" s="4"/>
      <c r="N696" s="4"/>
      <c r="O696"/>
      <c r="P696"/>
      <c r="Q696"/>
      <c r="R696"/>
      <c r="S696"/>
      <c r="T696"/>
      <c r="U696"/>
      <c r="V696"/>
      <c r="W696"/>
      <c r="X696"/>
      <c r="Y696"/>
      <c r="Z696"/>
    </row>
    <row r="697" spans="1:26">
      <c r="A697"/>
      <c r="B697"/>
      <c r="C697"/>
      <c r="D697"/>
      <c r="E697"/>
      <c r="F697"/>
      <c r="G697"/>
      <c r="H697"/>
      <c r="I697"/>
      <c r="J697"/>
      <c r="K697"/>
      <c r="L697"/>
      <c r="M697" s="4"/>
      <c r="N697" s="4"/>
      <c r="O697"/>
      <c r="P697"/>
      <c r="Q697"/>
      <c r="R697"/>
      <c r="S697"/>
      <c r="T697"/>
      <c r="U697"/>
      <c r="V697"/>
      <c r="W697"/>
      <c r="X697"/>
      <c r="Y697"/>
      <c r="Z697"/>
    </row>
    <row r="698" spans="1:26">
      <c r="A698"/>
      <c r="B698"/>
      <c r="C698"/>
      <c r="D698"/>
      <c r="E698"/>
      <c r="F698"/>
      <c r="G698"/>
      <c r="H698"/>
      <c r="I698"/>
      <c r="J698"/>
      <c r="K698"/>
      <c r="L698"/>
      <c r="M698" s="4"/>
      <c r="N698" s="4"/>
      <c r="O698"/>
      <c r="P698"/>
      <c r="Q698"/>
      <c r="R698"/>
      <c r="S698"/>
      <c r="T698"/>
      <c r="U698"/>
      <c r="V698"/>
      <c r="W698"/>
      <c r="X698"/>
      <c r="Y698"/>
      <c r="Z698"/>
    </row>
    <row r="699" spans="1:26">
      <c r="A699"/>
      <c r="B699"/>
      <c r="C699"/>
      <c r="D699"/>
      <c r="E699"/>
      <c r="F699"/>
      <c r="G699"/>
      <c r="H699"/>
      <c r="I699"/>
      <c r="J699"/>
      <c r="K699"/>
      <c r="L699"/>
      <c r="M699" s="4"/>
      <c r="N699" s="4"/>
      <c r="O699"/>
      <c r="P699"/>
      <c r="Q699"/>
      <c r="R699"/>
      <c r="S699"/>
      <c r="T699"/>
      <c r="U699"/>
      <c r="V699"/>
      <c r="W699"/>
      <c r="X699"/>
      <c r="Y699"/>
      <c r="Z699"/>
    </row>
    <row r="700" spans="1:26">
      <c r="A700"/>
      <c r="B700"/>
      <c r="C700"/>
      <c r="D700"/>
      <c r="E700"/>
      <c r="F700"/>
      <c r="G700"/>
      <c r="H700"/>
      <c r="I700"/>
      <c r="J700"/>
      <c r="K700"/>
      <c r="L700"/>
      <c r="M700" s="4"/>
      <c r="N700" s="4"/>
      <c r="O700"/>
      <c r="P700"/>
      <c r="Q700"/>
      <c r="R700"/>
      <c r="S700"/>
      <c r="T700"/>
      <c r="U700"/>
      <c r="V700"/>
      <c r="W700"/>
      <c r="X700"/>
      <c r="Y700"/>
      <c r="Z700"/>
    </row>
    <row r="701" spans="1:26">
      <c r="A701"/>
      <c r="B701"/>
      <c r="C701"/>
      <c r="D701"/>
      <c r="E701"/>
      <c r="F701"/>
      <c r="G701"/>
      <c r="H701"/>
      <c r="I701"/>
      <c r="J701"/>
      <c r="K701"/>
      <c r="L701"/>
      <c r="M701" s="4"/>
      <c r="N701" s="4"/>
      <c r="O701"/>
      <c r="P701"/>
      <c r="Q701"/>
      <c r="R701"/>
      <c r="S701"/>
      <c r="T701"/>
      <c r="U701"/>
      <c r="V701"/>
      <c r="W701"/>
      <c r="X701"/>
      <c r="Y701"/>
      <c r="Z701"/>
    </row>
    <row r="702" spans="1:26">
      <c r="A702"/>
      <c r="B702"/>
      <c r="C702"/>
      <c r="D702"/>
      <c r="E702"/>
      <c r="F702"/>
      <c r="G702"/>
      <c r="H702"/>
      <c r="I702"/>
      <c r="J702"/>
      <c r="K702"/>
      <c r="L702"/>
      <c r="M702" s="4"/>
      <c r="N702" s="4"/>
      <c r="O702"/>
      <c r="P702"/>
      <c r="Q702"/>
      <c r="R702"/>
      <c r="S702"/>
      <c r="T702"/>
      <c r="U702"/>
      <c r="V702"/>
      <c r="W702"/>
      <c r="X702"/>
      <c r="Y702"/>
      <c r="Z702"/>
    </row>
    <row r="703" spans="1:26">
      <c r="A703"/>
      <c r="B703"/>
      <c r="C703"/>
      <c r="D703"/>
      <c r="E703"/>
      <c r="F703"/>
      <c r="G703"/>
      <c r="H703"/>
      <c r="I703"/>
      <c r="J703"/>
      <c r="K703"/>
      <c r="L703"/>
      <c r="M703" s="4"/>
      <c r="N703" s="4"/>
      <c r="O703"/>
      <c r="P703"/>
      <c r="Q703"/>
      <c r="R703"/>
      <c r="S703"/>
      <c r="T703"/>
      <c r="U703"/>
      <c r="V703"/>
      <c r="W703"/>
      <c r="X703"/>
      <c r="Y703"/>
      <c r="Z703"/>
    </row>
    <row r="704" spans="1:26">
      <c r="A704"/>
      <c r="B704"/>
      <c r="C704"/>
      <c r="D704"/>
      <c r="E704"/>
      <c r="F704"/>
      <c r="G704"/>
      <c r="H704"/>
      <c r="I704"/>
      <c r="J704"/>
      <c r="K704"/>
      <c r="L704"/>
      <c r="M704" s="4"/>
      <c r="N704" s="4"/>
      <c r="O704"/>
      <c r="P704"/>
      <c r="Q704"/>
      <c r="R704"/>
      <c r="S704"/>
      <c r="T704"/>
      <c r="U704"/>
      <c r="V704"/>
      <c r="W704"/>
      <c r="X704"/>
      <c r="Y704"/>
      <c r="Z704"/>
    </row>
    <row r="705" spans="1:26">
      <c r="A705"/>
      <c r="B705"/>
      <c r="C705"/>
      <c r="D705"/>
      <c r="E705"/>
      <c r="F705"/>
      <c r="G705"/>
      <c r="H705"/>
      <c r="I705"/>
      <c r="J705"/>
      <c r="K705"/>
      <c r="L705"/>
      <c r="M705" s="4"/>
      <c r="N705" s="4"/>
      <c r="O705"/>
      <c r="P705"/>
      <c r="Q705"/>
      <c r="R705"/>
      <c r="S705"/>
      <c r="T705"/>
      <c r="U705"/>
      <c r="V705"/>
      <c r="W705"/>
      <c r="X705"/>
      <c r="Y705"/>
      <c r="Z705"/>
    </row>
    <row r="706" spans="1:26">
      <c r="A706"/>
      <c r="B706"/>
      <c r="C706"/>
      <c r="D706"/>
      <c r="E706"/>
      <c r="F706"/>
      <c r="G706"/>
      <c r="H706"/>
      <c r="I706"/>
      <c r="J706"/>
      <c r="K706"/>
      <c r="L706"/>
      <c r="M706" s="4"/>
      <c r="N706" s="4"/>
      <c r="O706"/>
      <c r="P706"/>
      <c r="Q706"/>
      <c r="R706"/>
      <c r="S706"/>
      <c r="T706"/>
      <c r="U706"/>
      <c r="V706"/>
      <c r="W706"/>
      <c r="X706"/>
      <c r="Y706"/>
      <c r="Z706"/>
    </row>
    <row r="707" spans="1:26">
      <c r="A707"/>
      <c r="B707"/>
      <c r="C707"/>
      <c r="D707"/>
      <c r="E707"/>
      <c r="F707"/>
      <c r="G707"/>
      <c r="H707"/>
      <c r="I707"/>
      <c r="J707"/>
      <c r="K707"/>
      <c r="L707"/>
      <c r="M707" s="4"/>
      <c r="N707" s="4"/>
      <c r="O707"/>
      <c r="P707"/>
      <c r="Q707"/>
      <c r="R707"/>
      <c r="S707"/>
      <c r="T707"/>
      <c r="U707"/>
      <c r="V707"/>
      <c r="W707"/>
      <c r="X707"/>
      <c r="Y707"/>
      <c r="Z707"/>
    </row>
    <row r="708" spans="1:26">
      <c r="A708"/>
      <c r="B708"/>
      <c r="C708"/>
      <c r="D708"/>
      <c r="E708"/>
      <c r="F708"/>
      <c r="G708"/>
      <c r="H708"/>
      <c r="I708"/>
      <c r="J708"/>
      <c r="K708"/>
      <c r="L708"/>
      <c r="M708" s="4"/>
      <c r="N708" s="4"/>
      <c r="O708"/>
      <c r="P708"/>
      <c r="Q708"/>
      <c r="R708"/>
      <c r="S708"/>
      <c r="T708"/>
      <c r="U708"/>
      <c r="V708"/>
      <c r="W708"/>
      <c r="X708"/>
      <c r="Y708"/>
      <c r="Z708"/>
    </row>
    <row r="709" spans="1:26">
      <c r="A709"/>
      <c r="B709"/>
      <c r="C709"/>
      <c r="D709"/>
      <c r="E709"/>
      <c r="F709"/>
      <c r="G709"/>
      <c r="H709"/>
      <c r="I709"/>
      <c r="J709"/>
      <c r="K709"/>
      <c r="L709"/>
      <c r="M709" s="4"/>
      <c r="N709" s="4"/>
      <c r="O709"/>
      <c r="P709"/>
      <c r="Q709"/>
      <c r="R709"/>
      <c r="S709"/>
      <c r="T709"/>
      <c r="U709"/>
      <c r="V709"/>
      <c r="W709"/>
      <c r="X709"/>
      <c r="Y709"/>
      <c r="Z709"/>
    </row>
    <row r="710" spans="1:26">
      <c r="A710"/>
      <c r="B710"/>
      <c r="C710"/>
      <c r="D710"/>
      <c r="E710"/>
      <c r="F710"/>
      <c r="G710"/>
      <c r="H710"/>
      <c r="I710"/>
      <c r="J710"/>
      <c r="K710"/>
      <c r="L710"/>
      <c r="M710" s="4"/>
      <c r="N710" s="4"/>
      <c r="O710"/>
      <c r="P710"/>
      <c r="Q710"/>
      <c r="R710"/>
      <c r="S710"/>
      <c r="T710"/>
      <c r="U710"/>
      <c r="V710"/>
      <c r="W710"/>
      <c r="X710"/>
      <c r="Y710"/>
      <c r="Z710"/>
    </row>
    <row r="711" spans="1:26">
      <c r="A711"/>
      <c r="B711"/>
      <c r="C711"/>
      <c r="D711"/>
      <c r="E711"/>
      <c r="F711"/>
      <c r="G711"/>
      <c r="H711"/>
      <c r="I711"/>
      <c r="J711"/>
      <c r="K711"/>
      <c r="L711"/>
      <c r="M711" s="4"/>
      <c r="N711" s="4"/>
      <c r="O711"/>
      <c r="P711"/>
      <c r="Q711"/>
      <c r="R711"/>
      <c r="S711"/>
      <c r="T711"/>
      <c r="U711"/>
      <c r="V711"/>
      <c r="W711"/>
      <c r="X711"/>
      <c r="Y711"/>
      <c r="Z711"/>
    </row>
    <row r="712" spans="1:26">
      <c r="A712"/>
      <c r="B712"/>
      <c r="C712"/>
      <c r="D712"/>
      <c r="E712"/>
      <c r="F712"/>
      <c r="G712"/>
      <c r="H712"/>
      <c r="I712"/>
      <c r="J712"/>
      <c r="K712"/>
      <c r="L712"/>
      <c r="M712" s="4"/>
      <c r="N712" s="4"/>
      <c r="O712"/>
      <c r="P712"/>
      <c r="Q712"/>
      <c r="R712"/>
      <c r="S712"/>
      <c r="T712"/>
      <c r="U712"/>
      <c r="V712"/>
      <c r="W712"/>
      <c r="X712"/>
      <c r="Y712"/>
      <c r="Z712"/>
    </row>
    <row r="713" spans="1:26">
      <c r="A713"/>
      <c r="B713"/>
      <c r="C713"/>
      <c r="D713"/>
      <c r="E713"/>
      <c r="F713"/>
      <c r="G713"/>
      <c r="H713"/>
      <c r="I713"/>
      <c r="J713"/>
      <c r="K713"/>
      <c r="L713"/>
      <c r="M713" s="4"/>
      <c r="N713" s="4"/>
      <c r="O713"/>
      <c r="P713"/>
      <c r="Q713"/>
      <c r="R713"/>
      <c r="S713"/>
      <c r="T713"/>
      <c r="U713"/>
      <c r="V713"/>
      <c r="W713"/>
      <c r="X713"/>
      <c r="Y713"/>
      <c r="Z713"/>
    </row>
    <row r="714" spans="1:26">
      <c r="A714"/>
      <c r="B714"/>
      <c r="C714"/>
      <c r="D714"/>
      <c r="E714"/>
      <c r="F714"/>
      <c r="G714"/>
      <c r="H714"/>
      <c r="I714"/>
      <c r="J714"/>
      <c r="K714"/>
      <c r="L714"/>
      <c r="M714" s="4"/>
      <c r="N714" s="4"/>
      <c r="O714"/>
      <c r="P714"/>
      <c r="Q714"/>
      <c r="R714"/>
      <c r="S714"/>
      <c r="T714"/>
      <c r="U714"/>
      <c r="V714"/>
      <c r="W714"/>
      <c r="X714"/>
      <c r="Y714"/>
      <c r="Z714"/>
    </row>
    <row r="715" spans="1:26">
      <c r="A715"/>
      <c r="B715"/>
      <c r="C715"/>
      <c r="D715"/>
      <c r="E715"/>
      <c r="F715"/>
      <c r="G715"/>
      <c r="H715"/>
      <c r="I715"/>
      <c r="J715"/>
      <c r="K715"/>
      <c r="L715"/>
      <c r="M715" s="4"/>
      <c r="N715" s="4"/>
      <c r="O715"/>
      <c r="P715"/>
      <c r="Q715"/>
      <c r="R715"/>
      <c r="S715"/>
      <c r="T715"/>
      <c r="U715"/>
      <c r="V715"/>
      <c r="W715"/>
      <c r="X715"/>
      <c r="Y715"/>
      <c r="Z715"/>
    </row>
    <row r="716" spans="1:26">
      <c r="A716"/>
      <c r="B716"/>
      <c r="C716"/>
      <c r="D716"/>
      <c r="E716"/>
      <c r="F716"/>
      <c r="G716"/>
      <c r="H716"/>
      <c r="I716"/>
      <c r="J716"/>
      <c r="K716"/>
      <c r="L716"/>
      <c r="M716" s="4"/>
      <c r="N716" s="4"/>
      <c r="O716"/>
      <c r="P716"/>
      <c r="Q716"/>
      <c r="R716"/>
      <c r="S716"/>
      <c r="T716"/>
      <c r="U716"/>
      <c r="V716"/>
      <c r="W716"/>
      <c r="X716"/>
      <c r="Y716"/>
      <c r="Z716"/>
    </row>
    <row r="717" spans="1:26">
      <c r="A717"/>
      <c r="B717"/>
      <c r="C717"/>
      <c r="D717"/>
      <c r="E717"/>
      <c r="F717"/>
      <c r="G717"/>
      <c r="H717"/>
      <c r="I717"/>
      <c r="J717"/>
      <c r="K717"/>
      <c r="L717"/>
      <c r="M717" s="4"/>
      <c r="N717" s="4"/>
      <c r="O717"/>
      <c r="P717"/>
      <c r="Q717"/>
      <c r="R717"/>
      <c r="S717"/>
      <c r="T717"/>
      <c r="U717"/>
      <c r="V717"/>
      <c r="W717"/>
      <c r="X717"/>
      <c r="Y717"/>
      <c r="Z717"/>
    </row>
    <row r="718" spans="1:26">
      <c r="A718"/>
      <c r="B718"/>
      <c r="C718"/>
      <c r="D718"/>
      <c r="E718"/>
      <c r="F718"/>
      <c r="G718"/>
      <c r="H718"/>
      <c r="I718"/>
      <c r="J718"/>
      <c r="K718"/>
      <c r="L718"/>
      <c r="M718" s="4"/>
      <c r="N718" s="4"/>
      <c r="O718"/>
      <c r="P718"/>
      <c r="Q718"/>
      <c r="R718"/>
      <c r="S718"/>
      <c r="T718"/>
      <c r="U718"/>
      <c r="V718"/>
      <c r="W718"/>
      <c r="X718"/>
      <c r="Y718"/>
      <c r="Z718"/>
    </row>
    <row r="719" spans="1:26">
      <c r="A719"/>
      <c r="B719"/>
      <c r="C719"/>
      <c r="D719"/>
      <c r="E719"/>
      <c r="F719"/>
      <c r="G719"/>
      <c r="H719"/>
      <c r="I719"/>
      <c r="J719"/>
      <c r="K719"/>
      <c r="L719"/>
      <c r="M719" s="4"/>
      <c r="N719" s="4"/>
      <c r="O719"/>
      <c r="P719"/>
      <c r="Q719"/>
      <c r="R719"/>
      <c r="S719"/>
      <c r="T719"/>
      <c r="U719"/>
      <c r="V719"/>
      <c r="W719"/>
      <c r="X719"/>
      <c r="Y719"/>
      <c r="Z719"/>
    </row>
    <row r="720" spans="1:26">
      <c r="A720"/>
      <c r="B720"/>
      <c r="C720"/>
      <c r="D720"/>
      <c r="E720"/>
      <c r="F720"/>
      <c r="G720"/>
      <c r="H720"/>
      <c r="I720"/>
      <c r="J720"/>
      <c r="K720"/>
      <c r="L720"/>
      <c r="M720" s="4"/>
      <c r="N720" s="4"/>
      <c r="O720"/>
      <c r="P720"/>
      <c r="Q720"/>
      <c r="R720"/>
      <c r="S720"/>
      <c r="T720"/>
      <c r="U720"/>
      <c r="V720"/>
      <c r="W720"/>
      <c r="X720"/>
      <c r="Y720"/>
      <c r="Z720"/>
    </row>
    <row r="721" spans="1:26">
      <c r="A721"/>
      <c r="B721"/>
      <c r="C721"/>
      <c r="D721"/>
      <c r="E721"/>
      <c r="F721"/>
      <c r="G721"/>
      <c r="H721"/>
      <c r="I721"/>
      <c r="J721"/>
      <c r="K721"/>
      <c r="L721"/>
      <c r="M721" s="4"/>
      <c r="N721" s="4"/>
      <c r="O721"/>
      <c r="P721"/>
      <c r="Q721"/>
      <c r="R721"/>
      <c r="S721"/>
      <c r="T721"/>
      <c r="U721"/>
      <c r="V721"/>
      <c r="W721"/>
      <c r="X721"/>
      <c r="Y721"/>
      <c r="Z721"/>
    </row>
    <row r="722" spans="1:26">
      <c r="A722"/>
      <c r="B722"/>
      <c r="C722"/>
      <c r="D722"/>
      <c r="E722"/>
      <c r="F722"/>
      <c r="G722"/>
      <c r="H722"/>
      <c r="I722"/>
      <c r="J722"/>
      <c r="K722"/>
      <c r="L722"/>
      <c r="M722" s="4"/>
      <c r="N722" s="4"/>
      <c r="O722"/>
      <c r="P722"/>
      <c r="Q722"/>
      <c r="R722"/>
      <c r="S722"/>
      <c r="T722"/>
      <c r="U722"/>
      <c r="V722"/>
      <c r="W722"/>
      <c r="X722"/>
      <c r="Y722"/>
      <c r="Z722"/>
    </row>
    <row r="723" spans="1:26">
      <c r="A723"/>
      <c r="B723"/>
      <c r="C723"/>
      <c r="D723"/>
      <c r="E723"/>
      <c r="F723"/>
      <c r="G723"/>
      <c r="H723"/>
      <c r="I723"/>
      <c r="J723"/>
      <c r="K723"/>
      <c r="L723"/>
      <c r="M723" s="4"/>
      <c r="N723" s="4"/>
      <c r="O723"/>
      <c r="P723"/>
      <c r="Q723"/>
      <c r="R723"/>
      <c r="S723"/>
      <c r="T723"/>
      <c r="U723"/>
      <c r="V723"/>
      <c r="W723"/>
      <c r="X723"/>
      <c r="Y723"/>
      <c r="Z723"/>
    </row>
    <row r="724" spans="1:26">
      <c r="A724"/>
      <c r="B724"/>
      <c r="C724"/>
      <c r="D724"/>
      <c r="E724"/>
      <c r="F724"/>
      <c r="G724"/>
      <c r="H724"/>
      <c r="I724"/>
      <c r="J724"/>
      <c r="K724"/>
      <c r="L724"/>
      <c r="M724" s="4"/>
      <c r="N724" s="4"/>
      <c r="O724"/>
      <c r="P724"/>
      <c r="Q724"/>
      <c r="R724"/>
      <c r="S724"/>
      <c r="T724"/>
      <c r="U724"/>
      <c r="V724"/>
      <c r="W724"/>
      <c r="X724"/>
      <c r="Y724"/>
      <c r="Z724"/>
    </row>
    <row r="725" spans="1:26">
      <c r="A725"/>
      <c r="B725"/>
      <c r="C725"/>
      <c r="D725"/>
      <c r="E725"/>
      <c r="F725"/>
      <c r="G725"/>
      <c r="H725"/>
      <c r="I725"/>
      <c r="J725"/>
      <c r="K725"/>
      <c r="L725"/>
      <c r="M725" s="4"/>
      <c r="N725" s="4"/>
      <c r="O725"/>
      <c r="P725"/>
      <c r="Q725"/>
      <c r="R725"/>
      <c r="S725"/>
      <c r="T725"/>
      <c r="U725"/>
      <c r="V725"/>
      <c r="W725"/>
      <c r="X725"/>
      <c r="Y725"/>
      <c r="Z725"/>
    </row>
    <row r="726" spans="1:26">
      <c r="A726"/>
      <c r="B726"/>
      <c r="C726"/>
      <c r="D726"/>
      <c r="E726"/>
      <c r="F726"/>
      <c r="G726"/>
      <c r="H726"/>
      <c r="I726"/>
      <c r="J726"/>
      <c r="K726"/>
      <c r="L726"/>
      <c r="M726" s="4"/>
      <c r="N726" s="4"/>
      <c r="O726"/>
      <c r="P726"/>
      <c r="Q726"/>
      <c r="R726"/>
      <c r="S726"/>
      <c r="T726"/>
      <c r="U726"/>
      <c r="V726"/>
      <c r="W726"/>
      <c r="X726"/>
      <c r="Y726"/>
      <c r="Z726"/>
    </row>
    <row r="727" spans="1:26">
      <c r="A727"/>
      <c r="B727"/>
      <c r="C727"/>
      <c r="D727"/>
      <c r="E727"/>
      <c r="F727"/>
      <c r="G727"/>
      <c r="H727"/>
      <c r="I727"/>
      <c r="J727"/>
      <c r="K727"/>
      <c r="L727"/>
      <c r="M727" s="4"/>
      <c r="N727" s="4"/>
      <c r="O727"/>
      <c r="P727"/>
      <c r="Q727"/>
      <c r="R727"/>
      <c r="S727"/>
      <c r="T727"/>
      <c r="U727"/>
      <c r="V727"/>
      <c r="W727"/>
      <c r="X727"/>
      <c r="Y727"/>
      <c r="Z727"/>
    </row>
    <row r="728" spans="1:26">
      <c r="A728"/>
      <c r="B728"/>
      <c r="C728"/>
      <c r="D728"/>
      <c r="E728"/>
      <c r="F728"/>
      <c r="G728"/>
      <c r="H728"/>
      <c r="I728"/>
      <c r="J728"/>
      <c r="K728"/>
      <c r="L728"/>
      <c r="M728" s="4"/>
      <c r="N728" s="4"/>
      <c r="O728"/>
      <c r="P728"/>
      <c r="Q728"/>
      <c r="R728"/>
      <c r="S728"/>
      <c r="T728"/>
      <c r="U728"/>
      <c r="V728"/>
      <c r="W728"/>
      <c r="X728"/>
      <c r="Y728"/>
      <c r="Z728"/>
    </row>
    <row r="729" spans="1:26">
      <c r="A729"/>
      <c r="B729"/>
      <c r="C729"/>
      <c r="D729"/>
      <c r="E729"/>
      <c r="F729"/>
      <c r="G729"/>
      <c r="H729"/>
      <c r="I729"/>
      <c r="J729"/>
      <c r="K729"/>
      <c r="L729"/>
      <c r="M729" s="4"/>
      <c r="N729" s="4"/>
      <c r="O729"/>
      <c r="P729"/>
      <c r="Q729"/>
      <c r="R729"/>
      <c r="S729"/>
      <c r="T729"/>
      <c r="U729"/>
      <c r="V729"/>
      <c r="W729"/>
      <c r="X729"/>
      <c r="Y729"/>
      <c r="Z729"/>
    </row>
    <row r="730" spans="1:26">
      <c r="A730"/>
      <c r="B730"/>
      <c r="C730"/>
      <c r="D730"/>
      <c r="E730"/>
      <c r="F730"/>
      <c r="G730"/>
      <c r="H730"/>
      <c r="I730"/>
      <c r="J730"/>
      <c r="K730"/>
      <c r="L730"/>
      <c r="M730" s="4"/>
      <c r="N730" s="4"/>
      <c r="O730"/>
      <c r="P730"/>
      <c r="Q730"/>
      <c r="R730"/>
      <c r="S730"/>
      <c r="T730"/>
      <c r="U730"/>
      <c r="V730"/>
      <c r="W730"/>
      <c r="X730"/>
      <c r="Y730"/>
      <c r="Z730"/>
    </row>
    <row r="731" spans="1:26">
      <c r="A731"/>
      <c r="B731"/>
      <c r="C731"/>
      <c r="D731"/>
      <c r="E731"/>
      <c r="F731"/>
      <c r="G731"/>
      <c r="H731"/>
      <c r="I731"/>
      <c r="J731"/>
      <c r="K731"/>
      <c r="L731"/>
      <c r="M731" s="4"/>
      <c r="N731" s="4"/>
      <c r="O731"/>
      <c r="P731"/>
      <c r="Q731"/>
      <c r="R731"/>
      <c r="S731"/>
      <c r="T731"/>
      <c r="U731"/>
      <c r="V731"/>
      <c r="W731"/>
      <c r="X731"/>
      <c r="Y731"/>
      <c r="Z731"/>
    </row>
    <row r="732" spans="1:26">
      <c r="A732"/>
      <c r="B732"/>
      <c r="C732"/>
      <c r="D732"/>
      <c r="E732"/>
      <c r="F732"/>
      <c r="G732"/>
      <c r="H732"/>
      <c r="I732"/>
      <c r="J732"/>
      <c r="K732"/>
      <c r="L732"/>
      <c r="M732" s="4"/>
      <c r="N732" s="4"/>
      <c r="O732"/>
      <c r="P732"/>
      <c r="Q732"/>
      <c r="R732"/>
      <c r="S732"/>
      <c r="T732"/>
      <c r="U732"/>
      <c r="V732"/>
      <c r="W732"/>
      <c r="X732"/>
      <c r="Y732"/>
      <c r="Z732"/>
    </row>
    <row r="733" spans="1:26">
      <c r="A733"/>
      <c r="B733"/>
      <c r="C733"/>
      <c r="D733"/>
      <c r="E733"/>
      <c r="F733"/>
      <c r="G733"/>
      <c r="H733"/>
      <c r="I733"/>
      <c r="J733"/>
      <c r="K733"/>
      <c r="L733"/>
      <c r="M733" s="4"/>
      <c r="N733" s="4"/>
      <c r="O733"/>
      <c r="P733"/>
      <c r="Q733"/>
      <c r="R733"/>
      <c r="S733"/>
      <c r="T733"/>
      <c r="U733"/>
      <c r="V733"/>
      <c r="W733"/>
      <c r="X733"/>
      <c r="Y733"/>
      <c r="Z733"/>
    </row>
    <row r="734" spans="1:26">
      <c r="A734"/>
      <c r="B734"/>
      <c r="C734"/>
      <c r="D734"/>
      <c r="E734"/>
      <c r="F734"/>
      <c r="G734"/>
      <c r="H734"/>
      <c r="I734"/>
      <c r="J734"/>
      <c r="K734"/>
      <c r="L734"/>
      <c r="M734" s="4"/>
      <c r="N734" s="4"/>
      <c r="O734"/>
      <c r="P734"/>
      <c r="Q734"/>
      <c r="R734"/>
      <c r="S734"/>
      <c r="T734"/>
      <c r="U734"/>
      <c r="V734"/>
      <c r="W734"/>
      <c r="X734"/>
      <c r="Y734"/>
      <c r="Z734"/>
    </row>
    <row r="735" spans="1:26">
      <c r="A735"/>
      <c r="B735"/>
      <c r="C735"/>
      <c r="D735"/>
      <c r="E735"/>
      <c r="F735"/>
      <c r="G735"/>
      <c r="H735"/>
      <c r="I735"/>
      <c r="J735"/>
      <c r="K735"/>
      <c r="L735"/>
      <c r="M735" s="4"/>
      <c r="N735" s="4"/>
      <c r="O735"/>
      <c r="P735"/>
      <c r="Q735"/>
      <c r="R735"/>
      <c r="S735"/>
      <c r="T735"/>
      <c r="U735"/>
      <c r="V735"/>
      <c r="W735"/>
      <c r="X735"/>
      <c r="Y735"/>
      <c r="Z735"/>
    </row>
    <row r="736" spans="1:26">
      <c r="A736"/>
      <c r="B736"/>
      <c r="C736"/>
      <c r="D736"/>
      <c r="E736"/>
      <c r="F736"/>
      <c r="G736"/>
      <c r="H736"/>
      <c r="I736"/>
      <c r="J736"/>
      <c r="K736"/>
      <c r="L736"/>
      <c r="M736" s="4"/>
      <c r="N736" s="4"/>
      <c r="O736"/>
      <c r="P736"/>
      <c r="Q736"/>
      <c r="R736"/>
      <c r="S736"/>
      <c r="T736"/>
      <c r="U736"/>
      <c r="V736"/>
      <c r="W736"/>
      <c r="X736"/>
      <c r="Y736"/>
      <c r="Z736"/>
    </row>
    <row r="737" spans="1:26">
      <c r="A737"/>
      <c r="B737"/>
      <c r="C737"/>
      <c r="D737"/>
      <c r="E737"/>
      <c r="F737"/>
      <c r="G737"/>
      <c r="H737"/>
      <c r="I737"/>
      <c r="J737"/>
      <c r="K737"/>
      <c r="L737"/>
      <c r="M737" s="4"/>
      <c r="N737" s="4"/>
      <c r="O737"/>
      <c r="P737"/>
      <c r="Q737"/>
      <c r="R737"/>
      <c r="S737"/>
      <c r="T737"/>
      <c r="U737"/>
      <c r="V737"/>
      <c r="W737"/>
      <c r="X737"/>
      <c r="Y737"/>
      <c r="Z737"/>
    </row>
    <row r="738" spans="1:26">
      <c r="A738"/>
      <c r="B738"/>
      <c r="C738"/>
      <c r="D738"/>
      <c r="E738"/>
      <c r="F738"/>
      <c r="G738"/>
      <c r="H738"/>
      <c r="I738"/>
      <c r="J738"/>
      <c r="K738"/>
      <c r="L738"/>
      <c r="M738" s="4"/>
      <c r="N738" s="4"/>
      <c r="O738"/>
      <c r="P738"/>
      <c r="Q738"/>
      <c r="R738"/>
      <c r="S738"/>
      <c r="T738"/>
      <c r="U738"/>
      <c r="V738"/>
      <c r="W738"/>
      <c r="X738"/>
      <c r="Y738"/>
      <c r="Z738"/>
    </row>
    <row r="739" spans="1:26">
      <c r="A739"/>
      <c r="B739"/>
      <c r="C739"/>
      <c r="D739"/>
      <c r="E739"/>
      <c r="F739"/>
      <c r="G739"/>
      <c r="H739"/>
      <c r="I739"/>
      <c r="J739"/>
      <c r="K739"/>
      <c r="L739"/>
      <c r="M739" s="4"/>
      <c r="N739" s="4"/>
      <c r="O739"/>
      <c r="P739"/>
      <c r="Q739"/>
      <c r="R739"/>
      <c r="S739"/>
      <c r="T739"/>
      <c r="U739"/>
      <c r="V739"/>
      <c r="W739"/>
      <c r="X739"/>
      <c r="Y739"/>
      <c r="Z739"/>
    </row>
    <row r="740" spans="1:26">
      <c r="A740"/>
      <c r="B740"/>
      <c r="C740"/>
      <c r="D740"/>
      <c r="E740"/>
      <c r="F740"/>
      <c r="G740"/>
      <c r="H740"/>
      <c r="I740"/>
      <c r="J740"/>
      <c r="K740"/>
      <c r="L740"/>
      <c r="M740" s="4"/>
      <c r="N740" s="4"/>
      <c r="O740"/>
      <c r="P740"/>
      <c r="Q740"/>
      <c r="R740"/>
      <c r="S740"/>
      <c r="T740"/>
      <c r="U740"/>
      <c r="V740"/>
      <c r="W740"/>
      <c r="X740"/>
      <c r="Y740"/>
      <c r="Z740"/>
    </row>
    <row r="741" spans="1:26">
      <c r="A741"/>
      <c r="B741"/>
      <c r="C741"/>
      <c r="D741"/>
      <c r="E741"/>
      <c r="F741"/>
      <c r="G741"/>
      <c r="H741"/>
      <c r="I741"/>
      <c r="J741"/>
      <c r="K741"/>
      <c r="L741"/>
      <c r="M741" s="4"/>
      <c r="N741" s="4"/>
      <c r="O741"/>
      <c r="P741"/>
      <c r="Q741"/>
      <c r="R741"/>
      <c r="S741"/>
      <c r="T741"/>
      <c r="U741"/>
      <c r="V741"/>
      <c r="W741"/>
      <c r="X741"/>
      <c r="Y741"/>
      <c r="Z741"/>
    </row>
    <row r="742" spans="1:26">
      <c r="A742"/>
      <c r="B742"/>
      <c r="C742"/>
      <c r="D742"/>
      <c r="E742"/>
      <c r="F742"/>
      <c r="G742"/>
      <c r="H742"/>
      <c r="I742"/>
      <c r="J742"/>
      <c r="K742"/>
      <c r="L742"/>
      <c r="M742" s="4"/>
      <c r="N742" s="4"/>
      <c r="O742"/>
      <c r="P742"/>
      <c r="Q742"/>
      <c r="R742"/>
      <c r="S742"/>
      <c r="T742"/>
      <c r="U742"/>
      <c r="V742"/>
      <c r="W742"/>
      <c r="X742"/>
      <c r="Y742"/>
      <c r="Z742"/>
    </row>
    <row r="743" spans="1:26">
      <c r="A743"/>
      <c r="B743"/>
      <c r="C743"/>
      <c r="D743"/>
      <c r="E743"/>
      <c r="F743"/>
      <c r="G743"/>
      <c r="H743"/>
      <c r="I743"/>
      <c r="J743"/>
      <c r="K743"/>
      <c r="L743"/>
      <c r="M743" s="4"/>
      <c r="N743" s="4"/>
      <c r="O743"/>
      <c r="P743"/>
      <c r="Q743"/>
      <c r="R743"/>
      <c r="S743"/>
      <c r="T743"/>
      <c r="U743"/>
      <c r="V743"/>
      <c r="W743"/>
      <c r="X743"/>
      <c r="Y743"/>
      <c r="Z743"/>
    </row>
    <row r="744" spans="1:26">
      <c r="A744"/>
      <c r="B744"/>
      <c r="C744"/>
      <c r="D744"/>
      <c r="E744"/>
      <c r="F744"/>
      <c r="G744"/>
      <c r="H744"/>
      <c r="I744"/>
      <c r="J744"/>
      <c r="K744"/>
      <c r="L744"/>
      <c r="M744" s="4"/>
      <c r="N744" s="4"/>
      <c r="O744"/>
      <c r="P744"/>
      <c r="Q744"/>
      <c r="R744"/>
      <c r="S744"/>
      <c r="T744"/>
      <c r="U744"/>
      <c r="V744"/>
      <c r="W744"/>
      <c r="X744"/>
      <c r="Y744"/>
      <c r="Z744"/>
    </row>
    <row r="745" spans="1:26">
      <c r="A745"/>
      <c r="B745"/>
      <c r="C745"/>
      <c r="D745"/>
      <c r="E745"/>
      <c r="F745"/>
      <c r="G745"/>
      <c r="H745"/>
      <c r="I745"/>
      <c r="J745"/>
      <c r="K745"/>
      <c r="L745"/>
      <c r="M745" s="4"/>
      <c r="N745" s="4"/>
      <c r="O745"/>
      <c r="P745"/>
      <c r="Q745"/>
      <c r="R745"/>
      <c r="S745"/>
      <c r="T745"/>
      <c r="U745"/>
      <c r="V745"/>
      <c r="W745"/>
      <c r="X745"/>
      <c r="Y745"/>
      <c r="Z745"/>
    </row>
    <row r="746" spans="1:26">
      <c r="A746"/>
      <c r="B746"/>
      <c r="C746"/>
      <c r="D746"/>
      <c r="E746"/>
      <c r="F746"/>
      <c r="G746"/>
      <c r="H746"/>
      <c r="I746"/>
      <c r="J746"/>
      <c r="K746"/>
      <c r="L746"/>
      <c r="M746" s="4"/>
      <c r="N746" s="4"/>
      <c r="O746"/>
      <c r="P746"/>
      <c r="Q746"/>
      <c r="R746"/>
      <c r="S746"/>
      <c r="T746"/>
      <c r="U746"/>
      <c r="V746"/>
      <c r="W746"/>
      <c r="X746"/>
      <c r="Y746"/>
      <c r="Z746"/>
    </row>
    <row r="747" spans="1:26">
      <c r="A747"/>
      <c r="B747"/>
      <c r="C747"/>
      <c r="D747"/>
      <c r="E747"/>
      <c r="F747"/>
      <c r="G747"/>
      <c r="H747"/>
      <c r="I747"/>
      <c r="J747"/>
      <c r="K747"/>
      <c r="L747"/>
      <c r="M747" s="4"/>
      <c r="N747" s="4"/>
      <c r="O747"/>
      <c r="P747"/>
      <c r="Q747"/>
      <c r="R747"/>
      <c r="S747"/>
      <c r="T747"/>
      <c r="U747"/>
      <c r="V747"/>
      <c r="W747"/>
      <c r="X747"/>
      <c r="Y747"/>
      <c r="Z747"/>
    </row>
    <row r="748" spans="1:26">
      <c r="A748"/>
      <c r="B748"/>
      <c r="C748"/>
      <c r="D748"/>
      <c r="E748"/>
      <c r="F748"/>
      <c r="G748"/>
      <c r="H748"/>
      <c r="I748"/>
      <c r="J748"/>
      <c r="K748"/>
      <c r="L748"/>
      <c r="M748" s="4"/>
      <c r="N748" s="4"/>
      <c r="O748"/>
      <c r="P748"/>
      <c r="Q748"/>
      <c r="R748"/>
      <c r="S748"/>
      <c r="T748"/>
      <c r="U748"/>
      <c r="V748"/>
      <c r="W748"/>
      <c r="X748"/>
      <c r="Y748"/>
      <c r="Z748"/>
    </row>
    <row r="749" spans="1:26">
      <c r="A749"/>
      <c r="B749"/>
      <c r="C749"/>
      <c r="D749"/>
      <c r="E749"/>
      <c r="F749"/>
      <c r="G749"/>
      <c r="H749"/>
      <c r="I749"/>
      <c r="J749"/>
      <c r="K749"/>
      <c r="L749"/>
      <c r="M749" s="4"/>
      <c r="N749" s="4"/>
      <c r="O749"/>
      <c r="P749"/>
      <c r="Q749"/>
      <c r="R749"/>
      <c r="S749"/>
      <c r="T749"/>
      <c r="U749"/>
      <c r="V749"/>
      <c r="W749"/>
      <c r="X749"/>
      <c r="Y749"/>
      <c r="Z749"/>
    </row>
    <row r="750" spans="1:26">
      <c r="A750"/>
      <c r="B750"/>
      <c r="C750"/>
      <c r="D750"/>
      <c r="E750"/>
      <c r="F750"/>
      <c r="G750"/>
      <c r="H750"/>
      <c r="I750"/>
      <c r="J750"/>
      <c r="K750"/>
      <c r="L750"/>
      <c r="M750" s="4"/>
      <c r="N750" s="4"/>
      <c r="O750"/>
      <c r="P750"/>
      <c r="Q750"/>
      <c r="R750"/>
      <c r="S750"/>
      <c r="T750"/>
      <c r="U750"/>
      <c r="V750"/>
      <c r="W750"/>
      <c r="X750"/>
      <c r="Y750"/>
      <c r="Z750"/>
    </row>
    <row r="751" spans="1:26">
      <c r="A751"/>
      <c r="B751"/>
      <c r="C751"/>
      <c r="D751"/>
      <c r="E751"/>
      <c r="F751"/>
      <c r="G751"/>
      <c r="H751"/>
      <c r="I751"/>
      <c r="J751"/>
      <c r="K751"/>
      <c r="L751"/>
      <c r="M751" s="4"/>
      <c r="N751" s="4"/>
      <c r="O751"/>
      <c r="P751"/>
      <c r="Q751"/>
      <c r="R751"/>
      <c r="S751"/>
      <c r="T751"/>
      <c r="U751"/>
      <c r="V751"/>
      <c r="W751"/>
      <c r="X751"/>
      <c r="Y751"/>
      <c r="Z751"/>
    </row>
    <row r="752" spans="1:26">
      <c r="A752"/>
      <c r="B752"/>
      <c r="C752"/>
      <c r="D752"/>
      <c r="E752"/>
      <c r="F752"/>
      <c r="G752"/>
      <c r="H752"/>
      <c r="I752"/>
      <c r="J752"/>
      <c r="K752"/>
      <c r="L752"/>
      <c r="M752" s="4"/>
      <c r="N752" s="4"/>
      <c r="O752"/>
      <c r="P752"/>
      <c r="Q752"/>
      <c r="R752"/>
      <c r="S752"/>
      <c r="T752"/>
      <c r="U752"/>
      <c r="V752"/>
      <c r="W752"/>
      <c r="X752"/>
      <c r="Y752"/>
      <c r="Z752"/>
    </row>
    <row r="753" spans="1:26">
      <c r="A753"/>
      <c r="B753"/>
      <c r="C753"/>
      <c r="D753"/>
      <c r="E753"/>
      <c r="F753"/>
      <c r="G753"/>
      <c r="H753"/>
      <c r="I753"/>
      <c r="J753"/>
      <c r="K753"/>
      <c r="L753"/>
      <c r="M753" s="4"/>
      <c r="N753" s="4"/>
      <c r="O753"/>
      <c r="P753"/>
      <c r="Q753"/>
      <c r="R753"/>
      <c r="S753"/>
      <c r="T753"/>
      <c r="U753"/>
      <c r="V753"/>
      <c r="W753"/>
      <c r="X753"/>
      <c r="Y753"/>
      <c r="Z753"/>
    </row>
    <row r="754" spans="1:26">
      <c r="A754"/>
      <c r="B754"/>
      <c r="C754"/>
      <c r="D754"/>
      <c r="E754"/>
      <c r="F754"/>
      <c r="G754"/>
      <c r="H754"/>
      <c r="I754"/>
      <c r="J754"/>
      <c r="K754"/>
      <c r="L754"/>
      <c r="M754" s="4"/>
      <c r="N754" s="4"/>
      <c r="O754"/>
      <c r="P754"/>
      <c r="Q754"/>
      <c r="R754"/>
      <c r="S754"/>
      <c r="T754"/>
      <c r="U754"/>
      <c r="V754"/>
      <c r="W754"/>
      <c r="X754"/>
      <c r="Y754"/>
      <c r="Z754"/>
    </row>
    <row r="755" spans="1:26">
      <c r="A755"/>
      <c r="B755"/>
      <c r="C755"/>
      <c r="D755"/>
      <c r="E755"/>
      <c r="F755"/>
      <c r="G755"/>
      <c r="H755"/>
      <c r="I755"/>
      <c r="J755"/>
      <c r="K755"/>
      <c r="L755"/>
      <c r="M755" s="4"/>
      <c r="N755" s="4"/>
      <c r="O755"/>
      <c r="P755"/>
      <c r="Q755"/>
      <c r="R755"/>
      <c r="S755"/>
      <c r="T755"/>
      <c r="U755"/>
      <c r="V755"/>
      <c r="W755"/>
      <c r="X755"/>
      <c r="Y755"/>
      <c r="Z755"/>
    </row>
    <row r="756" spans="1:26">
      <c r="A756"/>
      <c r="B756"/>
      <c r="C756"/>
      <c r="D756"/>
      <c r="E756"/>
      <c r="F756"/>
      <c r="G756"/>
      <c r="H756"/>
      <c r="I756"/>
      <c r="J756"/>
      <c r="K756"/>
      <c r="L756"/>
      <c r="M756" s="4"/>
      <c r="N756" s="4"/>
      <c r="O756"/>
      <c r="P756"/>
      <c r="Q756"/>
      <c r="R756"/>
      <c r="S756"/>
      <c r="T756"/>
      <c r="U756"/>
      <c r="V756"/>
      <c r="W756"/>
      <c r="X756"/>
      <c r="Y756"/>
      <c r="Z756"/>
    </row>
    <row r="757" spans="1:26">
      <c r="A757"/>
      <c r="B757"/>
      <c r="C757"/>
      <c r="D757"/>
      <c r="E757"/>
      <c r="F757"/>
      <c r="G757"/>
      <c r="H757"/>
      <c r="I757"/>
      <c r="J757"/>
      <c r="K757"/>
      <c r="L757"/>
      <c r="M757" s="4"/>
      <c r="N757" s="4"/>
      <c r="O757"/>
      <c r="P757"/>
      <c r="Q757"/>
      <c r="R757"/>
      <c r="S757"/>
      <c r="T757"/>
      <c r="U757"/>
      <c r="V757"/>
      <c r="W757"/>
      <c r="X757"/>
      <c r="Y757"/>
      <c r="Z757"/>
    </row>
    <row r="758" spans="1:26">
      <c r="A758"/>
      <c r="B758"/>
      <c r="C758"/>
      <c r="D758"/>
      <c r="E758"/>
      <c r="F758"/>
      <c r="G758"/>
      <c r="H758"/>
      <c r="I758"/>
      <c r="J758"/>
      <c r="K758"/>
      <c r="L758"/>
      <c r="M758" s="4"/>
      <c r="N758" s="4"/>
      <c r="O758"/>
      <c r="P758"/>
      <c r="Q758"/>
      <c r="R758"/>
      <c r="S758"/>
      <c r="T758"/>
      <c r="U758"/>
      <c r="V758"/>
      <c r="W758"/>
      <c r="X758"/>
      <c r="Y758"/>
      <c r="Z758"/>
    </row>
    <row r="759" spans="1:26">
      <c r="A759"/>
      <c r="B759"/>
      <c r="C759"/>
      <c r="D759"/>
      <c r="E759"/>
      <c r="F759"/>
      <c r="G759"/>
      <c r="H759"/>
      <c r="I759"/>
      <c r="J759"/>
      <c r="K759"/>
      <c r="L759"/>
      <c r="M759" s="4"/>
      <c r="N759" s="4"/>
      <c r="O759"/>
      <c r="P759"/>
      <c r="Q759"/>
      <c r="R759"/>
      <c r="S759"/>
      <c r="T759"/>
      <c r="U759"/>
      <c r="V759"/>
      <c r="W759"/>
      <c r="X759"/>
      <c r="Y759"/>
      <c r="Z759"/>
    </row>
    <row r="760" spans="1:26">
      <c r="A760"/>
      <c r="B760"/>
      <c r="C760"/>
      <c r="D760"/>
      <c r="E760"/>
      <c r="F760"/>
      <c r="G760"/>
      <c r="H760"/>
      <c r="I760"/>
      <c r="J760"/>
      <c r="K760"/>
      <c r="L760"/>
      <c r="M760" s="4"/>
      <c r="N760" s="4"/>
      <c r="O760"/>
      <c r="P760"/>
      <c r="Q760"/>
      <c r="R760"/>
      <c r="S760"/>
      <c r="T760"/>
      <c r="U760"/>
      <c r="V760"/>
      <c r="W760"/>
      <c r="X760"/>
      <c r="Y760"/>
      <c r="Z760"/>
    </row>
    <row r="761" spans="1:26">
      <c r="A761"/>
      <c r="B761"/>
      <c r="C761"/>
      <c r="D761"/>
      <c r="E761"/>
      <c r="F761"/>
      <c r="G761"/>
      <c r="H761"/>
      <c r="I761"/>
      <c r="J761"/>
      <c r="K761"/>
      <c r="L761"/>
      <c r="M761" s="4"/>
      <c r="N761" s="4"/>
      <c r="O761"/>
      <c r="P761"/>
      <c r="Q761"/>
      <c r="R761"/>
      <c r="S761"/>
      <c r="T761"/>
      <c r="U761"/>
      <c r="V761"/>
      <c r="W761"/>
      <c r="X761"/>
      <c r="Y761"/>
      <c r="Z761"/>
    </row>
    <row r="762" spans="1:26">
      <c r="A762"/>
      <c r="B762"/>
      <c r="C762"/>
      <c r="D762"/>
      <c r="E762"/>
      <c r="F762"/>
      <c r="G762"/>
      <c r="H762"/>
      <c r="I762"/>
      <c r="J762"/>
      <c r="K762"/>
      <c r="L762"/>
      <c r="M762" s="4"/>
      <c r="N762" s="4"/>
      <c r="O762"/>
      <c r="P762"/>
      <c r="Q762"/>
      <c r="R762"/>
      <c r="S762"/>
      <c r="T762"/>
      <c r="U762"/>
      <c r="V762"/>
      <c r="W762"/>
      <c r="X762"/>
      <c r="Y762"/>
      <c r="Z762"/>
    </row>
    <row r="763" spans="1:26">
      <c r="A763"/>
      <c r="B763"/>
      <c r="C763"/>
      <c r="D763"/>
      <c r="E763"/>
      <c r="F763"/>
      <c r="G763"/>
      <c r="H763"/>
      <c r="I763"/>
      <c r="J763"/>
      <c r="K763"/>
      <c r="L763"/>
      <c r="M763" s="4"/>
      <c r="N763" s="4"/>
      <c r="O763"/>
      <c r="P763"/>
      <c r="Q763"/>
      <c r="R763"/>
      <c r="S763"/>
      <c r="T763"/>
      <c r="U763"/>
      <c r="V763"/>
      <c r="W763"/>
      <c r="X763"/>
      <c r="Y763"/>
      <c r="Z763"/>
    </row>
    <row r="764" spans="1:26">
      <c r="A764"/>
      <c r="B764"/>
      <c r="C764"/>
      <c r="D764"/>
      <c r="E764"/>
      <c r="F764"/>
      <c r="G764"/>
      <c r="H764"/>
      <c r="I764"/>
      <c r="J764"/>
      <c r="K764"/>
      <c r="L764"/>
      <c r="M764" s="4"/>
      <c r="N764" s="4"/>
      <c r="O764"/>
      <c r="P764"/>
      <c r="Q764"/>
      <c r="R764"/>
      <c r="S764"/>
      <c r="T764"/>
      <c r="U764"/>
      <c r="V764"/>
      <c r="W764"/>
      <c r="X764"/>
      <c r="Y764"/>
      <c r="Z764"/>
    </row>
    <row r="765" spans="1:26">
      <c r="A765"/>
      <c r="B765"/>
      <c r="C765"/>
      <c r="D765"/>
      <c r="E765"/>
      <c r="F765"/>
      <c r="G765"/>
      <c r="H765"/>
      <c r="I765"/>
      <c r="J765"/>
      <c r="K765"/>
      <c r="L765"/>
      <c r="M765" s="4"/>
      <c r="N765" s="4"/>
      <c r="O765"/>
      <c r="P765"/>
      <c r="Q765"/>
      <c r="R765"/>
      <c r="S765"/>
      <c r="T765"/>
      <c r="U765"/>
      <c r="V765"/>
      <c r="W765"/>
      <c r="X765"/>
      <c r="Y765"/>
      <c r="Z765"/>
    </row>
    <row r="766" spans="1:26">
      <c r="A766"/>
      <c r="B766"/>
      <c r="C766"/>
      <c r="D766"/>
      <c r="E766"/>
      <c r="F766"/>
      <c r="G766"/>
      <c r="H766"/>
      <c r="I766"/>
      <c r="J766"/>
      <c r="K766"/>
      <c r="L766"/>
      <c r="M766" s="4"/>
      <c r="N766" s="4"/>
      <c r="O766"/>
      <c r="P766"/>
      <c r="Q766"/>
      <c r="R766"/>
      <c r="S766"/>
      <c r="T766"/>
      <c r="U766"/>
      <c r="V766"/>
      <c r="W766"/>
      <c r="X766"/>
      <c r="Y766"/>
      <c r="Z766"/>
    </row>
    <row r="767" spans="1:26">
      <c r="A767"/>
      <c r="B767"/>
      <c r="C767"/>
      <c r="D767"/>
      <c r="E767"/>
      <c r="F767"/>
      <c r="G767"/>
      <c r="H767"/>
      <c r="I767"/>
      <c r="J767"/>
      <c r="K767"/>
      <c r="L767"/>
      <c r="M767" s="4"/>
      <c r="N767" s="4"/>
      <c r="O767"/>
      <c r="P767"/>
      <c r="Q767"/>
      <c r="R767"/>
      <c r="S767"/>
      <c r="T767"/>
      <c r="U767"/>
      <c r="V767"/>
      <c r="W767"/>
      <c r="X767"/>
      <c r="Y767"/>
      <c r="Z767"/>
    </row>
    <row r="768" spans="1:26">
      <c r="A768"/>
      <c r="B768"/>
      <c r="C768"/>
      <c r="D768"/>
      <c r="E768"/>
      <c r="F768"/>
      <c r="G768"/>
      <c r="H768"/>
      <c r="I768"/>
      <c r="J768"/>
      <c r="K768"/>
      <c r="L768"/>
      <c r="M768" s="4"/>
      <c r="N768" s="4"/>
      <c r="O768"/>
      <c r="P768"/>
      <c r="Q768"/>
      <c r="R768"/>
      <c r="S768"/>
      <c r="T768"/>
      <c r="U768"/>
      <c r="V768"/>
      <c r="W768"/>
      <c r="X768"/>
      <c r="Y768"/>
      <c r="Z768"/>
    </row>
    <row r="769" spans="1:26">
      <c r="A769"/>
      <c r="B769"/>
      <c r="C769"/>
      <c r="D769"/>
      <c r="E769"/>
      <c r="F769"/>
      <c r="G769"/>
      <c r="H769"/>
      <c r="I769"/>
      <c r="J769"/>
      <c r="K769"/>
      <c r="L769"/>
      <c r="M769" s="4"/>
      <c r="N769" s="4"/>
      <c r="O769"/>
      <c r="P769"/>
      <c r="Q769"/>
      <c r="R769"/>
      <c r="S769"/>
      <c r="T769"/>
      <c r="U769"/>
      <c r="V769"/>
      <c r="W769"/>
      <c r="X769"/>
      <c r="Y769"/>
      <c r="Z769"/>
    </row>
    <row r="770" spans="1:26">
      <c r="A770"/>
      <c r="B770"/>
      <c r="C770"/>
      <c r="D770"/>
      <c r="E770"/>
      <c r="F770"/>
      <c r="G770"/>
      <c r="H770"/>
      <c r="I770"/>
      <c r="J770"/>
      <c r="K770"/>
      <c r="L770"/>
      <c r="M770" s="4"/>
      <c r="N770" s="4"/>
      <c r="O770"/>
      <c r="P770"/>
      <c r="Q770"/>
      <c r="R770"/>
      <c r="S770"/>
      <c r="T770"/>
      <c r="U770"/>
      <c r="V770"/>
      <c r="W770"/>
      <c r="X770"/>
      <c r="Y770"/>
      <c r="Z770"/>
    </row>
    <row r="771" spans="1:26">
      <c r="A771"/>
      <c r="B771"/>
      <c r="C771"/>
      <c r="D771"/>
      <c r="E771"/>
      <c r="F771"/>
      <c r="G771"/>
      <c r="H771"/>
      <c r="I771"/>
      <c r="J771"/>
      <c r="K771"/>
      <c r="L771"/>
      <c r="M771" s="4"/>
      <c r="N771" s="4"/>
      <c r="O771"/>
      <c r="P771"/>
      <c r="Q771"/>
      <c r="R771"/>
      <c r="S771"/>
      <c r="T771"/>
      <c r="U771"/>
      <c r="V771"/>
      <c r="W771"/>
      <c r="X771"/>
      <c r="Y771"/>
      <c r="Z771"/>
    </row>
    <row r="772" spans="1:26">
      <c r="A772"/>
      <c r="B772"/>
      <c r="C772"/>
      <c r="D772"/>
      <c r="E772"/>
      <c r="F772"/>
      <c r="G772"/>
      <c r="H772"/>
      <c r="I772"/>
      <c r="J772"/>
      <c r="K772"/>
      <c r="L772"/>
      <c r="M772" s="4"/>
      <c r="N772" s="4"/>
      <c r="O772"/>
      <c r="P772"/>
      <c r="Q772"/>
      <c r="R772"/>
      <c r="S772"/>
      <c r="T772"/>
      <c r="U772"/>
      <c r="V772"/>
      <c r="W772"/>
      <c r="X772"/>
      <c r="Y772"/>
      <c r="Z772"/>
    </row>
    <row r="773" spans="1:26">
      <c r="A773"/>
      <c r="B773"/>
      <c r="C773"/>
      <c r="D773"/>
      <c r="E773"/>
      <c r="F773"/>
      <c r="G773"/>
      <c r="H773"/>
      <c r="I773"/>
      <c r="J773"/>
      <c r="K773"/>
      <c r="L773"/>
      <c r="M773" s="4"/>
      <c r="N773" s="4"/>
      <c r="O773"/>
      <c r="P773"/>
      <c r="Q773"/>
      <c r="R773"/>
      <c r="S773"/>
      <c r="T773"/>
      <c r="U773"/>
      <c r="V773"/>
      <c r="W773"/>
      <c r="X773"/>
      <c r="Y773"/>
      <c r="Z773"/>
    </row>
    <row r="774" spans="1:26">
      <c r="A774"/>
      <c r="B774"/>
      <c r="C774"/>
      <c r="D774"/>
      <c r="E774"/>
      <c r="F774"/>
      <c r="G774"/>
      <c r="H774"/>
      <c r="I774"/>
      <c r="J774"/>
      <c r="K774"/>
      <c r="L774"/>
      <c r="M774" s="4"/>
      <c r="N774" s="4"/>
      <c r="O774"/>
      <c r="P774"/>
      <c r="Q774"/>
      <c r="R774"/>
      <c r="S774"/>
      <c r="T774"/>
      <c r="U774"/>
      <c r="V774"/>
      <c r="W774"/>
      <c r="X774"/>
      <c r="Y774"/>
      <c r="Z774"/>
    </row>
    <row r="775" spans="1:26">
      <c r="A775"/>
      <c r="B775"/>
      <c r="C775"/>
      <c r="D775"/>
      <c r="E775"/>
      <c r="F775"/>
      <c r="G775"/>
      <c r="H775"/>
      <c r="I775"/>
      <c r="J775"/>
      <c r="K775"/>
      <c r="L775"/>
      <c r="M775" s="4"/>
      <c r="N775" s="4"/>
      <c r="O775"/>
      <c r="P775"/>
      <c r="Q775"/>
      <c r="R775"/>
      <c r="S775"/>
      <c r="T775"/>
      <c r="U775"/>
      <c r="V775"/>
      <c r="W775"/>
      <c r="X775"/>
      <c r="Y775"/>
      <c r="Z775"/>
    </row>
    <row r="776" spans="1:26">
      <c r="A776"/>
      <c r="B776"/>
      <c r="C776"/>
      <c r="D776"/>
      <c r="E776"/>
      <c r="F776"/>
      <c r="G776"/>
      <c r="H776"/>
      <c r="I776"/>
      <c r="J776"/>
      <c r="K776"/>
      <c r="L776"/>
      <c r="M776" s="4"/>
      <c r="N776" s="4"/>
      <c r="O776"/>
      <c r="P776"/>
      <c r="Q776"/>
      <c r="R776"/>
      <c r="S776"/>
      <c r="T776"/>
      <c r="U776"/>
      <c r="V776"/>
      <c r="W776"/>
      <c r="X776"/>
      <c r="Y776"/>
      <c r="Z776"/>
    </row>
    <row r="777" spans="1:26">
      <c r="A777"/>
      <c r="B777"/>
      <c r="C777"/>
      <c r="D777"/>
      <c r="E777"/>
      <c r="F777"/>
      <c r="G777"/>
      <c r="H777"/>
      <c r="I777"/>
      <c r="J777"/>
      <c r="K777"/>
      <c r="L777"/>
      <c r="M777" s="4"/>
      <c r="N777" s="4"/>
      <c r="O777"/>
      <c r="P777"/>
      <c r="Q777"/>
      <c r="R777"/>
      <c r="S777"/>
      <c r="T777"/>
      <c r="U777"/>
      <c r="V777"/>
      <c r="W777"/>
      <c r="X777"/>
      <c r="Y777"/>
      <c r="Z777"/>
    </row>
    <row r="778" spans="1:26">
      <c r="A778"/>
      <c r="B778"/>
      <c r="C778"/>
      <c r="D778"/>
      <c r="E778"/>
      <c r="F778"/>
      <c r="G778"/>
      <c r="H778"/>
      <c r="I778"/>
      <c r="J778"/>
      <c r="K778"/>
      <c r="L778"/>
      <c r="M778" s="4"/>
      <c r="N778" s="4"/>
      <c r="O778"/>
      <c r="P778"/>
      <c r="Q778"/>
      <c r="R778"/>
      <c r="S778"/>
      <c r="T778"/>
      <c r="U778"/>
      <c r="V778"/>
      <c r="W778"/>
      <c r="X778"/>
      <c r="Y778"/>
      <c r="Z778"/>
    </row>
    <row r="779" spans="1:26">
      <c r="A779"/>
      <c r="B779"/>
      <c r="C779"/>
      <c r="D779"/>
      <c r="E779"/>
      <c r="F779"/>
      <c r="G779"/>
      <c r="H779"/>
      <c r="I779"/>
      <c r="J779"/>
      <c r="K779"/>
      <c r="L779"/>
      <c r="M779" s="4"/>
      <c r="N779" s="4"/>
      <c r="O779"/>
      <c r="P779"/>
      <c r="Q779"/>
      <c r="R779"/>
      <c r="S779"/>
      <c r="T779"/>
      <c r="U779"/>
      <c r="V779"/>
      <c r="W779"/>
      <c r="X779"/>
      <c r="Y779"/>
      <c r="Z779"/>
    </row>
    <row r="780" spans="1:26">
      <c r="A780"/>
      <c r="B780"/>
      <c r="C780"/>
      <c r="D780"/>
      <c r="E780"/>
      <c r="F780"/>
      <c r="G780"/>
      <c r="H780"/>
      <c r="I780"/>
      <c r="J780"/>
      <c r="K780"/>
      <c r="L780"/>
      <c r="M780" s="4"/>
      <c r="N780" s="4"/>
      <c r="O780"/>
      <c r="P780"/>
      <c r="Q780"/>
      <c r="R780"/>
      <c r="S780"/>
      <c r="T780"/>
      <c r="U780"/>
      <c r="V780"/>
      <c r="W780"/>
      <c r="X780"/>
      <c r="Y780"/>
      <c r="Z780"/>
    </row>
    <row r="781" spans="1:26">
      <c r="A781"/>
      <c r="B781"/>
      <c r="C781"/>
      <c r="D781"/>
      <c r="E781"/>
      <c r="F781"/>
      <c r="G781"/>
      <c r="H781"/>
      <c r="I781"/>
      <c r="J781"/>
      <c r="K781"/>
      <c r="L781"/>
      <c r="M781" s="4"/>
      <c r="N781" s="4"/>
      <c r="O781"/>
      <c r="P781"/>
      <c r="Q781"/>
      <c r="R781"/>
      <c r="S781"/>
      <c r="T781"/>
      <c r="U781"/>
      <c r="V781"/>
      <c r="W781"/>
      <c r="X781"/>
      <c r="Y781"/>
      <c r="Z781"/>
    </row>
    <row r="782" spans="1:26">
      <c r="A782"/>
      <c r="B782"/>
      <c r="C782"/>
      <c r="D782"/>
      <c r="E782"/>
      <c r="F782"/>
      <c r="G782"/>
      <c r="H782"/>
      <c r="I782"/>
      <c r="J782"/>
      <c r="K782"/>
      <c r="L782"/>
      <c r="M782" s="4"/>
      <c r="N782" s="4"/>
      <c r="O782"/>
      <c r="P782"/>
      <c r="Q782"/>
      <c r="R782"/>
      <c r="S782"/>
      <c r="T782"/>
      <c r="U782"/>
      <c r="V782"/>
      <c r="W782"/>
      <c r="X782"/>
      <c r="Y782"/>
      <c r="Z782"/>
    </row>
    <row r="783" spans="1:26">
      <c r="A783"/>
      <c r="B783"/>
      <c r="C783"/>
      <c r="D783"/>
      <c r="E783"/>
      <c r="F783"/>
      <c r="G783"/>
      <c r="H783"/>
      <c r="I783"/>
      <c r="J783"/>
      <c r="K783"/>
      <c r="L783"/>
      <c r="M783" s="4"/>
      <c r="N783" s="4"/>
      <c r="O783"/>
      <c r="P783"/>
      <c r="Q783"/>
      <c r="R783"/>
      <c r="S783"/>
      <c r="T783"/>
      <c r="U783"/>
      <c r="V783"/>
      <c r="W783"/>
      <c r="X783"/>
      <c r="Y783"/>
      <c r="Z783"/>
    </row>
    <row r="784" spans="1:26">
      <c r="A784"/>
      <c r="B784"/>
      <c r="C784"/>
      <c r="D784"/>
      <c r="E784"/>
      <c r="F784"/>
      <c r="G784"/>
      <c r="H784"/>
      <c r="I784"/>
      <c r="J784"/>
      <c r="K784"/>
      <c r="L784"/>
      <c r="M784" s="4"/>
      <c r="N784" s="4"/>
      <c r="O784"/>
      <c r="P784"/>
      <c r="Q784"/>
      <c r="R784"/>
      <c r="S784"/>
      <c r="T784"/>
      <c r="U784"/>
      <c r="V784"/>
      <c r="W784"/>
      <c r="X784"/>
      <c r="Y784"/>
      <c r="Z784"/>
    </row>
    <row r="785" spans="1:26">
      <c r="A785"/>
      <c r="B785"/>
      <c r="C785"/>
      <c r="D785"/>
      <c r="E785"/>
      <c r="F785"/>
      <c r="G785"/>
      <c r="H785"/>
      <c r="I785"/>
      <c r="J785"/>
      <c r="K785"/>
      <c r="L785"/>
      <c r="M785" s="4"/>
      <c r="N785" s="4"/>
      <c r="O785"/>
      <c r="P785"/>
      <c r="Q785"/>
      <c r="R785"/>
      <c r="S785"/>
      <c r="T785"/>
      <c r="U785"/>
      <c r="V785"/>
      <c r="W785"/>
      <c r="X785"/>
      <c r="Y785"/>
      <c r="Z785"/>
    </row>
    <row r="786" spans="1:26">
      <c r="A786"/>
      <c r="B786"/>
      <c r="C786"/>
      <c r="D786"/>
      <c r="E786"/>
      <c r="F786"/>
      <c r="G786"/>
      <c r="H786"/>
      <c r="I786"/>
      <c r="J786"/>
      <c r="K786"/>
      <c r="L786"/>
      <c r="M786" s="4"/>
      <c r="N786" s="4"/>
      <c r="O786"/>
      <c r="P786"/>
      <c r="Q786"/>
      <c r="R786"/>
      <c r="S786"/>
      <c r="T786"/>
      <c r="U786"/>
      <c r="V786"/>
      <c r="W786"/>
      <c r="X786"/>
      <c r="Y786"/>
      <c r="Z786"/>
    </row>
    <row r="787" spans="1:26">
      <c r="A787"/>
      <c r="B787"/>
      <c r="C787"/>
      <c r="D787"/>
      <c r="E787"/>
      <c r="F787"/>
      <c r="G787"/>
      <c r="H787"/>
      <c r="I787"/>
      <c r="J787"/>
      <c r="K787"/>
      <c r="L787"/>
      <c r="M787" s="4"/>
      <c r="N787" s="4"/>
      <c r="O787"/>
      <c r="P787"/>
      <c r="Q787"/>
      <c r="R787"/>
      <c r="S787"/>
      <c r="T787"/>
      <c r="U787"/>
      <c r="V787"/>
      <c r="W787"/>
      <c r="X787"/>
      <c r="Y787"/>
      <c r="Z787"/>
    </row>
    <row r="788" spans="1:26">
      <c r="A788"/>
      <c r="B788"/>
      <c r="C788"/>
      <c r="D788"/>
      <c r="E788"/>
      <c r="F788"/>
      <c r="G788"/>
      <c r="H788"/>
      <c r="I788"/>
      <c r="J788"/>
      <c r="K788"/>
      <c r="L788"/>
      <c r="M788" s="4"/>
      <c r="N788" s="4"/>
      <c r="O788"/>
      <c r="P788"/>
      <c r="Q788"/>
      <c r="R788"/>
      <c r="S788"/>
      <c r="T788"/>
      <c r="U788"/>
      <c r="V788"/>
      <c r="W788"/>
      <c r="X788"/>
      <c r="Y788"/>
      <c r="Z788"/>
    </row>
    <row r="789" spans="1:26">
      <c r="A789"/>
      <c r="B789"/>
      <c r="C789"/>
      <c r="D789"/>
      <c r="E789"/>
      <c r="F789"/>
      <c r="G789"/>
      <c r="H789"/>
      <c r="I789"/>
      <c r="J789"/>
      <c r="K789"/>
      <c r="L789"/>
      <c r="M789" s="4"/>
      <c r="N789" s="4"/>
      <c r="O789"/>
      <c r="P789"/>
      <c r="Q789"/>
      <c r="R789"/>
      <c r="S789"/>
      <c r="T789"/>
      <c r="U789"/>
      <c r="V789"/>
      <c r="W789"/>
      <c r="X789"/>
      <c r="Y789"/>
      <c r="Z789"/>
    </row>
    <row r="790" spans="1:26">
      <c r="A790"/>
      <c r="B790"/>
      <c r="C790"/>
      <c r="D790"/>
      <c r="E790"/>
      <c r="F790"/>
      <c r="G790"/>
      <c r="H790"/>
      <c r="I790"/>
      <c r="J790"/>
      <c r="K790"/>
      <c r="L790"/>
      <c r="M790" s="4"/>
      <c r="N790" s="4"/>
      <c r="O790"/>
      <c r="P790"/>
      <c r="Q790"/>
      <c r="R790"/>
      <c r="S790"/>
      <c r="T790"/>
      <c r="U790"/>
      <c r="V790"/>
      <c r="W790"/>
      <c r="X790"/>
      <c r="Y790"/>
      <c r="Z790"/>
    </row>
    <row r="791" spans="1:26">
      <c r="A791"/>
      <c r="B791"/>
      <c r="C791"/>
      <c r="D791"/>
      <c r="E791"/>
      <c r="F791"/>
      <c r="G791"/>
      <c r="H791"/>
      <c r="I791"/>
      <c r="J791"/>
      <c r="K791"/>
      <c r="L791"/>
      <c r="M791" s="4"/>
      <c r="N791" s="4"/>
      <c r="O791"/>
      <c r="P791"/>
      <c r="Q791"/>
      <c r="R791"/>
      <c r="S791"/>
      <c r="T791"/>
      <c r="U791"/>
      <c r="V791"/>
      <c r="W791"/>
      <c r="X791"/>
      <c r="Y791"/>
      <c r="Z791"/>
    </row>
    <row r="792" spans="1:26">
      <c r="A792"/>
      <c r="B792"/>
      <c r="C792"/>
      <c r="D792"/>
      <c r="E792"/>
      <c r="F792"/>
      <c r="G792"/>
      <c r="H792"/>
      <c r="I792"/>
      <c r="J792"/>
      <c r="K792"/>
      <c r="L792"/>
      <c r="M792" s="4"/>
      <c r="N792" s="4"/>
      <c r="O792"/>
      <c r="P792"/>
      <c r="Q792"/>
      <c r="R792"/>
      <c r="S792"/>
      <c r="T792"/>
      <c r="U792"/>
      <c r="V792"/>
      <c r="W792"/>
      <c r="X792"/>
      <c r="Y792"/>
      <c r="Z792"/>
    </row>
    <row r="793" spans="1:26">
      <c r="A793"/>
      <c r="B793"/>
      <c r="C793"/>
      <c r="D793"/>
      <c r="E793"/>
      <c r="F793"/>
      <c r="G793"/>
      <c r="H793"/>
      <c r="I793"/>
      <c r="J793"/>
      <c r="K793"/>
      <c r="L793"/>
      <c r="M793" s="4"/>
      <c r="N793" s="4"/>
      <c r="O793"/>
      <c r="P793"/>
      <c r="Q793"/>
      <c r="R793"/>
      <c r="S793"/>
      <c r="T793"/>
      <c r="U793"/>
      <c r="V793"/>
      <c r="W793"/>
      <c r="X793"/>
      <c r="Y793"/>
      <c r="Z793"/>
    </row>
    <row r="794" spans="1:26">
      <c r="A794"/>
      <c r="B794"/>
      <c r="C794"/>
      <c r="D794"/>
      <c r="E794"/>
      <c r="F794"/>
      <c r="G794"/>
      <c r="H794"/>
      <c r="I794"/>
      <c r="J794"/>
      <c r="K794"/>
      <c r="L794"/>
      <c r="M794" s="4"/>
      <c r="N794" s="4"/>
      <c r="O794"/>
      <c r="P794"/>
      <c r="Q794"/>
      <c r="R794"/>
      <c r="S794"/>
      <c r="T794"/>
      <c r="U794"/>
      <c r="V794"/>
      <c r="W794"/>
      <c r="X794"/>
      <c r="Y794"/>
      <c r="Z794"/>
    </row>
    <row r="795" spans="1:26">
      <c r="A795"/>
      <c r="B795"/>
      <c r="C795"/>
      <c r="D795"/>
      <c r="E795"/>
      <c r="F795"/>
      <c r="G795"/>
      <c r="H795"/>
      <c r="I795"/>
      <c r="J795"/>
      <c r="K795"/>
      <c r="L795"/>
      <c r="M795" s="4"/>
      <c r="N795" s="4"/>
      <c r="O795"/>
      <c r="P795"/>
      <c r="Q795"/>
      <c r="R795"/>
      <c r="S795"/>
      <c r="T795"/>
      <c r="U795"/>
      <c r="V795"/>
      <c r="W795"/>
      <c r="X795"/>
      <c r="Y795"/>
      <c r="Z795"/>
    </row>
    <row r="796" spans="1:26">
      <c r="A796"/>
      <c r="B796"/>
      <c r="C796"/>
      <c r="D796"/>
      <c r="E796"/>
      <c r="F796"/>
      <c r="G796"/>
      <c r="H796"/>
      <c r="I796"/>
      <c r="J796"/>
      <c r="K796"/>
      <c r="L796"/>
      <c r="M796" s="4"/>
      <c r="N796" s="4"/>
      <c r="O796"/>
      <c r="P796"/>
      <c r="Q796"/>
      <c r="R796"/>
      <c r="S796"/>
      <c r="T796"/>
      <c r="U796"/>
      <c r="V796"/>
      <c r="W796"/>
      <c r="X796"/>
      <c r="Y796"/>
      <c r="Z796"/>
    </row>
    <row r="797" spans="1:26">
      <c r="A797"/>
      <c r="B797"/>
      <c r="C797"/>
      <c r="D797"/>
      <c r="E797"/>
      <c r="F797"/>
      <c r="G797"/>
      <c r="H797"/>
      <c r="I797"/>
      <c r="J797"/>
      <c r="K797"/>
      <c r="L797"/>
      <c r="M797" s="4"/>
      <c r="N797" s="4"/>
      <c r="O797"/>
      <c r="P797"/>
      <c r="Q797"/>
      <c r="R797"/>
      <c r="S797"/>
      <c r="T797"/>
      <c r="U797"/>
      <c r="V797"/>
      <c r="W797"/>
      <c r="X797"/>
      <c r="Y797"/>
      <c r="Z797"/>
    </row>
    <row r="798" spans="1:26">
      <c r="A798"/>
      <c r="B798"/>
      <c r="C798"/>
      <c r="D798"/>
      <c r="E798"/>
      <c r="F798"/>
      <c r="G798"/>
      <c r="H798"/>
      <c r="I798"/>
      <c r="J798"/>
      <c r="K798"/>
      <c r="L798"/>
      <c r="M798" s="4"/>
      <c r="N798" s="4"/>
      <c r="O798"/>
      <c r="P798"/>
      <c r="Q798"/>
      <c r="R798"/>
      <c r="S798"/>
      <c r="T798"/>
      <c r="U798"/>
      <c r="V798"/>
      <c r="W798"/>
      <c r="X798"/>
      <c r="Y798"/>
      <c r="Z798"/>
    </row>
    <row r="799" spans="1:26">
      <c r="A799"/>
      <c r="B799"/>
      <c r="C799"/>
      <c r="D799"/>
      <c r="E799"/>
      <c r="F799"/>
      <c r="G799"/>
      <c r="H799"/>
      <c r="I799"/>
      <c r="J799"/>
      <c r="K799"/>
      <c r="L799"/>
      <c r="M799" s="4"/>
      <c r="N799" s="4"/>
      <c r="O799"/>
      <c r="P799"/>
      <c r="Q799"/>
      <c r="R799"/>
      <c r="S799"/>
      <c r="T799"/>
      <c r="U799"/>
      <c r="V799"/>
      <c r="W799"/>
      <c r="X799"/>
      <c r="Y799"/>
      <c r="Z799"/>
    </row>
    <row r="800" spans="1:26">
      <c r="A800"/>
      <c r="B800"/>
      <c r="C800"/>
      <c r="D800"/>
      <c r="E800"/>
      <c r="F800"/>
      <c r="G800"/>
      <c r="H800"/>
      <c r="I800"/>
      <c r="J800"/>
      <c r="K800"/>
      <c r="L800"/>
      <c r="M800" s="4"/>
      <c r="N800" s="4"/>
      <c r="O800"/>
      <c r="P800"/>
      <c r="Q800"/>
      <c r="R800"/>
      <c r="S800"/>
      <c r="T800"/>
      <c r="U800"/>
      <c r="V800"/>
      <c r="W800"/>
      <c r="X800"/>
      <c r="Y800"/>
      <c r="Z800"/>
    </row>
    <row r="801" spans="1:26">
      <c r="A801"/>
      <c r="B801"/>
      <c r="C801"/>
      <c r="D801"/>
      <c r="E801"/>
      <c r="F801"/>
      <c r="G801"/>
      <c r="H801"/>
      <c r="I801"/>
      <c r="J801"/>
      <c r="K801"/>
      <c r="L801"/>
      <c r="M801" s="4"/>
      <c r="N801" s="4"/>
      <c r="O801"/>
      <c r="P801"/>
      <c r="Q801"/>
      <c r="R801"/>
      <c r="S801"/>
      <c r="T801"/>
      <c r="U801"/>
      <c r="V801"/>
      <c r="W801"/>
      <c r="X801"/>
      <c r="Y801"/>
      <c r="Z801"/>
    </row>
    <row r="802" spans="1:26">
      <c r="A802"/>
      <c r="B802"/>
      <c r="C802"/>
      <c r="D802"/>
      <c r="E802"/>
      <c r="F802"/>
      <c r="G802"/>
      <c r="H802"/>
      <c r="I802"/>
      <c r="J802"/>
      <c r="K802"/>
      <c r="L802"/>
      <c r="M802" s="4"/>
      <c r="N802" s="4"/>
      <c r="O802"/>
      <c r="P802"/>
      <c r="Q802"/>
      <c r="R802"/>
      <c r="S802"/>
      <c r="T802"/>
      <c r="U802"/>
      <c r="V802"/>
      <c r="W802"/>
      <c r="X802"/>
      <c r="Y802"/>
      <c r="Z802"/>
    </row>
    <row r="803" spans="1:26">
      <c r="A803"/>
      <c r="B803"/>
      <c r="C803"/>
      <c r="D803"/>
      <c r="E803"/>
      <c r="F803"/>
      <c r="G803"/>
      <c r="H803"/>
      <c r="I803"/>
      <c r="J803"/>
      <c r="K803"/>
      <c r="L803"/>
      <c r="M803" s="4"/>
      <c r="N803" s="4"/>
      <c r="O803"/>
      <c r="P803"/>
      <c r="Q803"/>
      <c r="R803"/>
      <c r="S803"/>
      <c r="T803"/>
      <c r="U803"/>
      <c r="V803"/>
      <c r="W803"/>
      <c r="X803"/>
      <c r="Y803"/>
      <c r="Z803"/>
    </row>
  </sheetData>
  <sheetProtection algorithmName="SHA-512" hashValue="L6N4T58HBlb7Zjxz8+jfBXL4xSqX94xQZRMwdjrh23L4YihlMZpqFDN/ux5mHfwGVMy6zVeootIX4Qh1qaviVA==" saltValue="uJPDkYBxVOF6Fc1vFNbPyw==" spinCount="100000" sheet="1" objects="1" scenarios="1" formatCells="0" formatColumns="0" formatRows="0" autoFilter="0"/>
  <sortState ref="O1">
    <sortCondition ref="O1"/>
  </sortState>
  <mergeCells count="2">
    <mergeCell ref="A506:G506"/>
    <mergeCell ref="A507:C507"/>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dimension ref="A1:U326"/>
  <sheetViews>
    <sheetView zoomScale="85" zoomScaleNormal="85" workbookViewId="0">
      <pane ySplit="1" topLeftCell="A3" activePane="bottomLeft" state="frozen"/>
      <selection activeCell="A2" sqref="A2"/>
      <selection pane="bottomLeft" activeCell="A2" sqref="A2"/>
    </sheetView>
  </sheetViews>
  <sheetFormatPr defaultColWidth="9" defaultRowHeight="14.25"/>
  <cols>
    <col min="1" max="1" width="32.86328125" style="5" bestFit="1" customWidth="1"/>
    <col min="2" max="2" width="25.73046875" style="11" bestFit="1" customWidth="1"/>
    <col min="3" max="3" width="36.265625" style="6" bestFit="1" customWidth="1"/>
    <col min="4" max="4" width="44.59765625" style="7" bestFit="1" customWidth="1"/>
    <col min="5" max="5" width="18" style="5" bestFit="1" customWidth="1"/>
    <col min="6" max="6" width="15.73046875" style="6" bestFit="1" customWidth="1"/>
    <col min="7" max="7" width="8.86328125" style="5" bestFit="1" customWidth="1"/>
    <col min="8" max="8" width="15.86328125" style="6" bestFit="1" customWidth="1"/>
    <col min="9" max="9" width="7.59765625" style="6" bestFit="1" customWidth="1"/>
    <col min="10" max="10" width="12.265625" style="6" bestFit="1" customWidth="1"/>
    <col min="11" max="16384" width="9" style="5"/>
  </cols>
  <sheetData>
    <row r="1" spans="1:21" s="25" customFormat="1">
      <c r="A1" s="25" t="s">
        <v>83</v>
      </c>
      <c r="B1" s="25" t="s">
        <v>112</v>
      </c>
      <c r="C1" s="25" t="s">
        <v>566</v>
      </c>
      <c r="D1" s="25" t="s">
        <v>565</v>
      </c>
      <c r="E1" s="25" t="s">
        <v>114</v>
      </c>
      <c r="F1" s="25" t="s">
        <v>115</v>
      </c>
      <c r="G1" s="25" t="s">
        <v>11</v>
      </c>
      <c r="H1" s="25" t="s">
        <v>12</v>
      </c>
      <c r="I1" s="25" t="s">
        <v>13</v>
      </c>
      <c r="J1" s="464" t="s">
        <v>146</v>
      </c>
      <c r="K1" s="465"/>
      <c r="L1" s="465"/>
      <c r="M1" s="465"/>
      <c r="N1" s="465"/>
      <c r="O1" s="465"/>
      <c r="P1" s="465"/>
      <c r="Q1" s="465"/>
      <c r="R1" s="465"/>
      <c r="S1" s="465"/>
      <c r="T1" s="465"/>
      <c r="U1" s="465"/>
    </row>
    <row r="2" spans="1:21" s="15" customFormat="1" ht="21" customHeight="1">
      <c r="A2" s="510" t="s">
        <v>1256</v>
      </c>
      <c r="B2" s="508" t="s">
        <v>178</v>
      </c>
      <c r="C2" s="508">
        <v>16</v>
      </c>
      <c r="D2" s="511">
        <v>0.3</v>
      </c>
      <c r="E2" s="508">
        <v>2</v>
      </c>
      <c r="F2" s="508">
        <v>5220</v>
      </c>
      <c r="G2" s="508">
        <v>4</v>
      </c>
      <c r="H2" s="508">
        <v>0</v>
      </c>
      <c r="I2" s="508">
        <v>1</v>
      </c>
      <c r="J2" s="508" t="s">
        <v>708</v>
      </c>
      <c r="K2" s="16"/>
      <c r="L2" s="16"/>
      <c r="M2" s="16"/>
      <c r="N2" s="16"/>
      <c r="O2" s="16"/>
      <c r="P2" s="16"/>
      <c r="Q2" s="16"/>
      <c r="R2" s="16"/>
      <c r="S2" s="16"/>
      <c r="T2" s="16"/>
      <c r="U2" s="16"/>
    </row>
    <row r="3" spans="1:21" s="15" customFormat="1" ht="42.75">
      <c r="A3" s="506" t="s">
        <v>1257</v>
      </c>
      <c r="B3" s="509"/>
      <c r="C3" s="6">
        <v>16</v>
      </c>
      <c r="D3" s="7">
        <v>0.3</v>
      </c>
      <c r="E3" s="6"/>
      <c r="F3" s="6">
        <v>100</v>
      </c>
      <c r="G3" s="6"/>
      <c r="H3" s="6"/>
      <c r="I3" s="499"/>
      <c r="J3" s="499"/>
      <c r="K3" s="16"/>
      <c r="L3" s="16"/>
      <c r="M3" s="16"/>
      <c r="N3" s="16"/>
      <c r="O3" s="16"/>
      <c r="P3" s="16"/>
      <c r="Q3" s="16"/>
      <c r="R3" s="16"/>
      <c r="S3" s="16"/>
      <c r="T3" s="16"/>
      <c r="U3" s="16"/>
    </row>
    <row r="4" spans="1:21" s="15" customFormat="1" ht="42.75">
      <c r="A4" s="506" t="s">
        <v>1258</v>
      </c>
      <c r="B4" s="509" t="s">
        <v>717</v>
      </c>
      <c r="C4" s="6">
        <v>0</v>
      </c>
      <c r="D4" s="7">
        <v>0</v>
      </c>
      <c r="E4" s="6"/>
      <c r="F4" s="6">
        <v>5120</v>
      </c>
      <c r="G4" s="6"/>
      <c r="H4" s="6"/>
      <c r="I4" s="499"/>
      <c r="J4" s="499"/>
      <c r="K4" s="16"/>
      <c r="L4" s="16"/>
      <c r="M4" s="16"/>
      <c r="N4" s="16"/>
      <c r="O4" s="16"/>
      <c r="P4" s="16"/>
      <c r="Q4" s="16"/>
      <c r="R4" s="16"/>
      <c r="S4" s="16"/>
      <c r="T4" s="16"/>
      <c r="U4" s="16"/>
    </row>
    <row r="5" spans="1:21" s="15" customFormat="1" ht="21" customHeight="1">
      <c r="A5" s="20"/>
      <c r="B5" s="6"/>
      <c r="C5" s="6"/>
      <c r="D5" s="7"/>
      <c r="E5" s="6"/>
      <c r="F5" s="6"/>
      <c r="G5" s="6"/>
      <c r="H5" s="6"/>
      <c r="I5" s="499"/>
      <c r="J5" s="499"/>
      <c r="K5" s="16"/>
      <c r="L5" s="16"/>
      <c r="M5" s="16"/>
      <c r="N5" s="16"/>
      <c r="O5" s="16"/>
      <c r="P5" s="16"/>
      <c r="Q5" s="16"/>
      <c r="R5" s="16"/>
      <c r="S5" s="16"/>
      <c r="T5" s="16"/>
      <c r="U5" s="16"/>
    </row>
    <row r="6" spans="1:21" s="15" customFormat="1" ht="21" customHeight="1">
      <c r="A6" s="510" t="s">
        <v>1259</v>
      </c>
      <c r="B6" s="508" t="s">
        <v>178</v>
      </c>
      <c r="C6" s="508">
        <v>64</v>
      </c>
      <c r="D6" s="511">
        <v>0.87</v>
      </c>
      <c r="E6" s="508">
        <v>12</v>
      </c>
      <c r="F6" s="508">
        <v>50283</v>
      </c>
      <c r="G6" s="508">
        <v>32</v>
      </c>
      <c r="H6" s="508">
        <v>0</v>
      </c>
      <c r="I6" s="512">
        <v>2</v>
      </c>
      <c r="J6" s="512" t="s">
        <v>708</v>
      </c>
      <c r="K6" s="16"/>
      <c r="L6" s="16"/>
      <c r="M6" s="16"/>
      <c r="N6" s="16"/>
      <c r="O6" s="16"/>
      <c r="P6" s="16"/>
      <c r="Q6" s="16"/>
      <c r="R6" s="16"/>
      <c r="S6" s="16"/>
      <c r="T6" s="16"/>
      <c r="U6" s="16"/>
    </row>
    <row r="7" spans="1:21" s="15" customFormat="1" ht="42.75">
      <c r="A7" s="506" t="s">
        <v>1260</v>
      </c>
      <c r="B7" s="509"/>
      <c r="C7" s="6">
        <v>8</v>
      </c>
      <c r="D7" s="7">
        <v>0.06</v>
      </c>
      <c r="E7" s="6"/>
      <c r="F7" s="6">
        <v>101</v>
      </c>
      <c r="G7" s="6"/>
      <c r="H7" s="6"/>
      <c r="I7" s="499"/>
      <c r="J7" s="499"/>
      <c r="K7" s="16"/>
      <c r="L7" s="16"/>
      <c r="M7" s="16"/>
      <c r="N7" s="16"/>
      <c r="O7" s="16"/>
      <c r="P7" s="16"/>
      <c r="Q7" s="16"/>
      <c r="R7" s="16"/>
      <c r="S7" s="16"/>
      <c r="T7" s="16"/>
      <c r="U7" s="16"/>
    </row>
    <row r="8" spans="1:21" s="15" customFormat="1" ht="42.75">
      <c r="A8" s="506" t="s">
        <v>1261</v>
      </c>
      <c r="B8" s="509" t="s">
        <v>717</v>
      </c>
      <c r="C8" s="6">
        <v>0</v>
      </c>
      <c r="D8" s="7">
        <v>0</v>
      </c>
      <c r="E8" s="6"/>
      <c r="F8" s="6">
        <v>4098</v>
      </c>
      <c r="G8" s="6"/>
      <c r="H8" s="6"/>
      <c r="I8" s="499"/>
      <c r="J8" s="499"/>
      <c r="K8" s="16"/>
      <c r="L8" s="16"/>
      <c r="M8" s="16"/>
      <c r="N8" s="16"/>
      <c r="O8" s="16"/>
      <c r="P8" s="16"/>
      <c r="Q8" s="16"/>
      <c r="R8" s="16"/>
      <c r="S8" s="16"/>
      <c r="T8" s="16"/>
      <c r="U8" s="16"/>
    </row>
    <row r="9" spans="1:21" s="15" customFormat="1" ht="42.75">
      <c r="A9" s="506" t="s">
        <v>1262</v>
      </c>
      <c r="B9" s="509" t="s">
        <v>717</v>
      </c>
      <c r="C9" s="6">
        <v>0</v>
      </c>
      <c r="D9" s="7">
        <v>0</v>
      </c>
      <c r="E9" s="6"/>
      <c r="F9" s="6">
        <v>10240</v>
      </c>
      <c r="G9" s="6"/>
      <c r="H9" s="6"/>
      <c r="I9" s="499"/>
      <c r="J9" s="499"/>
      <c r="K9" s="16"/>
      <c r="L9" s="16"/>
      <c r="M9" s="16"/>
      <c r="N9" s="16"/>
      <c r="O9" s="16"/>
      <c r="P9" s="16"/>
      <c r="Q9" s="16"/>
      <c r="R9" s="16"/>
      <c r="S9" s="16"/>
      <c r="T9" s="16"/>
      <c r="U9" s="16"/>
    </row>
    <row r="10" spans="1:21" s="15" customFormat="1" ht="42.75">
      <c r="A10" s="506" t="s">
        <v>1263</v>
      </c>
      <c r="B10" s="509" t="s">
        <v>717</v>
      </c>
      <c r="C10" s="6">
        <v>0</v>
      </c>
      <c r="D10" s="7">
        <v>0</v>
      </c>
      <c r="E10" s="6"/>
      <c r="F10" s="6">
        <v>5120</v>
      </c>
      <c r="G10" s="6"/>
      <c r="H10" s="6"/>
      <c r="I10" s="499"/>
      <c r="J10" s="499"/>
      <c r="K10" s="16"/>
      <c r="L10" s="16"/>
      <c r="M10" s="16"/>
      <c r="N10" s="16"/>
      <c r="O10" s="16"/>
      <c r="P10" s="16"/>
      <c r="Q10" s="16"/>
      <c r="R10" s="16"/>
      <c r="S10" s="16"/>
      <c r="T10" s="16"/>
      <c r="U10" s="16"/>
    </row>
    <row r="11" spans="1:21" s="15" customFormat="1" ht="42.75">
      <c r="A11" s="506" t="s">
        <v>1264</v>
      </c>
      <c r="B11" s="509"/>
      <c r="C11" s="6">
        <v>0</v>
      </c>
      <c r="D11" s="7">
        <v>0</v>
      </c>
      <c r="E11" s="6"/>
      <c r="F11" s="6">
        <v>4000</v>
      </c>
      <c r="G11" s="6"/>
      <c r="H11" s="6"/>
      <c r="I11" s="499"/>
      <c r="J11" s="499"/>
      <c r="K11" s="16"/>
      <c r="L11" s="16"/>
      <c r="M11" s="16"/>
      <c r="N11" s="16"/>
      <c r="O11" s="16"/>
      <c r="P11" s="16"/>
      <c r="Q11" s="16"/>
      <c r="R11" s="16"/>
      <c r="S11" s="16"/>
      <c r="T11" s="16"/>
      <c r="U11" s="16"/>
    </row>
    <row r="12" spans="1:21" s="15" customFormat="1" ht="42.75">
      <c r="A12" s="506" t="s">
        <v>1265</v>
      </c>
      <c r="B12" s="509" t="s">
        <v>717</v>
      </c>
      <c r="C12" s="6">
        <v>0</v>
      </c>
      <c r="D12" s="7">
        <v>0</v>
      </c>
      <c r="E12" s="6"/>
      <c r="F12" s="6">
        <v>8192</v>
      </c>
      <c r="G12" s="6"/>
      <c r="H12" s="6"/>
      <c r="I12" s="499"/>
      <c r="J12" s="499"/>
      <c r="K12" s="16"/>
      <c r="L12" s="16"/>
      <c r="M12" s="16"/>
      <c r="N12" s="16"/>
      <c r="O12" s="16"/>
      <c r="P12" s="16"/>
      <c r="Q12" s="16"/>
      <c r="R12" s="16"/>
      <c r="S12" s="16"/>
      <c r="T12" s="16"/>
      <c r="U12" s="16"/>
    </row>
    <row r="13" spans="1:21" s="15" customFormat="1" ht="42.75">
      <c r="A13" s="506" t="s">
        <v>1266</v>
      </c>
      <c r="B13" s="509" t="s">
        <v>717</v>
      </c>
      <c r="C13" s="6">
        <v>3</v>
      </c>
      <c r="D13" s="7">
        <v>0.01</v>
      </c>
      <c r="E13" s="6"/>
      <c r="F13" s="6">
        <v>5120</v>
      </c>
      <c r="G13" s="6"/>
      <c r="H13" s="6"/>
      <c r="I13" s="499"/>
      <c r="J13" s="499"/>
      <c r="K13" s="16"/>
      <c r="L13" s="16"/>
      <c r="M13" s="16"/>
      <c r="N13" s="16"/>
      <c r="O13" s="16"/>
      <c r="P13" s="16"/>
      <c r="Q13" s="16"/>
      <c r="R13" s="16"/>
      <c r="S13" s="16"/>
      <c r="T13" s="16"/>
      <c r="U13" s="16"/>
    </row>
    <row r="14" spans="1:21" s="15" customFormat="1" ht="28.5">
      <c r="A14" s="506" t="s">
        <v>1267</v>
      </c>
      <c r="B14" s="509" t="s">
        <v>717</v>
      </c>
      <c r="C14" s="6">
        <v>0</v>
      </c>
      <c r="D14" s="7">
        <v>0</v>
      </c>
      <c r="E14" s="6"/>
      <c r="F14" s="6">
        <v>4096</v>
      </c>
      <c r="G14" s="6"/>
      <c r="H14" s="6"/>
      <c r="I14" s="499"/>
      <c r="J14" s="499"/>
      <c r="K14" s="16"/>
      <c r="L14" s="16"/>
      <c r="M14" s="16"/>
      <c r="N14" s="16"/>
      <c r="O14" s="16"/>
      <c r="P14" s="16"/>
      <c r="Q14" s="16"/>
      <c r="R14" s="16"/>
      <c r="S14" s="16"/>
      <c r="T14" s="16"/>
      <c r="U14" s="16"/>
    </row>
    <row r="15" spans="1:21" s="15" customFormat="1" ht="42.75">
      <c r="A15" s="506" t="s">
        <v>1268</v>
      </c>
      <c r="B15" s="509" t="s">
        <v>717</v>
      </c>
      <c r="C15" s="6">
        <v>0</v>
      </c>
      <c r="D15" s="7">
        <v>0</v>
      </c>
      <c r="E15" s="6"/>
      <c r="F15" s="6">
        <v>4096</v>
      </c>
      <c r="G15" s="6"/>
      <c r="H15" s="6"/>
      <c r="I15" s="499"/>
      <c r="J15" s="499"/>
      <c r="K15" s="16"/>
      <c r="L15" s="16"/>
      <c r="M15" s="16"/>
      <c r="N15" s="16"/>
      <c r="O15" s="16"/>
      <c r="P15" s="16"/>
      <c r="Q15" s="16"/>
      <c r="R15" s="16"/>
      <c r="S15" s="16"/>
      <c r="T15" s="16"/>
      <c r="U15" s="16"/>
    </row>
    <row r="16" spans="1:21" s="15" customFormat="1" ht="28.5">
      <c r="A16" s="506" t="s">
        <v>1269</v>
      </c>
      <c r="B16" s="509" t="s">
        <v>717</v>
      </c>
      <c r="C16" s="6">
        <v>0</v>
      </c>
      <c r="D16" s="7">
        <v>0</v>
      </c>
      <c r="E16" s="6"/>
      <c r="F16" s="6">
        <v>4096</v>
      </c>
      <c r="G16" s="6"/>
      <c r="H16" s="6"/>
      <c r="I16" s="499"/>
      <c r="J16" s="499"/>
      <c r="K16" s="16"/>
      <c r="L16" s="16"/>
      <c r="M16" s="16"/>
      <c r="N16" s="16"/>
      <c r="O16" s="16"/>
      <c r="P16" s="16"/>
      <c r="Q16" s="16"/>
      <c r="R16" s="16"/>
      <c r="S16" s="16"/>
      <c r="T16" s="16"/>
      <c r="U16" s="16"/>
    </row>
    <row r="17" spans="1:21" s="15" customFormat="1" ht="28.5">
      <c r="A17" s="506" t="s">
        <v>1270</v>
      </c>
      <c r="B17" s="509"/>
      <c r="C17" s="6">
        <v>0</v>
      </c>
      <c r="D17" s="7">
        <v>0</v>
      </c>
      <c r="E17" s="6"/>
      <c r="F17" s="6">
        <v>1024</v>
      </c>
      <c r="G17" s="6"/>
      <c r="H17" s="6"/>
      <c r="I17" s="499"/>
      <c r="J17" s="499"/>
      <c r="K17" s="16"/>
      <c r="L17" s="16"/>
      <c r="M17" s="16"/>
      <c r="N17" s="16"/>
      <c r="O17" s="16"/>
      <c r="P17" s="16"/>
      <c r="Q17" s="16"/>
      <c r="R17" s="16"/>
      <c r="S17" s="16"/>
      <c r="T17" s="16"/>
      <c r="U17" s="16"/>
    </row>
    <row r="18" spans="1:21" s="15" customFormat="1" ht="28.5">
      <c r="A18" s="506" t="s">
        <v>1271</v>
      </c>
      <c r="B18" s="509"/>
      <c r="C18" s="6">
        <v>62</v>
      </c>
      <c r="D18" s="7">
        <v>0.85</v>
      </c>
      <c r="E18" s="6"/>
      <c r="F18" s="6">
        <v>100</v>
      </c>
      <c r="G18" s="6"/>
      <c r="H18" s="6"/>
      <c r="I18" s="499"/>
      <c r="J18" s="499"/>
      <c r="K18" s="16"/>
      <c r="L18" s="16"/>
      <c r="M18" s="16"/>
      <c r="N18" s="16"/>
      <c r="O18" s="16"/>
      <c r="P18" s="16"/>
      <c r="Q18" s="16"/>
      <c r="R18" s="16"/>
      <c r="S18" s="16"/>
      <c r="T18" s="16"/>
      <c r="U18" s="16"/>
    </row>
    <row r="19" spans="1:21" s="15" customFormat="1" ht="21" customHeight="1">
      <c r="A19" s="20"/>
      <c r="B19" s="6"/>
      <c r="C19" s="6"/>
      <c r="D19" s="7"/>
      <c r="E19" s="6"/>
      <c r="F19" s="6"/>
      <c r="G19" s="6"/>
      <c r="H19" s="6"/>
      <c r="I19" s="499"/>
      <c r="J19" s="499"/>
      <c r="K19" s="16"/>
      <c r="L19" s="16"/>
      <c r="M19" s="16"/>
      <c r="N19" s="16"/>
      <c r="O19" s="16"/>
      <c r="P19" s="16"/>
      <c r="Q19" s="16"/>
      <c r="R19" s="16"/>
      <c r="S19" s="16"/>
      <c r="T19" s="16"/>
      <c r="U19" s="16"/>
    </row>
    <row r="20" spans="1:21" s="15" customFormat="1" ht="21" customHeight="1">
      <c r="A20" s="500" t="s">
        <v>1272</v>
      </c>
      <c r="B20" s="513" t="s">
        <v>718</v>
      </c>
      <c r="C20" s="6"/>
      <c r="D20" s="7"/>
      <c r="E20" s="6"/>
      <c r="F20" s="6"/>
      <c r="G20" s="6"/>
      <c r="H20" s="6"/>
      <c r="I20" s="499"/>
      <c r="J20" s="499"/>
      <c r="K20" s="16"/>
      <c r="L20" s="16"/>
      <c r="M20" s="16"/>
      <c r="N20" s="16"/>
      <c r="O20" s="16"/>
      <c r="P20" s="16"/>
      <c r="Q20" s="16"/>
      <c r="R20" s="16"/>
      <c r="S20" s="16"/>
      <c r="T20" s="16"/>
      <c r="U20" s="16"/>
    </row>
    <row r="21" spans="1:21" s="15" customFormat="1" ht="21" customHeight="1">
      <c r="A21" s="500" t="s">
        <v>1273</v>
      </c>
      <c r="B21" s="513" t="s">
        <v>718</v>
      </c>
      <c r="C21" s="6"/>
      <c r="D21" s="7"/>
      <c r="E21" s="6"/>
      <c r="F21" s="6"/>
      <c r="G21" s="6"/>
      <c r="H21" s="6"/>
      <c r="I21" s="499"/>
      <c r="J21" s="499"/>
      <c r="K21" s="16"/>
      <c r="L21" s="16"/>
      <c r="M21" s="16"/>
      <c r="N21" s="16"/>
      <c r="O21" s="16"/>
      <c r="P21" s="16"/>
      <c r="Q21" s="16"/>
      <c r="R21" s="16"/>
      <c r="S21" s="16"/>
      <c r="T21" s="16"/>
      <c r="U21" s="16"/>
    </row>
    <row r="22" spans="1:21" s="15" customFormat="1" ht="21" customHeight="1">
      <c r="A22" s="20"/>
      <c r="B22" s="6"/>
      <c r="C22" s="6"/>
      <c r="D22" s="7"/>
      <c r="E22" s="6"/>
      <c r="F22" s="6"/>
      <c r="G22" s="6"/>
      <c r="H22" s="6"/>
      <c r="I22" s="499"/>
      <c r="J22" s="499"/>
      <c r="K22" s="16"/>
      <c r="L22" s="16"/>
      <c r="M22" s="16"/>
      <c r="N22" s="16"/>
      <c r="O22" s="16"/>
      <c r="P22" s="16"/>
      <c r="Q22" s="16"/>
      <c r="R22" s="16"/>
      <c r="S22" s="16"/>
      <c r="T22" s="16"/>
      <c r="U22" s="16"/>
    </row>
    <row r="23" spans="1:21" s="15" customFormat="1" ht="21" customHeight="1">
      <c r="A23" s="20"/>
      <c r="B23" s="6"/>
      <c r="C23" s="6"/>
      <c r="D23" s="7"/>
      <c r="E23" s="6"/>
      <c r="F23" s="6"/>
      <c r="G23" s="6"/>
      <c r="H23" s="6"/>
      <c r="I23" s="6"/>
      <c r="J23" s="6"/>
      <c r="K23" s="16"/>
      <c r="L23" s="16"/>
      <c r="M23" s="16"/>
      <c r="N23" s="16"/>
      <c r="O23" s="16"/>
      <c r="P23" s="16"/>
      <c r="Q23" s="16"/>
      <c r="R23" s="16"/>
      <c r="S23" s="16"/>
      <c r="T23" s="16"/>
      <c r="U23" s="16"/>
    </row>
    <row r="24" spans="1:21">
      <c r="A24" s="4"/>
      <c r="B24" s="4"/>
      <c r="C24" s="4"/>
      <c r="D24" s="4"/>
      <c r="E24" s="4"/>
      <c r="F24" s="4"/>
      <c r="G24" s="4"/>
      <c r="H24" s="4"/>
      <c r="I24" s="4"/>
      <c r="J24" s="4"/>
      <c r="K24" s="4"/>
      <c r="L24" s="4"/>
      <c r="M24" s="4"/>
      <c r="N24" s="4"/>
      <c r="O24" s="4"/>
      <c r="P24" s="4"/>
      <c r="Q24" s="4"/>
      <c r="R24" s="4"/>
      <c r="S24" s="4"/>
      <c r="T24" s="4"/>
      <c r="U24" s="4"/>
    </row>
    <row r="25" spans="1:21">
      <c r="A25" s="701" t="s">
        <v>104</v>
      </c>
      <c r="B25" s="701"/>
      <c r="C25" s="701"/>
      <c r="D25" s="701"/>
      <c r="E25" s="701"/>
      <c r="F25" s="701"/>
      <c r="G25" s="702"/>
      <c r="H25" s="383"/>
      <c r="I25" s="21"/>
      <c r="J25" s="21"/>
      <c r="K25"/>
      <c r="L25"/>
      <c r="M25"/>
      <c r="N25" s="4"/>
      <c r="O25" s="4"/>
      <c r="P25" s="4"/>
      <c r="Q25" s="4"/>
      <c r="R25" s="4"/>
      <c r="S25" s="4"/>
      <c r="T25" s="4"/>
      <c r="U25" s="4"/>
    </row>
    <row r="26" spans="1:21" ht="14.25" customHeight="1">
      <c r="A26" s="704" t="str">
        <f>HYPERLINK(IF(Data!B5= 2, "https://aka.ms/asr-dp-h2a-incompatible-vms","https://aka.ms/asr-dp-incompatible-vms"), "Learn more about deployment planner and incompatible VMs")</f>
        <v>Learn more about deployment planner and incompatible VMs</v>
      </c>
      <c r="B26" s="704"/>
      <c r="C26" s="704"/>
      <c r="D26" s="400"/>
      <c r="E26" s="400"/>
      <c r="F26" s="400"/>
      <c r="G26" s="400"/>
      <c r="H26" s="400"/>
      <c r="I26" s="28"/>
      <c r="J26" s="29"/>
      <c r="K26"/>
      <c r="L26"/>
      <c r="M26"/>
      <c r="N26" s="4"/>
      <c r="O26" s="4"/>
      <c r="P26" s="4"/>
      <c r="Q26" s="4"/>
      <c r="R26" s="4"/>
      <c r="S26" s="4"/>
      <c r="T26" s="4"/>
      <c r="U26" s="4"/>
    </row>
    <row r="27" spans="1:21">
      <c r="A27" s="4"/>
      <c r="B27" s="4"/>
      <c r="C27" s="4"/>
      <c r="D27" s="4"/>
      <c r="E27" s="4"/>
      <c r="F27" s="4"/>
      <c r="G27" s="4"/>
      <c r="H27" s="4"/>
      <c r="I27" s="4"/>
      <c r="J27" s="4"/>
      <c r="K27" s="4"/>
      <c r="L27" s="4"/>
      <c r="M27" s="4"/>
      <c r="N27" s="4"/>
      <c r="O27" s="4"/>
      <c r="P27" s="4"/>
      <c r="Q27" s="4"/>
      <c r="R27" s="4"/>
      <c r="S27" s="4"/>
      <c r="T27" s="4"/>
      <c r="U27" s="4"/>
    </row>
    <row r="28" spans="1:21">
      <c r="A28" s="4"/>
      <c r="B28" s="4"/>
      <c r="C28" s="4"/>
      <c r="D28" s="4"/>
      <c r="E28" s="4"/>
      <c r="F28" s="4"/>
      <c r="G28" s="4"/>
      <c r="H28" s="4"/>
      <c r="I28" s="4"/>
      <c r="J28" s="4"/>
      <c r="K28" s="4"/>
      <c r="L28" s="4"/>
      <c r="M28" s="4"/>
      <c r="N28" s="4"/>
      <c r="O28" s="4"/>
      <c r="P28" s="4"/>
      <c r="Q28" s="4"/>
      <c r="R28" s="4"/>
      <c r="S28" s="4"/>
      <c r="T28" s="4"/>
      <c r="U28" s="4"/>
    </row>
    <row r="29" spans="1:21">
      <c r="A29" s="4"/>
      <c r="B29" s="4"/>
      <c r="C29" s="4"/>
      <c r="D29" s="4"/>
      <c r="E29" s="4"/>
      <c r="F29" s="4"/>
      <c r="G29" s="4"/>
      <c r="H29" s="4"/>
      <c r="I29" s="4"/>
      <c r="J29" s="4"/>
      <c r="K29" s="4"/>
      <c r="L29" s="4"/>
      <c r="M29" s="4"/>
      <c r="N29" s="4"/>
      <c r="O29" s="4"/>
      <c r="P29" s="4"/>
      <c r="Q29" s="4"/>
      <c r="R29" s="4"/>
      <c r="S29" s="4"/>
      <c r="T29" s="4"/>
      <c r="U29" s="4"/>
    </row>
    <row r="30" spans="1:21">
      <c r="A30" s="4"/>
      <c r="B30" s="4"/>
      <c r="C30" s="4"/>
      <c r="D30" s="4"/>
      <c r="E30" s="4"/>
      <c r="F30" s="4"/>
      <c r="G30" s="4"/>
      <c r="H30" s="4"/>
      <c r="I30" s="4"/>
      <c r="J30" s="4"/>
      <c r="K30" s="4"/>
      <c r="L30" s="4"/>
      <c r="M30" s="4"/>
      <c r="N30" s="4"/>
      <c r="O30" s="4"/>
      <c r="P30" s="4"/>
      <c r="Q30" s="4"/>
      <c r="R30" s="4"/>
      <c r="S30" s="4"/>
      <c r="T30" s="4"/>
      <c r="U30" s="4"/>
    </row>
    <row r="31" spans="1:21">
      <c r="A31" s="4"/>
      <c r="B31" s="4"/>
      <c r="C31" s="4"/>
      <c r="D31" s="4"/>
      <c r="E31" s="4"/>
      <c r="F31" s="4"/>
      <c r="G31" s="4"/>
      <c r="H31" s="4"/>
      <c r="I31" s="4"/>
      <c r="J31" s="4"/>
      <c r="K31" s="4"/>
      <c r="L31" s="4"/>
      <c r="M31" s="4"/>
      <c r="N31" s="4"/>
      <c r="O31" s="4"/>
      <c r="P31" s="4"/>
      <c r="Q31" s="4"/>
      <c r="R31" s="4"/>
      <c r="S31" s="4"/>
      <c r="T31" s="4"/>
      <c r="U31" s="4"/>
    </row>
    <row r="32" spans="1:21">
      <c r="A32" s="4"/>
      <c r="B32" s="4"/>
      <c r="C32" s="4"/>
      <c r="D32" s="4"/>
      <c r="E32" s="4"/>
      <c r="F32" s="4"/>
      <c r="G32" s="4"/>
      <c r="H32" s="4"/>
      <c r="I32" s="4"/>
      <c r="J32" s="4"/>
      <c r="K32" s="4"/>
      <c r="L32" s="4"/>
      <c r="M32" s="4"/>
      <c r="N32" s="4"/>
      <c r="O32" s="4"/>
      <c r="P32" s="4"/>
      <c r="Q32" s="4"/>
      <c r="R32" s="4"/>
      <c r="S32" s="4"/>
      <c r="T32" s="4"/>
      <c r="U32" s="4"/>
    </row>
    <row r="33" spans="1:21">
      <c r="A33" s="4"/>
      <c r="B33" s="4"/>
      <c r="C33" s="4"/>
      <c r="D33" s="4"/>
      <c r="E33" s="4"/>
      <c r="F33" s="4"/>
      <c r="G33" s="4"/>
      <c r="H33" s="4"/>
      <c r="I33" s="4"/>
      <c r="J33" s="4"/>
      <c r="K33" s="4"/>
      <c r="L33" s="4"/>
      <c r="M33" s="4"/>
      <c r="N33" s="4"/>
      <c r="O33" s="4"/>
      <c r="P33" s="4"/>
      <c r="Q33" s="4"/>
      <c r="R33" s="4"/>
      <c r="S33" s="4"/>
      <c r="T33" s="4"/>
      <c r="U33" s="4"/>
    </row>
    <row r="34" spans="1:21">
      <c r="A34" s="4"/>
      <c r="B34" s="4"/>
      <c r="C34" s="4"/>
      <c r="D34" s="4"/>
      <c r="E34" s="4"/>
      <c r="F34" s="4"/>
      <c r="G34" s="4"/>
      <c r="H34" s="4"/>
      <c r="I34" s="4"/>
      <c r="J34" s="4"/>
      <c r="K34" s="4"/>
      <c r="L34" s="4"/>
      <c r="M34" s="4"/>
      <c r="N34" s="4"/>
      <c r="O34" s="4"/>
      <c r="P34" s="4"/>
      <c r="Q34" s="4"/>
      <c r="R34" s="4"/>
      <c r="S34" s="4"/>
      <c r="T34" s="4"/>
      <c r="U34" s="4"/>
    </row>
    <row r="35" spans="1:21">
      <c r="A35" s="4"/>
      <c r="B35" s="4"/>
      <c r="C35" s="4"/>
      <c r="D35" s="4"/>
      <c r="E35" s="4"/>
      <c r="F35" s="4"/>
      <c r="G35" s="4"/>
      <c r="H35" s="4"/>
      <c r="I35" s="4"/>
      <c r="J35" s="4"/>
      <c r="K35" s="4"/>
      <c r="L35" s="4"/>
      <c r="M35" s="4"/>
      <c r="N35" s="4"/>
      <c r="O35" s="4"/>
      <c r="P35" s="4"/>
      <c r="Q35" s="4"/>
      <c r="R35" s="4"/>
      <c r="S35" s="4"/>
      <c r="T35" s="4"/>
      <c r="U35" s="4"/>
    </row>
    <row r="36" spans="1:21">
      <c r="A36" s="4"/>
      <c r="B36" s="4"/>
      <c r="C36" s="4"/>
      <c r="D36" s="4"/>
      <c r="E36" s="4"/>
      <c r="F36" s="4"/>
      <c r="G36" s="4"/>
      <c r="H36" s="4"/>
      <c r="I36" s="4"/>
      <c r="J36" s="4"/>
      <c r="K36" s="4"/>
      <c r="L36" s="4"/>
      <c r="M36" s="4"/>
      <c r="N36" s="4"/>
      <c r="O36" s="4"/>
      <c r="P36" s="4"/>
      <c r="Q36" s="4"/>
      <c r="R36" s="4"/>
      <c r="S36" s="4"/>
      <c r="T36" s="4"/>
      <c r="U36" s="4"/>
    </row>
    <row r="37" spans="1:21">
      <c r="A37" s="4"/>
      <c r="B37" s="4"/>
      <c r="C37" s="4"/>
      <c r="D37" s="4"/>
      <c r="E37" s="4"/>
      <c r="F37" s="4"/>
      <c r="G37" s="4"/>
      <c r="H37" s="4"/>
      <c r="I37" s="4"/>
      <c r="J37" s="4"/>
      <c r="K37" s="4"/>
      <c r="L37" s="4"/>
      <c r="M37" s="4"/>
      <c r="N37" s="4"/>
      <c r="O37" s="4"/>
      <c r="P37" s="4"/>
      <c r="Q37" s="4"/>
      <c r="R37" s="4"/>
      <c r="S37" s="4"/>
      <c r="T37" s="4"/>
      <c r="U37" s="4"/>
    </row>
    <row r="38" spans="1:21">
      <c r="A38" s="4"/>
      <c r="B38" s="4"/>
      <c r="C38" s="4"/>
      <c r="D38" s="4"/>
      <c r="E38" s="4"/>
      <c r="F38" s="4"/>
      <c r="G38" s="4"/>
      <c r="H38" s="4"/>
      <c r="I38" s="4"/>
      <c r="J38" s="4"/>
      <c r="K38" s="4"/>
      <c r="L38" s="4"/>
      <c r="M38" s="4"/>
      <c r="N38" s="4"/>
      <c r="O38" s="4"/>
      <c r="P38" s="4"/>
      <c r="Q38" s="4"/>
      <c r="R38" s="4"/>
      <c r="S38" s="4"/>
      <c r="T38" s="4"/>
      <c r="U38" s="4"/>
    </row>
    <row r="39" spans="1:21">
      <c r="A39" s="4"/>
      <c r="B39" s="4"/>
      <c r="C39" s="4"/>
      <c r="D39" s="4"/>
      <c r="E39" s="4"/>
      <c r="F39" s="4"/>
      <c r="G39" s="4"/>
      <c r="H39" s="4"/>
      <c r="I39" s="4"/>
      <c r="J39" s="4"/>
      <c r="K39" s="4"/>
      <c r="L39" s="4"/>
      <c r="M39" s="4"/>
      <c r="N39" s="4"/>
      <c r="O39" s="4"/>
      <c r="P39" s="4"/>
      <c r="Q39" s="4"/>
      <c r="R39" s="4"/>
      <c r="S39" s="4"/>
      <c r="T39" s="4"/>
      <c r="U39" s="4"/>
    </row>
    <row r="40" spans="1:21">
      <c r="A40" s="4"/>
      <c r="B40" s="4"/>
      <c r="C40" s="4"/>
      <c r="D40" s="4"/>
      <c r="E40" s="4"/>
      <c r="F40" s="4"/>
      <c r="G40" s="4"/>
      <c r="H40" s="4"/>
      <c r="I40" s="4"/>
      <c r="J40" s="4"/>
      <c r="K40" s="4"/>
      <c r="L40" s="4"/>
      <c r="M40" s="4"/>
      <c r="N40" s="4"/>
      <c r="O40" s="4"/>
      <c r="P40" s="4"/>
      <c r="Q40" s="4"/>
      <c r="R40" s="4"/>
      <c r="S40" s="4"/>
      <c r="T40" s="4"/>
      <c r="U40" s="4"/>
    </row>
    <row r="41" spans="1:21">
      <c r="A41" s="4"/>
      <c r="B41" s="4"/>
      <c r="C41" s="4"/>
      <c r="D41" s="4"/>
      <c r="E41" s="4"/>
      <c r="F41" s="4"/>
      <c r="G41" s="4"/>
      <c r="H41" s="4"/>
      <c r="I41" s="4"/>
      <c r="J41" s="4"/>
      <c r="K41" s="4"/>
      <c r="L41" s="4"/>
      <c r="M41" s="4"/>
      <c r="N41" s="4"/>
      <c r="O41" s="4"/>
      <c r="P41" s="4"/>
      <c r="Q41" s="4"/>
      <c r="R41" s="4"/>
      <c r="S41" s="4"/>
      <c r="T41" s="4"/>
      <c r="U41" s="4"/>
    </row>
    <row r="42" spans="1:21">
      <c r="A42" s="4"/>
      <c r="B42" s="4"/>
      <c r="C42" s="4"/>
      <c r="D42" s="4"/>
      <c r="E42" s="4"/>
      <c r="F42" s="4"/>
      <c r="G42" s="4"/>
      <c r="H42" s="4"/>
      <c r="I42" s="4"/>
      <c r="J42" s="4"/>
      <c r="K42" s="4"/>
      <c r="L42" s="4"/>
      <c r="M42" s="4"/>
      <c r="N42" s="4"/>
      <c r="O42" s="4"/>
      <c r="P42" s="4"/>
      <c r="Q42" s="4"/>
      <c r="R42" s="4"/>
      <c r="S42" s="4"/>
      <c r="T42" s="4"/>
      <c r="U42" s="4"/>
    </row>
    <row r="43" spans="1:21">
      <c r="A43" s="4"/>
      <c r="B43" s="4"/>
      <c r="C43" s="4"/>
      <c r="D43" s="4"/>
      <c r="E43" s="4"/>
      <c r="F43" s="4"/>
      <c r="G43" s="4"/>
      <c r="H43" s="4"/>
      <c r="I43" s="4"/>
      <c r="J43" s="4"/>
      <c r="K43" s="4"/>
      <c r="L43" s="4"/>
      <c r="M43" s="4"/>
      <c r="N43" s="4"/>
      <c r="O43" s="4"/>
      <c r="P43" s="4"/>
      <c r="Q43" s="4"/>
      <c r="R43" s="4"/>
      <c r="S43" s="4"/>
      <c r="T43" s="4"/>
      <c r="U43" s="4"/>
    </row>
    <row r="44" spans="1:21">
      <c r="A44" s="4"/>
      <c r="B44" s="4"/>
      <c r="C44" s="4"/>
      <c r="D44" s="4"/>
      <c r="E44" s="4"/>
      <c r="F44" s="4"/>
      <c r="G44" s="4"/>
      <c r="H44" s="4"/>
      <c r="I44" s="4"/>
      <c r="J44" s="4"/>
      <c r="K44" s="4"/>
      <c r="L44" s="4"/>
      <c r="M44" s="4"/>
      <c r="N44" s="4"/>
      <c r="O44" s="4"/>
      <c r="P44" s="4"/>
      <c r="Q44" s="4"/>
      <c r="R44" s="4"/>
      <c r="S44" s="4"/>
      <c r="T44" s="4"/>
      <c r="U44" s="4"/>
    </row>
    <row r="45" spans="1:21">
      <c r="A45" s="4"/>
      <c r="B45" s="4"/>
      <c r="C45" s="4"/>
      <c r="D45" s="4"/>
      <c r="E45" s="4"/>
      <c r="F45" s="4"/>
      <c r="G45" s="4"/>
      <c r="H45" s="4"/>
      <c r="I45" s="4"/>
      <c r="J45" s="4"/>
      <c r="K45" s="4"/>
      <c r="L45" s="4"/>
      <c r="M45" s="4"/>
      <c r="N45" s="4"/>
      <c r="O45" s="4"/>
      <c r="P45" s="4"/>
      <c r="Q45" s="4"/>
      <c r="R45" s="4"/>
      <c r="S45" s="4"/>
      <c r="T45" s="4"/>
      <c r="U45" s="4"/>
    </row>
    <row r="46" spans="1:21">
      <c r="A46" s="4"/>
      <c r="B46" s="4"/>
      <c r="C46" s="4"/>
      <c r="D46" s="4"/>
      <c r="E46" s="4"/>
      <c r="F46" s="4"/>
      <c r="G46" s="4"/>
      <c r="H46" s="4"/>
      <c r="I46" s="4"/>
      <c r="J46" s="4"/>
      <c r="K46" s="4"/>
      <c r="L46" s="4"/>
      <c r="M46" s="4"/>
      <c r="N46" s="4"/>
      <c r="O46" s="4"/>
      <c r="P46" s="4"/>
      <c r="Q46" s="4"/>
      <c r="R46" s="4"/>
      <c r="S46" s="4"/>
      <c r="T46" s="4"/>
      <c r="U46" s="4"/>
    </row>
    <row r="47" spans="1:21">
      <c r="A47" s="4"/>
      <c r="B47" s="4"/>
      <c r="C47" s="4"/>
      <c r="D47" s="4"/>
      <c r="E47" s="4"/>
      <c r="F47" s="4"/>
      <c r="G47" s="4"/>
      <c r="H47" s="4"/>
      <c r="I47" s="4"/>
      <c r="J47" s="4"/>
      <c r="K47" s="4"/>
      <c r="L47" s="4"/>
      <c r="M47" s="4"/>
      <c r="N47" s="4"/>
      <c r="O47" s="4"/>
      <c r="P47" s="4"/>
      <c r="Q47" s="4"/>
      <c r="R47" s="4"/>
      <c r="S47" s="4"/>
      <c r="T47" s="4"/>
      <c r="U47" s="4"/>
    </row>
    <row r="48" spans="1:21">
      <c r="A48" s="4"/>
      <c r="B48" s="4"/>
      <c r="C48" s="4"/>
      <c r="D48" s="4"/>
      <c r="E48" s="4"/>
      <c r="F48" s="4"/>
      <c r="G48" s="4"/>
      <c r="H48" s="4"/>
      <c r="I48" s="4"/>
      <c r="J48" s="4"/>
      <c r="K48" s="4"/>
      <c r="L48" s="4"/>
      <c r="M48" s="4"/>
      <c r="N48" s="4"/>
      <c r="O48" s="4"/>
      <c r="P48" s="4"/>
      <c r="Q48" s="4"/>
      <c r="R48" s="4"/>
      <c r="S48" s="4"/>
      <c r="T48" s="4"/>
      <c r="U48" s="4"/>
    </row>
    <row r="49" spans="1:21">
      <c r="A49" s="4"/>
      <c r="B49" s="4"/>
      <c r="C49" s="4"/>
      <c r="D49" s="4"/>
      <c r="E49" s="4"/>
      <c r="F49" s="4"/>
      <c r="G49" s="4"/>
      <c r="H49" s="4"/>
      <c r="I49" s="4"/>
      <c r="J49" s="4"/>
      <c r="K49" s="4"/>
      <c r="L49" s="4"/>
      <c r="M49" s="4"/>
      <c r="N49" s="4"/>
      <c r="O49" s="4"/>
      <c r="P49" s="4"/>
      <c r="Q49" s="4"/>
      <c r="R49" s="4"/>
      <c r="S49" s="4"/>
      <c r="T49" s="4"/>
      <c r="U49" s="4"/>
    </row>
    <row r="50" spans="1:21">
      <c r="A50" s="4"/>
      <c r="B50" s="4"/>
      <c r="C50" s="4"/>
      <c r="D50" s="4"/>
      <c r="E50" s="4"/>
      <c r="F50" s="4"/>
      <c r="G50" s="4"/>
      <c r="H50" s="4"/>
      <c r="I50" s="4"/>
      <c r="J50" s="4"/>
      <c r="K50" s="4"/>
      <c r="L50" s="4"/>
      <c r="M50" s="4"/>
      <c r="N50" s="4"/>
      <c r="O50" s="4"/>
      <c r="P50" s="4"/>
      <c r="Q50" s="4"/>
      <c r="R50" s="4"/>
      <c r="S50" s="4"/>
      <c r="T50" s="4"/>
      <c r="U50" s="4"/>
    </row>
    <row r="51" spans="1:21">
      <c r="A51" s="4"/>
      <c r="B51" s="4"/>
      <c r="C51" s="4"/>
      <c r="D51" s="4"/>
      <c r="E51" s="4"/>
      <c r="F51" s="4"/>
      <c r="G51" s="4"/>
      <c r="H51" s="4"/>
      <c r="I51" s="4"/>
      <c r="J51" s="4"/>
      <c r="K51" s="4"/>
      <c r="L51" s="4"/>
      <c r="M51" s="4"/>
      <c r="N51" s="4"/>
      <c r="O51" s="4"/>
      <c r="P51" s="4"/>
      <c r="Q51" s="4"/>
      <c r="R51" s="4"/>
      <c r="S51" s="4"/>
      <c r="T51" s="4"/>
      <c r="U51" s="4"/>
    </row>
    <row r="52" spans="1:21">
      <c r="A52" s="4"/>
      <c r="B52" s="4"/>
      <c r="C52" s="4"/>
      <c r="D52" s="4"/>
      <c r="E52" s="4"/>
      <c r="F52" s="4"/>
      <c r="G52" s="4"/>
      <c r="H52" s="4"/>
      <c r="I52" s="4"/>
      <c r="J52" s="4"/>
      <c r="K52" s="4"/>
      <c r="L52" s="4"/>
      <c r="M52" s="4"/>
      <c r="N52" s="4"/>
      <c r="O52" s="4"/>
      <c r="P52" s="4"/>
      <c r="Q52" s="4"/>
      <c r="R52" s="4"/>
      <c r="S52" s="4"/>
      <c r="T52" s="4"/>
      <c r="U52" s="4"/>
    </row>
    <row r="53" spans="1:21">
      <c r="A53" s="4"/>
      <c r="B53" s="4"/>
      <c r="C53" s="4"/>
      <c r="D53" s="4"/>
      <c r="E53" s="4"/>
      <c r="F53" s="4"/>
      <c r="G53" s="4"/>
      <c r="H53" s="4"/>
      <c r="I53" s="4"/>
      <c r="J53" s="4"/>
      <c r="K53" s="4"/>
      <c r="L53" s="4"/>
      <c r="M53" s="4"/>
      <c r="N53" s="4"/>
      <c r="O53" s="4"/>
      <c r="P53" s="4"/>
      <c r="Q53" s="4"/>
      <c r="R53" s="4"/>
      <c r="S53" s="4"/>
      <c r="T53" s="4"/>
      <c r="U53" s="4"/>
    </row>
    <row r="54" spans="1:21">
      <c r="A54" s="4"/>
      <c r="B54" s="4"/>
      <c r="C54" s="4"/>
      <c r="D54" s="4"/>
      <c r="E54" s="4"/>
      <c r="F54" s="4"/>
      <c r="G54" s="4"/>
      <c r="H54" s="4"/>
      <c r="I54" s="4"/>
      <c r="J54" s="4"/>
      <c r="K54" s="4"/>
      <c r="L54" s="4"/>
      <c r="M54" s="4"/>
      <c r="N54" s="4"/>
      <c r="O54" s="4"/>
      <c r="P54" s="4"/>
      <c r="Q54" s="4"/>
      <c r="R54" s="4"/>
      <c r="S54" s="4"/>
      <c r="T54" s="4"/>
      <c r="U54" s="4"/>
    </row>
    <row r="55" spans="1:21">
      <c r="A55" s="4"/>
      <c r="B55" s="4"/>
      <c r="C55" s="4"/>
      <c r="D55" s="4"/>
      <c r="E55" s="4"/>
      <c r="F55" s="4"/>
      <c r="G55" s="4"/>
      <c r="H55" s="4"/>
      <c r="I55" s="4"/>
      <c r="J55" s="4"/>
      <c r="K55" s="4"/>
      <c r="L55" s="4"/>
      <c r="M55" s="4"/>
      <c r="N55" s="4"/>
      <c r="O55" s="4"/>
      <c r="P55" s="4"/>
      <c r="Q55" s="4"/>
      <c r="R55" s="4"/>
      <c r="S55" s="4"/>
      <c r="T55" s="4"/>
      <c r="U55" s="4"/>
    </row>
    <row r="56" spans="1:21">
      <c r="A56" s="4"/>
      <c r="B56" s="4"/>
      <c r="C56" s="4"/>
      <c r="D56" s="4"/>
      <c r="E56" s="4"/>
      <c r="F56" s="4"/>
      <c r="G56" s="4"/>
      <c r="H56" s="4"/>
      <c r="I56" s="4"/>
      <c r="J56" s="4"/>
      <c r="K56" s="4"/>
      <c r="L56" s="4"/>
      <c r="M56" s="4"/>
      <c r="N56" s="4"/>
      <c r="O56" s="4"/>
      <c r="P56" s="4"/>
      <c r="Q56" s="4"/>
      <c r="R56" s="4"/>
      <c r="S56" s="4"/>
      <c r="T56" s="4"/>
      <c r="U56" s="4"/>
    </row>
    <row r="57" spans="1:21">
      <c r="A57" s="4"/>
      <c r="B57" s="4"/>
      <c r="C57" s="4"/>
      <c r="D57" s="4"/>
      <c r="E57" s="4"/>
      <c r="F57" s="4"/>
      <c r="G57" s="4"/>
      <c r="H57" s="4"/>
      <c r="I57" s="4"/>
      <c r="J57" s="4"/>
      <c r="K57" s="4"/>
      <c r="L57" s="4"/>
      <c r="M57" s="4"/>
      <c r="N57" s="4"/>
      <c r="O57" s="4"/>
      <c r="P57" s="4"/>
      <c r="Q57" s="4"/>
      <c r="R57" s="4"/>
      <c r="S57" s="4"/>
      <c r="T57" s="4"/>
      <c r="U57" s="4"/>
    </row>
    <row r="58" spans="1:21">
      <c r="A58" s="4"/>
      <c r="B58" s="4"/>
      <c r="C58" s="4"/>
      <c r="D58" s="4"/>
      <c r="E58" s="4"/>
      <c r="F58" s="4"/>
      <c r="G58" s="4"/>
      <c r="H58" s="4"/>
      <c r="I58" s="4"/>
      <c r="J58" s="4"/>
      <c r="K58" s="4"/>
      <c r="L58" s="4"/>
      <c r="M58" s="4"/>
      <c r="N58" s="4"/>
      <c r="O58" s="4"/>
      <c r="P58" s="4"/>
      <c r="Q58" s="4"/>
      <c r="R58" s="4"/>
      <c r="S58" s="4"/>
      <c r="T58" s="4"/>
      <c r="U58" s="4"/>
    </row>
    <row r="59" spans="1:21">
      <c r="A59" s="4"/>
      <c r="B59" s="4"/>
      <c r="C59" s="4"/>
      <c r="D59" s="4"/>
      <c r="E59" s="4"/>
      <c r="F59" s="4"/>
      <c r="G59" s="4"/>
      <c r="H59" s="4"/>
      <c r="I59" s="4"/>
      <c r="J59" s="4"/>
      <c r="K59" s="4"/>
      <c r="L59" s="4"/>
      <c r="M59" s="4"/>
      <c r="N59" s="4"/>
      <c r="O59" s="4"/>
      <c r="P59" s="4"/>
      <c r="Q59" s="4"/>
      <c r="R59" s="4"/>
      <c r="S59" s="4"/>
      <c r="T59" s="4"/>
      <c r="U59" s="4"/>
    </row>
    <row r="60" spans="1:21">
      <c r="A60" s="4"/>
      <c r="B60" s="4"/>
      <c r="C60" s="4"/>
      <c r="D60" s="4"/>
      <c r="E60" s="4"/>
      <c r="F60" s="4"/>
      <c r="G60" s="4"/>
      <c r="H60" s="4"/>
      <c r="I60" s="4"/>
      <c r="J60" s="4"/>
      <c r="K60" s="4"/>
      <c r="L60" s="4"/>
      <c r="M60" s="4"/>
      <c r="N60" s="4"/>
      <c r="O60" s="4"/>
      <c r="P60" s="4"/>
      <c r="Q60" s="4"/>
      <c r="R60" s="4"/>
      <c r="S60" s="4"/>
      <c r="T60" s="4"/>
      <c r="U60" s="4"/>
    </row>
    <row r="61" spans="1:21">
      <c r="A61" s="4"/>
      <c r="B61" s="4"/>
      <c r="C61" s="4"/>
      <c r="D61" s="4"/>
      <c r="E61" s="4"/>
      <c r="F61" s="4"/>
      <c r="G61" s="4"/>
      <c r="H61" s="4"/>
      <c r="I61" s="4"/>
      <c r="J61" s="4"/>
      <c r="K61" s="4"/>
      <c r="L61" s="4"/>
      <c r="M61" s="4"/>
      <c r="N61" s="4"/>
      <c r="O61" s="4"/>
      <c r="P61" s="4"/>
      <c r="Q61" s="4"/>
      <c r="R61" s="4"/>
      <c r="S61" s="4"/>
      <c r="T61" s="4"/>
      <c r="U61" s="4"/>
    </row>
    <row r="62" spans="1:21">
      <c r="A62" s="4"/>
      <c r="B62" s="4"/>
      <c r="C62" s="4"/>
      <c r="D62" s="4"/>
      <c r="E62" s="4"/>
      <c r="F62" s="4"/>
      <c r="G62" s="4"/>
      <c r="H62" s="4"/>
      <c r="I62" s="4"/>
      <c r="J62" s="4"/>
      <c r="K62" s="4"/>
      <c r="L62" s="4"/>
      <c r="M62" s="4"/>
      <c r="N62" s="4"/>
      <c r="O62" s="4"/>
      <c r="P62" s="4"/>
      <c r="Q62" s="4"/>
      <c r="R62" s="4"/>
      <c r="S62" s="4"/>
      <c r="T62" s="4"/>
      <c r="U62" s="4"/>
    </row>
    <row r="63" spans="1:21">
      <c r="A63" s="4"/>
      <c r="B63" s="4"/>
      <c r="C63" s="4"/>
      <c r="D63" s="4"/>
      <c r="E63" s="4"/>
      <c r="F63" s="4"/>
      <c r="G63" s="4"/>
      <c r="H63" s="4"/>
      <c r="I63" s="4"/>
      <c r="J63" s="4"/>
      <c r="K63" s="4"/>
      <c r="L63" s="4"/>
      <c r="M63" s="4"/>
      <c r="N63" s="4"/>
      <c r="O63" s="4"/>
      <c r="P63" s="4"/>
      <c r="Q63" s="4"/>
      <c r="R63" s="4"/>
      <c r="S63" s="4"/>
      <c r="T63" s="4"/>
      <c r="U63" s="4"/>
    </row>
    <row r="64" spans="1:21">
      <c r="A64" s="4"/>
      <c r="B64" s="4"/>
      <c r="C64" s="4"/>
      <c r="D64" s="4"/>
      <c r="E64" s="4"/>
      <c r="F64" s="4"/>
      <c r="G64" s="4"/>
      <c r="H64" s="4"/>
      <c r="I64" s="4"/>
      <c r="J64" s="4"/>
      <c r="K64" s="4"/>
      <c r="L64" s="4"/>
      <c r="M64" s="4"/>
      <c r="N64" s="4"/>
      <c r="O64" s="4"/>
      <c r="P64" s="4"/>
      <c r="Q64" s="4"/>
      <c r="R64" s="4"/>
      <c r="S64" s="4"/>
      <c r="T64" s="4"/>
      <c r="U64" s="4"/>
    </row>
    <row r="65" spans="1:21">
      <c r="A65" s="4"/>
      <c r="B65" s="4"/>
      <c r="C65" s="4"/>
      <c r="D65" s="4"/>
      <c r="E65" s="4"/>
      <c r="F65" s="4"/>
      <c r="G65" s="4"/>
      <c r="H65" s="4"/>
      <c r="I65" s="4"/>
      <c r="J65" s="4"/>
      <c r="K65" s="4"/>
      <c r="L65" s="4"/>
      <c r="M65" s="4"/>
      <c r="N65" s="4"/>
      <c r="O65" s="4"/>
      <c r="P65" s="4"/>
      <c r="Q65" s="4"/>
      <c r="R65" s="4"/>
      <c r="S65" s="4"/>
      <c r="T65" s="4"/>
      <c r="U65" s="4"/>
    </row>
    <row r="66" spans="1:21">
      <c r="A66" s="4"/>
      <c r="B66" s="4"/>
      <c r="C66" s="4"/>
      <c r="D66" s="4"/>
      <c r="E66" s="4"/>
      <c r="F66" s="4"/>
      <c r="G66" s="4"/>
      <c r="H66" s="4"/>
      <c r="I66" s="4"/>
      <c r="J66" s="4"/>
      <c r="K66" s="4"/>
      <c r="L66" s="4"/>
      <c r="M66" s="4"/>
      <c r="N66" s="4"/>
      <c r="O66" s="4"/>
      <c r="P66" s="4"/>
      <c r="Q66" s="4"/>
      <c r="R66" s="4"/>
      <c r="S66" s="4"/>
      <c r="T66" s="4"/>
      <c r="U66" s="4"/>
    </row>
    <row r="67" spans="1:21">
      <c r="A67" s="4"/>
      <c r="B67" s="4"/>
      <c r="C67" s="4"/>
      <c r="D67" s="4"/>
      <c r="E67" s="4"/>
      <c r="F67" s="4"/>
      <c r="G67" s="4"/>
      <c r="H67" s="4"/>
      <c r="I67" s="4"/>
      <c r="J67" s="4"/>
      <c r="K67" s="4"/>
      <c r="L67" s="4"/>
      <c r="M67" s="4"/>
      <c r="N67" s="4"/>
      <c r="O67" s="4"/>
      <c r="P67" s="4"/>
      <c r="Q67" s="4"/>
      <c r="R67" s="4"/>
      <c r="S67" s="4"/>
      <c r="T67" s="4"/>
      <c r="U67" s="4"/>
    </row>
    <row r="68" spans="1:21">
      <c r="A68" s="4"/>
      <c r="B68" s="4"/>
      <c r="C68" s="4"/>
      <c r="D68" s="4"/>
      <c r="E68" s="4"/>
      <c r="F68" s="4"/>
      <c r="G68" s="4"/>
      <c r="H68" s="4"/>
      <c r="I68" s="4"/>
      <c r="J68" s="4"/>
      <c r="K68" s="4"/>
      <c r="L68" s="4"/>
      <c r="M68" s="4"/>
      <c r="N68" s="4"/>
      <c r="O68" s="4"/>
      <c r="P68" s="4"/>
      <c r="Q68" s="4"/>
      <c r="R68" s="4"/>
      <c r="S68" s="4"/>
      <c r="T68" s="4"/>
      <c r="U68" s="4"/>
    </row>
    <row r="69" spans="1:21">
      <c r="A69" s="4"/>
      <c r="B69" s="4"/>
      <c r="C69" s="4"/>
      <c r="D69" s="4"/>
      <c r="E69" s="4"/>
      <c r="F69" s="4"/>
      <c r="G69" s="4"/>
      <c r="H69" s="4"/>
      <c r="I69" s="4"/>
      <c r="J69" s="4"/>
      <c r="K69" s="4"/>
      <c r="L69" s="4"/>
      <c r="M69" s="4"/>
      <c r="N69" s="4"/>
      <c r="O69" s="4"/>
      <c r="P69" s="4"/>
      <c r="Q69" s="4"/>
      <c r="R69" s="4"/>
      <c r="S69" s="4"/>
      <c r="T69" s="4"/>
      <c r="U69" s="4"/>
    </row>
    <row r="70" spans="1:21">
      <c r="A70" s="4"/>
      <c r="B70" s="4"/>
      <c r="C70" s="4"/>
      <c r="D70" s="4"/>
      <c r="E70" s="4"/>
      <c r="F70" s="4"/>
      <c r="G70" s="4"/>
      <c r="H70" s="4"/>
      <c r="I70" s="4"/>
      <c r="J70" s="4"/>
      <c r="K70" s="4"/>
      <c r="L70" s="4"/>
      <c r="M70" s="4"/>
      <c r="N70" s="4"/>
      <c r="O70" s="4"/>
      <c r="P70" s="4"/>
      <c r="Q70" s="4"/>
      <c r="R70" s="4"/>
      <c r="S70" s="4"/>
      <c r="T70" s="4"/>
      <c r="U70" s="4"/>
    </row>
    <row r="71" spans="1:21">
      <c r="A71" s="4"/>
      <c r="B71" s="4"/>
      <c r="C71" s="4"/>
      <c r="D71" s="4"/>
      <c r="E71" s="4"/>
      <c r="F71" s="4"/>
      <c r="G71" s="4"/>
      <c r="H71" s="4"/>
      <c r="I71" s="4"/>
      <c r="J71" s="4"/>
      <c r="K71" s="4"/>
      <c r="L71" s="4"/>
      <c r="M71" s="4"/>
      <c r="N71" s="4"/>
      <c r="O71" s="4"/>
      <c r="P71" s="4"/>
      <c r="Q71" s="4"/>
      <c r="R71" s="4"/>
      <c r="S71" s="4"/>
      <c r="T71" s="4"/>
      <c r="U71" s="4"/>
    </row>
    <row r="72" spans="1:21">
      <c r="A72" s="4"/>
      <c r="B72" s="4"/>
      <c r="C72" s="4"/>
      <c r="D72" s="4"/>
      <c r="E72" s="4"/>
      <c r="F72" s="4"/>
      <c r="G72" s="4"/>
      <c r="H72" s="4"/>
      <c r="I72" s="4"/>
      <c r="J72" s="4"/>
      <c r="K72" s="4"/>
      <c r="L72" s="4"/>
      <c r="M72" s="4"/>
      <c r="N72" s="4"/>
      <c r="O72" s="4"/>
      <c r="P72" s="4"/>
      <c r="Q72" s="4"/>
      <c r="R72" s="4"/>
      <c r="S72" s="4"/>
      <c r="T72" s="4"/>
      <c r="U72" s="4"/>
    </row>
    <row r="73" spans="1:21">
      <c r="A73" s="4"/>
      <c r="B73" s="4"/>
      <c r="C73" s="4"/>
      <c r="D73" s="4"/>
      <c r="E73" s="4"/>
      <c r="F73" s="4"/>
      <c r="G73" s="4"/>
      <c r="H73" s="4"/>
      <c r="I73" s="4"/>
      <c r="J73" s="4"/>
      <c r="K73" s="4"/>
      <c r="L73" s="4"/>
      <c r="M73" s="4"/>
      <c r="N73" s="4"/>
      <c r="O73" s="4"/>
      <c r="P73" s="4"/>
      <c r="Q73" s="4"/>
      <c r="R73" s="4"/>
      <c r="S73" s="4"/>
      <c r="T73" s="4"/>
      <c r="U73" s="4"/>
    </row>
    <row r="74" spans="1:21">
      <c r="A74" s="4"/>
      <c r="B74" s="4"/>
      <c r="C74" s="4"/>
      <c r="D74" s="4"/>
      <c r="E74" s="4"/>
      <c r="F74" s="4"/>
      <c r="G74" s="4"/>
      <c r="H74" s="4"/>
      <c r="I74" s="4"/>
      <c r="J74" s="4"/>
      <c r="K74" s="4"/>
      <c r="L74" s="4"/>
      <c r="M74" s="4"/>
      <c r="N74" s="4"/>
      <c r="O74" s="4"/>
      <c r="P74" s="4"/>
      <c r="Q74" s="4"/>
      <c r="R74" s="4"/>
      <c r="S74" s="4"/>
      <c r="T74" s="4"/>
      <c r="U74" s="4"/>
    </row>
    <row r="75" spans="1:21">
      <c r="A75" s="4"/>
      <c r="B75" s="4"/>
      <c r="C75" s="4"/>
      <c r="D75" s="4"/>
      <c r="E75" s="4"/>
      <c r="F75" s="4"/>
      <c r="G75" s="4"/>
      <c r="H75" s="4"/>
      <c r="I75" s="4"/>
      <c r="J75" s="4"/>
      <c r="K75" s="4"/>
      <c r="L75" s="4"/>
      <c r="M75" s="4"/>
      <c r="N75" s="4"/>
      <c r="O75" s="4"/>
      <c r="P75" s="4"/>
      <c r="Q75" s="4"/>
      <c r="R75" s="4"/>
      <c r="S75" s="4"/>
      <c r="T75" s="4"/>
      <c r="U75" s="4"/>
    </row>
    <row r="76" spans="1:21">
      <c r="A76" s="4"/>
      <c r="B76" s="4"/>
      <c r="C76" s="4"/>
      <c r="D76" s="4"/>
      <c r="E76" s="4"/>
      <c r="F76" s="4"/>
      <c r="G76" s="4"/>
      <c r="H76" s="4"/>
      <c r="I76" s="4"/>
      <c r="J76" s="4"/>
      <c r="K76" s="4"/>
      <c r="L76" s="4"/>
      <c r="M76" s="4"/>
      <c r="N76" s="4"/>
      <c r="O76" s="4"/>
      <c r="P76" s="4"/>
      <c r="Q76" s="4"/>
      <c r="R76" s="4"/>
      <c r="S76" s="4"/>
      <c r="T76" s="4"/>
      <c r="U76" s="4"/>
    </row>
    <row r="77" spans="1:21">
      <c r="A77" s="4"/>
      <c r="B77" s="4"/>
      <c r="C77" s="4"/>
      <c r="D77" s="4"/>
      <c r="E77" s="4"/>
      <c r="F77" s="4"/>
      <c r="G77" s="4"/>
      <c r="H77" s="4"/>
      <c r="I77" s="4"/>
      <c r="J77" s="4"/>
      <c r="K77" s="4"/>
      <c r="L77" s="4"/>
      <c r="M77" s="4"/>
      <c r="N77" s="4"/>
      <c r="O77" s="4"/>
      <c r="P77" s="4"/>
      <c r="Q77" s="4"/>
      <c r="R77" s="4"/>
      <c r="S77" s="4"/>
      <c r="T77" s="4"/>
      <c r="U77" s="4"/>
    </row>
    <row r="78" spans="1:21">
      <c r="A78" s="4"/>
      <c r="B78" s="4"/>
      <c r="C78" s="4"/>
      <c r="D78" s="4"/>
      <c r="E78" s="4"/>
      <c r="F78" s="4"/>
      <c r="G78" s="4"/>
      <c r="H78" s="4"/>
      <c r="I78" s="4"/>
      <c r="J78" s="4"/>
      <c r="K78" s="4"/>
      <c r="L78" s="4"/>
      <c r="M78" s="4"/>
      <c r="N78" s="4"/>
      <c r="O78" s="4"/>
      <c r="P78" s="4"/>
      <c r="Q78" s="4"/>
      <c r="R78" s="4"/>
      <c r="S78" s="4"/>
      <c r="T78" s="4"/>
      <c r="U78" s="4"/>
    </row>
    <row r="79" spans="1:21">
      <c r="A79" s="4"/>
      <c r="B79" s="4"/>
      <c r="C79" s="4"/>
      <c r="D79" s="4"/>
      <c r="E79" s="4"/>
      <c r="F79" s="4"/>
      <c r="G79" s="4"/>
      <c r="H79" s="4"/>
      <c r="I79" s="4"/>
      <c r="J79" s="4"/>
      <c r="K79" s="4"/>
      <c r="L79" s="4"/>
      <c r="M79" s="4"/>
      <c r="N79" s="4"/>
      <c r="O79" s="4"/>
      <c r="P79" s="4"/>
      <c r="Q79" s="4"/>
      <c r="R79" s="4"/>
      <c r="S79" s="4"/>
      <c r="T79" s="4"/>
      <c r="U79" s="4"/>
    </row>
    <row r="80" spans="1:21">
      <c r="A80" s="4"/>
      <c r="B80" s="4"/>
      <c r="C80" s="4"/>
      <c r="D80" s="4"/>
      <c r="E80" s="4"/>
      <c r="F80" s="4"/>
      <c r="G80" s="4"/>
      <c r="H80" s="4"/>
      <c r="I80" s="4"/>
      <c r="J80" s="4"/>
      <c r="K80" s="4"/>
      <c r="L80" s="4"/>
      <c r="M80" s="4"/>
      <c r="N80" s="4"/>
      <c r="O80" s="4"/>
      <c r="P80" s="4"/>
      <c r="Q80" s="4"/>
      <c r="R80" s="4"/>
      <c r="S80" s="4"/>
      <c r="T80" s="4"/>
      <c r="U80" s="4"/>
    </row>
    <row r="81" spans="1:21">
      <c r="A81" s="4"/>
      <c r="B81" s="4"/>
      <c r="C81" s="4"/>
      <c r="D81" s="4"/>
      <c r="E81" s="4"/>
      <c r="F81" s="4"/>
      <c r="G81" s="4"/>
      <c r="H81" s="4"/>
      <c r="I81" s="4"/>
      <c r="J81" s="4"/>
      <c r="K81" s="4"/>
      <c r="L81" s="4"/>
      <c r="M81" s="4"/>
      <c r="N81" s="4"/>
      <c r="O81" s="4"/>
      <c r="P81" s="4"/>
      <c r="Q81" s="4"/>
      <c r="R81" s="4"/>
      <c r="S81" s="4"/>
      <c r="T81" s="4"/>
      <c r="U81" s="4"/>
    </row>
    <row r="82" spans="1:21">
      <c r="A82" s="4"/>
      <c r="B82" s="4"/>
      <c r="C82" s="4"/>
      <c r="D82" s="4"/>
      <c r="E82" s="4"/>
      <c r="F82" s="4"/>
      <c r="G82" s="4"/>
      <c r="H82" s="4"/>
      <c r="I82" s="4"/>
      <c r="J82" s="4"/>
      <c r="K82" s="4"/>
      <c r="L82" s="4"/>
      <c r="M82" s="4"/>
      <c r="N82" s="4"/>
      <c r="O82" s="4"/>
      <c r="P82" s="4"/>
      <c r="Q82" s="4"/>
      <c r="R82" s="4"/>
      <c r="S82" s="4"/>
      <c r="T82" s="4"/>
      <c r="U82" s="4"/>
    </row>
    <row r="83" spans="1:21">
      <c r="A83" s="4"/>
      <c r="B83" s="4"/>
      <c r="C83" s="4"/>
      <c r="D83" s="4"/>
      <c r="E83" s="4"/>
      <c r="F83" s="4"/>
      <c r="G83" s="4"/>
      <c r="H83" s="4"/>
      <c r="I83" s="4"/>
      <c r="J83" s="4"/>
      <c r="K83" s="4"/>
      <c r="L83" s="4"/>
      <c r="M83" s="4"/>
      <c r="N83" s="4"/>
      <c r="O83" s="4"/>
      <c r="P83" s="4"/>
      <c r="Q83" s="4"/>
      <c r="R83" s="4"/>
      <c r="S83" s="4"/>
      <c r="T83" s="4"/>
      <c r="U83" s="4"/>
    </row>
    <row r="84" spans="1:21">
      <c r="A84" s="4"/>
      <c r="B84" s="4"/>
      <c r="C84" s="4"/>
      <c r="D84" s="4"/>
      <c r="E84" s="4"/>
      <c r="F84" s="4"/>
      <c r="G84" s="4"/>
      <c r="H84" s="4"/>
      <c r="I84" s="4"/>
      <c r="J84" s="4"/>
      <c r="K84" s="4"/>
      <c r="L84" s="4"/>
      <c r="M84" s="4"/>
      <c r="N84" s="4"/>
      <c r="O84" s="4"/>
      <c r="P84" s="4"/>
      <c r="Q84" s="4"/>
      <c r="R84" s="4"/>
      <c r="S84" s="4"/>
      <c r="T84" s="4"/>
      <c r="U84" s="4"/>
    </row>
    <row r="85" spans="1:21">
      <c r="A85" s="4"/>
      <c r="B85" s="4"/>
      <c r="C85" s="4"/>
      <c r="D85" s="4"/>
      <c r="E85" s="4"/>
      <c r="F85" s="4"/>
      <c r="G85" s="4"/>
      <c r="H85" s="4"/>
      <c r="I85" s="4"/>
      <c r="J85" s="4"/>
      <c r="K85" s="4"/>
      <c r="L85" s="4"/>
      <c r="M85" s="4"/>
      <c r="N85" s="4"/>
      <c r="O85" s="4"/>
      <c r="P85" s="4"/>
      <c r="Q85" s="4"/>
      <c r="R85" s="4"/>
      <c r="S85" s="4"/>
      <c r="T85" s="4"/>
      <c r="U85" s="4"/>
    </row>
    <row r="86" spans="1:21">
      <c r="A86" s="4"/>
      <c r="B86" s="4"/>
      <c r="C86" s="4"/>
      <c r="D86" s="4"/>
      <c r="E86" s="4"/>
      <c r="F86" s="4"/>
      <c r="G86" s="4"/>
      <c r="H86" s="4"/>
      <c r="I86" s="4"/>
      <c r="J86" s="4"/>
      <c r="K86" s="4"/>
      <c r="L86" s="4"/>
      <c r="M86" s="4"/>
      <c r="N86" s="4"/>
      <c r="O86" s="4"/>
      <c r="P86" s="4"/>
      <c r="Q86" s="4"/>
      <c r="R86" s="4"/>
      <c r="S86" s="4"/>
      <c r="T86" s="4"/>
      <c r="U86" s="4"/>
    </row>
    <row r="87" spans="1:21">
      <c r="A87" s="4"/>
      <c r="B87" s="4"/>
      <c r="C87" s="4"/>
      <c r="D87" s="4"/>
      <c r="E87" s="4"/>
      <c r="F87" s="4"/>
      <c r="G87" s="4"/>
      <c r="H87" s="4"/>
      <c r="I87" s="4"/>
      <c r="J87" s="4"/>
      <c r="K87" s="4"/>
      <c r="L87" s="4"/>
      <c r="M87" s="4"/>
      <c r="N87" s="4"/>
      <c r="O87" s="4"/>
      <c r="P87" s="4"/>
      <c r="Q87" s="4"/>
      <c r="R87" s="4"/>
      <c r="S87" s="4"/>
      <c r="T87" s="4"/>
      <c r="U87" s="4"/>
    </row>
    <row r="88" spans="1:21">
      <c r="A88" s="4"/>
      <c r="B88" s="4"/>
      <c r="C88" s="4"/>
      <c r="D88" s="4"/>
      <c r="E88" s="4"/>
      <c r="F88" s="4"/>
      <c r="G88" s="4"/>
      <c r="H88" s="4"/>
      <c r="I88" s="4"/>
      <c r="J88" s="4"/>
      <c r="K88" s="4"/>
      <c r="L88" s="4"/>
      <c r="M88" s="4"/>
      <c r="N88" s="4"/>
      <c r="O88" s="4"/>
      <c r="P88" s="4"/>
      <c r="Q88" s="4"/>
      <c r="R88" s="4"/>
      <c r="S88" s="4"/>
      <c r="T88" s="4"/>
      <c r="U88" s="4"/>
    </row>
    <row r="89" spans="1:21">
      <c r="A89" s="4"/>
      <c r="B89" s="4"/>
      <c r="C89" s="4"/>
      <c r="D89" s="4"/>
      <c r="E89" s="4"/>
      <c r="F89" s="4"/>
      <c r="G89" s="4"/>
      <c r="H89" s="4"/>
      <c r="I89" s="4"/>
      <c r="J89" s="4"/>
      <c r="K89" s="4"/>
      <c r="L89" s="4"/>
      <c r="M89" s="4"/>
      <c r="N89" s="4"/>
      <c r="O89" s="4"/>
      <c r="P89" s="4"/>
      <c r="Q89" s="4"/>
      <c r="R89" s="4"/>
      <c r="S89" s="4"/>
      <c r="T89" s="4"/>
      <c r="U89" s="4"/>
    </row>
    <row r="90" spans="1:21">
      <c r="A90" s="4"/>
      <c r="B90" s="4"/>
      <c r="C90" s="4"/>
      <c r="D90" s="4"/>
      <c r="E90" s="4"/>
      <c r="F90" s="4"/>
      <c r="G90" s="4"/>
      <c r="H90" s="4"/>
      <c r="I90" s="4"/>
      <c r="J90" s="4"/>
      <c r="K90" s="4"/>
      <c r="L90" s="4"/>
      <c r="M90" s="4"/>
      <c r="N90" s="4"/>
      <c r="O90" s="4"/>
      <c r="P90" s="4"/>
      <c r="Q90" s="4"/>
      <c r="R90" s="4"/>
      <c r="S90" s="4"/>
      <c r="T90" s="4"/>
      <c r="U90" s="4"/>
    </row>
    <row r="91" spans="1:21">
      <c r="A91" s="4"/>
      <c r="B91" s="4"/>
      <c r="C91" s="4"/>
      <c r="D91" s="4"/>
      <c r="E91" s="4"/>
      <c r="F91" s="4"/>
      <c r="G91" s="4"/>
      <c r="H91" s="4"/>
      <c r="I91" s="4"/>
      <c r="J91" s="4"/>
      <c r="K91" s="4"/>
      <c r="L91" s="4"/>
      <c r="M91" s="4"/>
      <c r="N91" s="4"/>
      <c r="O91" s="4"/>
      <c r="P91" s="4"/>
      <c r="Q91" s="4"/>
      <c r="R91" s="4"/>
      <c r="S91" s="4"/>
      <c r="T91" s="4"/>
      <c r="U91" s="4"/>
    </row>
    <row r="92" spans="1:21">
      <c r="A92" s="4"/>
      <c r="B92" s="4"/>
      <c r="C92" s="4"/>
      <c r="D92" s="4"/>
      <c r="E92" s="4"/>
      <c r="F92" s="4"/>
      <c r="G92" s="4"/>
      <c r="H92" s="4"/>
      <c r="I92" s="4"/>
      <c r="J92" s="4"/>
      <c r="K92" s="4"/>
      <c r="L92" s="4"/>
      <c r="M92" s="4"/>
      <c r="N92" s="4"/>
      <c r="O92" s="4"/>
      <c r="P92" s="4"/>
      <c r="Q92" s="4"/>
      <c r="R92" s="4"/>
      <c r="S92" s="4"/>
      <c r="T92" s="4"/>
      <c r="U92" s="4"/>
    </row>
    <row r="93" spans="1:21">
      <c r="A93" s="4"/>
      <c r="B93" s="4"/>
      <c r="C93" s="4"/>
      <c r="D93" s="4"/>
      <c r="E93" s="4"/>
      <c r="F93" s="4"/>
      <c r="G93" s="4"/>
      <c r="H93" s="4"/>
      <c r="I93" s="4"/>
      <c r="J93" s="4"/>
      <c r="K93" s="4"/>
      <c r="L93" s="4"/>
      <c r="M93" s="4"/>
      <c r="N93" s="4"/>
      <c r="O93" s="4"/>
      <c r="P93" s="4"/>
      <c r="Q93" s="4"/>
      <c r="R93" s="4"/>
      <c r="S93" s="4"/>
      <c r="T93" s="4"/>
      <c r="U93" s="4"/>
    </row>
    <row r="94" spans="1:21">
      <c r="A94" s="4"/>
      <c r="B94" s="4"/>
      <c r="C94" s="4"/>
      <c r="D94" s="4"/>
      <c r="E94" s="4"/>
      <c r="F94" s="4"/>
      <c r="G94" s="4"/>
      <c r="H94" s="4"/>
      <c r="I94" s="4"/>
      <c r="J94" s="4"/>
      <c r="K94" s="4"/>
      <c r="L94" s="4"/>
      <c r="M94" s="4"/>
      <c r="N94" s="4"/>
      <c r="O94" s="4"/>
      <c r="P94" s="4"/>
      <c r="Q94" s="4"/>
      <c r="R94" s="4"/>
      <c r="S94" s="4"/>
      <c r="T94" s="4"/>
      <c r="U94" s="4"/>
    </row>
    <row r="95" spans="1:21">
      <c r="A95" s="4"/>
      <c r="B95" s="4"/>
      <c r="C95" s="4"/>
      <c r="D95" s="4"/>
      <c r="E95" s="4"/>
      <c r="F95" s="4"/>
      <c r="G95" s="4"/>
      <c r="H95" s="4"/>
      <c r="I95" s="4"/>
      <c r="J95" s="4"/>
      <c r="K95" s="4"/>
      <c r="L95" s="4"/>
      <c r="M95" s="4"/>
      <c r="N95" s="4"/>
      <c r="O95" s="4"/>
      <c r="P95" s="4"/>
      <c r="Q95" s="4"/>
      <c r="R95" s="4"/>
      <c r="S95" s="4"/>
      <c r="T95" s="4"/>
      <c r="U95" s="4"/>
    </row>
    <row r="96" spans="1:21">
      <c r="A96" s="4"/>
      <c r="B96" s="4"/>
      <c r="C96" s="4"/>
      <c r="D96" s="4"/>
      <c r="E96" s="4"/>
      <c r="F96" s="4"/>
      <c r="G96" s="4"/>
      <c r="H96" s="4"/>
      <c r="I96" s="4"/>
      <c r="J96" s="4"/>
      <c r="K96" s="4"/>
      <c r="L96" s="4"/>
      <c r="M96" s="4"/>
      <c r="N96" s="4"/>
      <c r="O96" s="4"/>
      <c r="P96" s="4"/>
      <c r="Q96" s="4"/>
      <c r="R96" s="4"/>
      <c r="S96" s="4"/>
      <c r="T96" s="4"/>
      <c r="U96" s="4"/>
    </row>
    <row r="97" spans="1:21">
      <c r="A97" s="4"/>
      <c r="B97" s="4"/>
      <c r="C97" s="4"/>
      <c r="D97" s="4"/>
      <c r="E97" s="4"/>
      <c r="F97" s="4"/>
      <c r="G97" s="4"/>
      <c r="H97" s="4"/>
      <c r="I97" s="4"/>
      <c r="J97" s="4"/>
      <c r="K97" s="4"/>
      <c r="L97" s="4"/>
      <c r="M97" s="4"/>
      <c r="N97" s="4"/>
      <c r="O97" s="4"/>
      <c r="P97" s="4"/>
      <c r="Q97" s="4"/>
      <c r="R97" s="4"/>
      <c r="S97" s="4"/>
      <c r="T97" s="4"/>
      <c r="U97" s="4"/>
    </row>
    <row r="98" spans="1:21">
      <c r="A98" s="4"/>
      <c r="B98" s="4"/>
      <c r="C98" s="4"/>
      <c r="D98" s="4"/>
      <c r="E98" s="4"/>
      <c r="F98" s="4"/>
      <c r="G98" s="4"/>
      <c r="H98" s="4"/>
      <c r="I98" s="4"/>
      <c r="J98" s="4"/>
      <c r="K98" s="4"/>
      <c r="L98" s="4"/>
      <c r="M98" s="4"/>
      <c r="N98" s="4"/>
      <c r="O98" s="4"/>
      <c r="P98" s="4"/>
      <c r="Q98" s="4"/>
      <c r="R98" s="4"/>
      <c r="S98" s="4"/>
      <c r="T98" s="4"/>
      <c r="U98" s="4"/>
    </row>
    <row r="99" spans="1:21">
      <c r="A99" s="4"/>
      <c r="B99" s="4"/>
      <c r="C99" s="4"/>
      <c r="D99" s="4"/>
      <c r="E99" s="4"/>
      <c r="F99" s="4"/>
      <c r="G99" s="4"/>
      <c r="H99" s="4"/>
      <c r="I99" s="4"/>
      <c r="J99" s="4"/>
      <c r="K99" s="4"/>
      <c r="L99" s="4"/>
      <c r="M99" s="4"/>
      <c r="N99" s="4"/>
      <c r="O99" s="4"/>
      <c r="P99" s="4"/>
      <c r="Q99" s="4"/>
      <c r="R99" s="4"/>
      <c r="S99" s="4"/>
      <c r="T99" s="4"/>
      <c r="U99" s="4"/>
    </row>
    <row r="100" spans="1:21">
      <c r="A100" s="4"/>
      <c r="B100" s="4"/>
      <c r="C100" s="4"/>
      <c r="D100" s="4"/>
      <c r="E100" s="4"/>
      <c r="F100" s="4"/>
      <c r="G100" s="4"/>
      <c r="H100" s="4"/>
      <c r="I100" s="4"/>
      <c r="J100" s="4"/>
      <c r="K100" s="4"/>
      <c r="L100" s="4"/>
      <c r="M100" s="4"/>
      <c r="N100" s="4"/>
      <c r="O100" s="4"/>
      <c r="P100" s="4"/>
      <c r="Q100" s="4"/>
      <c r="R100" s="4"/>
      <c r="S100" s="4"/>
      <c r="T100" s="4"/>
      <c r="U100" s="4"/>
    </row>
    <row r="101" spans="1:21">
      <c r="A101" s="4"/>
      <c r="B101" s="4"/>
      <c r="C101" s="4"/>
      <c r="D101" s="4"/>
      <c r="E101" s="4"/>
      <c r="F101" s="4"/>
      <c r="G101" s="4"/>
      <c r="H101" s="4"/>
      <c r="I101" s="4"/>
      <c r="J101" s="4"/>
      <c r="K101" s="4"/>
      <c r="L101" s="4"/>
      <c r="M101" s="4"/>
      <c r="N101" s="4"/>
      <c r="O101" s="4"/>
      <c r="P101" s="4"/>
      <c r="Q101" s="4"/>
      <c r="R101" s="4"/>
      <c r="S101" s="4"/>
      <c r="T101" s="4"/>
      <c r="U101" s="4"/>
    </row>
    <row r="102" spans="1:21">
      <c r="A102" s="4"/>
      <c r="B102" s="4"/>
      <c r="C102" s="4"/>
      <c r="D102" s="4"/>
      <c r="E102" s="4"/>
      <c r="F102" s="4"/>
      <c r="G102" s="4"/>
      <c r="H102" s="4"/>
      <c r="I102" s="4"/>
      <c r="J102" s="4"/>
      <c r="K102" s="4"/>
      <c r="L102" s="4"/>
      <c r="M102" s="4"/>
      <c r="N102" s="4"/>
      <c r="O102" s="4"/>
      <c r="P102" s="4"/>
      <c r="Q102" s="4"/>
      <c r="R102" s="4"/>
      <c r="S102" s="4"/>
      <c r="T102" s="4"/>
      <c r="U102" s="4"/>
    </row>
    <row r="103" spans="1:21">
      <c r="A103" s="4"/>
      <c r="B103" s="4"/>
      <c r="C103" s="4"/>
      <c r="D103" s="4"/>
      <c r="E103" s="4"/>
      <c r="F103" s="4"/>
      <c r="G103" s="4"/>
      <c r="H103" s="4"/>
      <c r="I103" s="4"/>
      <c r="J103" s="4"/>
      <c r="K103" s="4"/>
      <c r="L103" s="4"/>
      <c r="M103" s="4"/>
      <c r="N103" s="4"/>
      <c r="O103" s="4"/>
      <c r="P103" s="4"/>
      <c r="Q103" s="4"/>
      <c r="R103" s="4"/>
      <c r="S103" s="4"/>
      <c r="T103" s="4"/>
      <c r="U103" s="4"/>
    </row>
    <row r="104" spans="1:21">
      <c r="A104" s="4"/>
      <c r="B104" s="4"/>
      <c r="C104" s="4"/>
      <c r="D104" s="4"/>
      <c r="E104" s="4"/>
      <c r="F104" s="4"/>
      <c r="G104" s="4"/>
      <c r="H104" s="4"/>
      <c r="I104" s="4"/>
      <c r="J104" s="4"/>
      <c r="K104" s="4"/>
      <c r="L104" s="4"/>
      <c r="M104" s="4"/>
      <c r="N104" s="4"/>
      <c r="O104" s="4"/>
      <c r="P104" s="4"/>
      <c r="Q104" s="4"/>
      <c r="R104" s="4"/>
      <c r="S104" s="4"/>
      <c r="T104" s="4"/>
      <c r="U104" s="4"/>
    </row>
    <row r="105" spans="1:21">
      <c r="A105" s="4"/>
      <c r="B105" s="4"/>
      <c r="C105" s="4"/>
      <c r="D105" s="4"/>
      <c r="E105" s="4"/>
      <c r="F105" s="4"/>
      <c r="G105" s="4"/>
      <c r="H105" s="4"/>
      <c r="I105" s="4"/>
      <c r="J105" s="4"/>
      <c r="K105" s="4"/>
      <c r="L105" s="4"/>
      <c r="M105" s="4"/>
      <c r="N105" s="4"/>
      <c r="O105" s="4"/>
      <c r="P105" s="4"/>
      <c r="Q105" s="4"/>
      <c r="R105" s="4"/>
      <c r="S105" s="4"/>
      <c r="T105" s="4"/>
      <c r="U105" s="4"/>
    </row>
    <row r="106" spans="1:21">
      <c r="A106" s="4"/>
      <c r="B106" s="4"/>
      <c r="C106" s="4"/>
      <c r="D106" s="4"/>
      <c r="E106" s="4"/>
      <c r="F106" s="4"/>
      <c r="G106" s="4"/>
      <c r="H106" s="4"/>
      <c r="I106" s="4"/>
      <c r="J106" s="4"/>
      <c r="K106" s="4"/>
      <c r="L106" s="4"/>
      <c r="M106" s="4"/>
      <c r="N106" s="4"/>
      <c r="O106" s="4"/>
      <c r="P106" s="4"/>
      <c r="Q106" s="4"/>
      <c r="R106" s="4"/>
      <c r="S106" s="4"/>
      <c r="T106" s="4"/>
      <c r="U106" s="4"/>
    </row>
    <row r="107" spans="1:21">
      <c r="A107" s="4"/>
      <c r="B107" s="4"/>
      <c r="C107" s="4"/>
      <c r="D107" s="4"/>
      <c r="E107" s="4"/>
      <c r="F107" s="4"/>
      <c r="G107" s="4"/>
      <c r="H107" s="4"/>
      <c r="I107" s="4"/>
      <c r="J107" s="4"/>
      <c r="K107" s="4"/>
      <c r="L107" s="4"/>
      <c r="M107" s="4"/>
      <c r="N107" s="4"/>
      <c r="O107" s="4"/>
      <c r="P107" s="4"/>
      <c r="Q107" s="4"/>
      <c r="R107" s="4"/>
      <c r="S107" s="4"/>
      <c r="T107" s="4"/>
      <c r="U107" s="4"/>
    </row>
    <row r="108" spans="1:21">
      <c r="A108" s="4"/>
      <c r="B108" s="4"/>
      <c r="C108" s="4"/>
      <c r="D108" s="4"/>
      <c r="E108" s="4"/>
      <c r="F108" s="4"/>
      <c r="G108" s="4"/>
      <c r="H108" s="4"/>
      <c r="I108" s="4"/>
      <c r="J108" s="4"/>
      <c r="K108" s="4"/>
      <c r="L108" s="4"/>
      <c r="M108" s="4"/>
      <c r="N108" s="4"/>
      <c r="O108" s="4"/>
      <c r="P108" s="4"/>
      <c r="Q108" s="4"/>
      <c r="R108" s="4"/>
      <c r="S108" s="4"/>
      <c r="T108" s="4"/>
      <c r="U108" s="4"/>
    </row>
    <row r="109" spans="1:21">
      <c r="A109" s="4"/>
      <c r="B109" s="4"/>
      <c r="C109" s="4"/>
      <c r="D109" s="4"/>
      <c r="E109" s="4"/>
      <c r="F109" s="4"/>
      <c r="G109" s="4"/>
      <c r="H109" s="4"/>
      <c r="I109" s="4"/>
      <c r="J109" s="4"/>
      <c r="K109" s="4"/>
      <c r="L109" s="4"/>
      <c r="M109" s="4"/>
      <c r="N109" s="4"/>
      <c r="O109" s="4"/>
      <c r="P109" s="4"/>
      <c r="Q109" s="4"/>
      <c r="R109" s="4"/>
      <c r="S109" s="4"/>
      <c r="T109" s="4"/>
      <c r="U109" s="4"/>
    </row>
    <row r="110" spans="1:21">
      <c r="A110" s="4"/>
      <c r="B110" s="4"/>
      <c r="C110" s="4"/>
      <c r="D110" s="4"/>
      <c r="E110" s="4"/>
      <c r="F110" s="4"/>
      <c r="G110" s="4"/>
      <c r="H110" s="4"/>
      <c r="I110" s="4"/>
      <c r="J110" s="4"/>
      <c r="K110" s="4"/>
      <c r="L110" s="4"/>
      <c r="M110" s="4"/>
      <c r="N110" s="4"/>
      <c r="O110" s="4"/>
      <c r="P110" s="4"/>
      <c r="Q110" s="4"/>
      <c r="R110" s="4"/>
      <c r="S110" s="4"/>
      <c r="T110" s="4"/>
      <c r="U110" s="4"/>
    </row>
    <row r="111" spans="1:21">
      <c r="A111" s="4"/>
      <c r="B111" s="4"/>
      <c r="C111" s="4"/>
      <c r="D111" s="4"/>
      <c r="E111" s="4"/>
      <c r="F111" s="4"/>
      <c r="G111" s="4"/>
      <c r="H111" s="4"/>
      <c r="I111" s="4"/>
      <c r="J111" s="4"/>
      <c r="K111" s="4"/>
      <c r="L111" s="4"/>
      <c r="M111" s="4"/>
      <c r="N111" s="4"/>
      <c r="O111" s="4"/>
      <c r="P111" s="4"/>
      <c r="Q111" s="4"/>
      <c r="R111" s="4"/>
      <c r="S111" s="4"/>
      <c r="T111" s="4"/>
      <c r="U111" s="4"/>
    </row>
    <row r="112" spans="1:21">
      <c r="A112" s="4"/>
      <c r="B112" s="4"/>
      <c r="C112" s="4"/>
      <c r="D112" s="4"/>
      <c r="E112" s="4"/>
      <c r="F112" s="4"/>
      <c r="G112" s="4"/>
      <c r="H112" s="4"/>
      <c r="I112" s="4"/>
      <c r="J112" s="4"/>
      <c r="K112" s="4"/>
      <c r="L112" s="4"/>
      <c r="M112" s="4"/>
      <c r="N112" s="4"/>
      <c r="O112" s="4"/>
      <c r="P112" s="4"/>
      <c r="Q112" s="4"/>
      <c r="R112" s="4"/>
      <c r="S112" s="4"/>
      <c r="T112" s="4"/>
      <c r="U112" s="4"/>
    </row>
    <row r="113" spans="1:21">
      <c r="A113" s="4"/>
      <c r="B113" s="4"/>
      <c r="C113" s="4"/>
      <c r="D113" s="4"/>
      <c r="E113" s="4"/>
      <c r="F113" s="4"/>
      <c r="G113" s="4"/>
      <c r="H113" s="4"/>
      <c r="I113" s="4"/>
      <c r="J113" s="4"/>
      <c r="K113" s="4"/>
      <c r="L113" s="4"/>
      <c r="M113" s="4"/>
      <c r="N113" s="4"/>
      <c r="O113" s="4"/>
      <c r="P113" s="4"/>
      <c r="Q113" s="4"/>
      <c r="R113" s="4"/>
      <c r="S113" s="4"/>
      <c r="T113" s="4"/>
      <c r="U113" s="4"/>
    </row>
    <row r="114" spans="1:21">
      <c r="A114" s="4"/>
      <c r="B114" s="4"/>
      <c r="C114" s="4"/>
      <c r="D114" s="4"/>
      <c r="E114" s="4"/>
      <c r="F114" s="4"/>
      <c r="G114" s="4"/>
      <c r="H114" s="4"/>
      <c r="I114" s="4"/>
      <c r="J114" s="4"/>
      <c r="K114" s="4"/>
      <c r="L114" s="4"/>
      <c r="M114" s="4"/>
      <c r="N114" s="4"/>
      <c r="O114" s="4"/>
      <c r="P114" s="4"/>
      <c r="Q114" s="4"/>
      <c r="R114" s="4"/>
      <c r="S114" s="4"/>
      <c r="T114" s="4"/>
      <c r="U114" s="4"/>
    </row>
    <row r="115" spans="1:21">
      <c r="A115" s="4"/>
      <c r="B115" s="4"/>
      <c r="C115" s="4"/>
      <c r="D115" s="4"/>
      <c r="E115" s="4"/>
      <c r="F115" s="4"/>
      <c r="G115" s="4"/>
      <c r="H115" s="4"/>
      <c r="I115" s="4"/>
      <c r="J115" s="4"/>
      <c r="K115" s="4"/>
      <c r="L115" s="4"/>
      <c r="M115" s="4"/>
      <c r="N115" s="4"/>
      <c r="O115" s="4"/>
      <c r="P115" s="4"/>
      <c r="Q115" s="4"/>
      <c r="R115" s="4"/>
      <c r="S115" s="4"/>
      <c r="T115" s="4"/>
      <c r="U115" s="4"/>
    </row>
    <row r="116" spans="1:21">
      <c r="A116" s="4"/>
      <c r="B116" s="4"/>
      <c r="C116" s="4"/>
      <c r="D116" s="4"/>
      <c r="E116" s="4"/>
      <c r="F116" s="4"/>
      <c r="G116" s="4"/>
      <c r="H116" s="4"/>
      <c r="I116" s="4"/>
      <c r="J116" s="4"/>
      <c r="K116" s="4"/>
      <c r="L116" s="4"/>
      <c r="M116" s="4"/>
      <c r="N116" s="4"/>
      <c r="O116" s="4"/>
      <c r="P116" s="4"/>
      <c r="Q116" s="4"/>
      <c r="R116" s="4"/>
      <c r="S116" s="4"/>
      <c r="T116" s="4"/>
      <c r="U116" s="4"/>
    </row>
    <row r="117" spans="1:21">
      <c r="A117" s="4"/>
      <c r="B117" s="4"/>
      <c r="C117" s="4"/>
      <c r="D117" s="4"/>
      <c r="E117" s="4"/>
      <c r="F117" s="4"/>
      <c r="G117" s="4"/>
      <c r="H117" s="4"/>
      <c r="I117" s="4"/>
      <c r="J117" s="4"/>
      <c r="K117" s="4"/>
      <c r="L117" s="4"/>
      <c r="M117" s="4"/>
      <c r="N117" s="4"/>
      <c r="O117" s="4"/>
      <c r="P117" s="4"/>
      <c r="Q117" s="4"/>
      <c r="R117" s="4"/>
      <c r="S117" s="4"/>
      <c r="T117" s="4"/>
      <c r="U117" s="4"/>
    </row>
    <row r="118" spans="1:21">
      <c r="A118" s="4"/>
      <c r="B118" s="4"/>
      <c r="C118" s="4"/>
      <c r="D118" s="4"/>
      <c r="E118" s="4"/>
      <c r="F118" s="4"/>
      <c r="G118" s="4"/>
      <c r="H118" s="4"/>
      <c r="I118" s="4"/>
      <c r="J118" s="4"/>
      <c r="K118" s="4"/>
      <c r="L118" s="4"/>
      <c r="M118" s="4"/>
      <c r="N118" s="4"/>
      <c r="O118" s="4"/>
      <c r="P118" s="4"/>
      <c r="Q118" s="4"/>
      <c r="R118" s="4"/>
      <c r="S118" s="4"/>
      <c r="T118" s="4"/>
      <c r="U118" s="4"/>
    </row>
    <row r="119" spans="1:21">
      <c r="A119" s="4"/>
      <c r="B119" s="4"/>
      <c r="C119" s="4"/>
      <c r="D119" s="4"/>
      <c r="E119" s="4"/>
      <c r="F119" s="4"/>
      <c r="G119" s="4"/>
      <c r="H119" s="4"/>
      <c r="I119" s="4"/>
      <c r="J119" s="4"/>
      <c r="K119" s="4"/>
      <c r="L119" s="4"/>
      <c r="M119" s="4"/>
      <c r="N119" s="4"/>
      <c r="O119" s="4"/>
      <c r="P119" s="4"/>
      <c r="Q119" s="4"/>
      <c r="R119" s="4"/>
      <c r="S119" s="4"/>
      <c r="T119" s="4"/>
      <c r="U119" s="4"/>
    </row>
    <row r="120" spans="1:21">
      <c r="A120" s="4"/>
      <c r="B120" s="4"/>
      <c r="C120" s="4"/>
      <c r="D120" s="4"/>
      <c r="E120" s="4"/>
      <c r="F120" s="4"/>
      <c r="G120" s="4"/>
      <c r="H120" s="4"/>
      <c r="I120" s="4"/>
      <c r="J120" s="4"/>
      <c r="K120" s="4"/>
      <c r="L120" s="4"/>
      <c r="M120" s="4"/>
      <c r="N120" s="4"/>
      <c r="O120" s="4"/>
      <c r="P120" s="4"/>
      <c r="Q120" s="4"/>
      <c r="R120" s="4"/>
      <c r="S120" s="4"/>
      <c r="T120" s="4"/>
      <c r="U120" s="4"/>
    </row>
    <row r="121" spans="1:21">
      <c r="A121" s="4"/>
      <c r="B121" s="4"/>
      <c r="C121" s="4"/>
      <c r="D121" s="4"/>
      <c r="E121" s="4"/>
      <c r="F121" s="4"/>
      <c r="G121" s="4"/>
      <c r="H121" s="4"/>
      <c r="I121" s="4"/>
      <c r="J121" s="4"/>
      <c r="K121" s="4"/>
      <c r="L121" s="4"/>
      <c r="M121" s="4"/>
      <c r="N121" s="4"/>
      <c r="O121" s="4"/>
      <c r="P121" s="4"/>
      <c r="Q121" s="4"/>
      <c r="R121" s="4"/>
      <c r="S121" s="4"/>
      <c r="T121" s="4"/>
      <c r="U121" s="4"/>
    </row>
    <row r="122" spans="1:21">
      <c r="A122" s="4"/>
      <c r="B122" s="4"/>
      <c r="C122" s="4"/>
      <c r="D122" s="4"/>
      <c r="E122" s="4"/>
      <c r="F122" s="4"/>
      <c r="G122" s="4"/>
      <c r="H122" s="4"/>
      <c r="I122" s="4"/>
      <c r="J122" s="4"/>
      <c r="K122" s="4"/>
      <c r="L122" s="4"/>
      <c r="M122" s="4"/>
      <c r="N122" s="4"/>
      <c r="O122" s="4"/>
      <c r="P122" s="4"/>
      <c r="Q122" s="4"/>
      <c r="R122" s="4"/>
      <c r="S122" s="4"/>
      <c r="T122" s="4"/>
      <c r="U122" s="4"/>
    </row>
    <row r="123" spans="1:21">
      <c r="A123" s="4"/>
      <c r="B123" s="4"/>
      <c r="C123" s="4"/>
      <c r="D123" s="4"/>
      <c r="E123" s="4"/>
      <c r="F123" s="4"/>
      <c r="G123" s="4"/>
      <c r="H123" s="4"/>
      <c r="I123" s="4"/>
      <c r="J123" s="4"/>
      <c r="K123" s="4"/>
      <c r="L123" s="4"/>
      <c r="M123" s="4"/>
      <c r="N123" s="4"/>
      <c r="O123" s="4"/>
      <c r="P123" s="4"/>
      <c r="Q123" s="4"/>
      <c r="R123" s="4"/>
      <c r="S123" s="4"/>
      <c r="T123" s="4"/>
      <c r="U123" s="4"/>
    </row>
    <row r="124" spans="1:21">
      <c r="A124" s="4"/>
      <c r="B124" s="4"/>
      <c r="C124" s="4"/>
      <c r="D124" s="4"/>
      <c r="E124" s="4"/>
      <c r="F124" s="4"/>
      <c r="G124" s="4"/>
      <c r="H124" s="4"/>
      <c r="I124" s="4"/>
      <c r="J124" s="4"/>
      <c r="K124" s="4"/>
      <c r="L124" s="4"/>
      <c r="M124" s="4"/>
      <c r="N124" s="4"/>
      <c r="O124" s="4"/>
      <c r="P124" s="4"/>
      <c r="Q124" s="4"/>
      <c r="R124" s="4"/>
      <c r="S124" s="4"/>
      <c r="T124" s="4"/>
      <c r="U124" s="4"/>
    </row>
    <row r="125" spans="1:21">
      <c r="A125" s="4"/>
      <c r="B125" s="4"/>
      <c r="C125" s="4"/>
      <c r="D125" s="4"/>
      <c r="E125" s="4"/>
      <c r="F125" s="4"/>
      <c r="G125" s="4"/>
      <c r="H125" s="4"/>
      <c r="I125" s="4"/>
      <c r="J125" s="4"/>
      <c r="K125" s="4"/>
      <c r="L125" s="4"/>
      <c r="M125" s="4"/>
      <c r="N125" s="4"/>
      <c r="O125" s="4"/>
      <c r="P125" s="4"/>
      <c r="Q125" s="4"/>
      <c r="R125" s="4"/>
      <c r="S125" s="4"/>
      <c r="T125" s="4"/>
      <c r="U125" s="4"/>
    </row>
    <row r="126" spans="1:21">
      <c r="A126" s="4"/>
      <c r="B126" s="4"/>
      <c r="C126" s="4"/>
      <c r="D126" s="4"/>
      <c r="E126" s="4"/>
      <c r="F126" s="4"/>
      <c r="G126" s="4"/>
      <c r="H126" s="4"/>
      <c r="I126" s="4"/>
      <c r="J126" s="4"/>
      <c r="K126" s="4"/>
      <c r="L126" s="4"/>
      <c r="M126" s="4"/>
      <c r="N126" s="4"/>
      <c r="O126" s="4"/>
      <c r="P126" s="4"/>
      <c r="Q126" s="4"/>
      <c r="R126" s="4"/>
      <c r="S126" s="4"/>
      <c r="T126" s="4"/>
      <c r="U126" s="4"/>
    </row>
    <row r="127" spans="1:21">
      <c r="A127" s="4"/>
      <c r="B127" s="4"/>
      <c r="C127" s="4"/>
      <c r="D127" s="4"/>
      <c r="E127" s="4"/>
      <c r="F127" s="4"/>
      <c r="G127" s="4"/>
      <c r="H127" s="4"/>
      <c r="I127" s="4"/>
      <c r="J127" s="4"/>
      <c r="K127" s="4"/>
      <c r="L127" s="4"/>
      <c r="M127" s="4"/>
      <c r="N127" s="4"/>
      <c r="O127" s="4"/>
      <c r="P127" s="4"/>
      <c r="Q127" s="4"/>
      <c r="R127" s="4"/>
      <c r="S127" s="4"/>
      <c r="T127" s="4"/>
      <c r="U127" s="4"/>
    </row>
    <row r="128" spans="1:21">
      <c r="A128" s="4"/>
      <c r="B128" s="4"/>
      <c r="C128" s="4"/>
      <c r="D128" s="4"/>
      <c r="E128" s="4"/>
      <c r="F128" s="4"/>
      <c r="G128" s="4"/>
      <c r="H128" s="4"/>
      <c r="I128" s="4"/>
      <c r="J128" s="4"/>
      <c r="K128" s="4"/>
      <c r="L128" s="4"/>
      <c r="M128" s="4"/>
      <c r="N128" s="4"/>
      <c r="O128" s="4"/>
      <c r="P128" s="4"/>
      <c r="Q128" s="4"/>
      <c r="R128" s="4"/>
      <c r="S128" s="4"/>
      <c r="T128" s="4"/>
      <c r="U128" s="4"/>
    </row>
    <row r="129" spans="1:21">
      <c r="A129" s="4"/>
      <c r="B129" s="4"/>
      <c r="C129" s="4"/>
      <c r="D129" s="4"/>
      <c r="E129" s="4"/>
      <c r="F129" s="4"/>
      <c r="G129" s="4"/>
      <c r="H129" s="4"/>
      <c r="I129" s="4"/>
      <c r="J129" s="4"/>
      <c r="K129" s="4"/>
      <c r="L129" s="4"/>
      <c r="M129" s="4"/>
      <c r="N129" s="4"/>
      <c r="O129" s="4"/>
      <c r="P129" s="4"/>
      <c r="Q129" s="4"/>
      <c r="R129" s="4"/>
      <c r="S129" s="4"/>
      <c r="T129" s="4"/>
      <c r="U129" s="4"/>
    </row>
    <row r="130" spans="1:21">
      <c r="A130" s="4"/>
      <c r="B130" s="4"/>
      <c r="C130" s="4"/>
      <c r="D130" s="4"/>
      <c r="E130" s="4"/>
      <c r="F130" s="4"/>
      <c r="G130" s="4"/>
      <c r="H130" s="4"/>
      <c r="I130" s="4"/>
      <c r="J130" s="4"/>
      <c r="K130" s="4"/>
      <c r="L130" s="4"/>
      <c r="M130" s="4"/>
      <c r="N130" s="4"/>
      <c r="O130" s="4"/>
      <c r="P130" s="4"/>
      <c r="Q130" s="4"/>
      <c r="R130" s="4"/>
      <c r="S130" s="4"/>
      <c r="T130" s="4"/>
      <c r="U130" s="4"/>
    </row>
    <row r="131" spans="1:21">
      <c r="A131" s="4"/>
      <c r="B131" s="4"/>
      <c r="C131" s="4"/>
      <c r="D131" s="4"/>
      <c r="E131" s="4"/>
      <c r="F131" s="4"/>
      <c r="G131" s="4"/>
      <c r="H131" s="4"/>
      <c r="I131" s="4"/>
      <c r="J131" s="4"/>
      <c r="K131" s="4"/>
      <c r="L131" s="4"/>
      <c r="M131" s="4"/>
      <c r="N131" s="4"/>
      <c r="O131" s="4"/>
      <c r="P131" s="4"/>
      <c r="Q131" s="4"/>
      <c r="R131" s="4"/>
      <c r="S131" s="4"/>
      <c r="T131" s="4"/>
      <c r="U131" s="4"/>
    </row>
    <row r="132" spans="1:21">
      <c r="A132" s="4"/>
      <c r="B132" s="4"/>
      <c r="C132" s="4"/>
      <c r="D132" s="4"/>
      <c r="E132" s="4"/>
      <c r="F132" s="4"/>
      <c r="G132" s="4"/>
      <c r="H132" s="4"/>
      <c r="I132" s="4"/>
      <c r="J132" s="4"/>
      <c r="K132" s="4"/>
      <c r="L132" s="4"/>
      <c r="M132" s="4"/>
      <c r="N132" s="4"/>
      <c r="O132" s="4"/>
      <c r="P132" s="4"/>
      <c r="Q132" s="4"/>
      <c r="R132" s="4"/>
      <c r="S132" s="4"/>
      <c r="T132" s="4"/>
      <c r="U132" s="4"/>
    </row>
    <row r="133" spans="1:21">
      <c r="A133" s="4"/>
      <c r="B133" s="4"/>
      <c r="C133" s="4"/>
      <c r="D133" s="4"/>
      <c r="E133" s="4"/>
      <c r="F133" s="4"/>
      <c r="G133" s="4"/>
      <c r="H133" s="4"/>
      <c r="I133" s="4"/>
      <c r="J133" s="4"/>
      <c r="K133" s="4"/>
      <c r="L133" s="4"/>
      <c r="M133" s="4"/>
      <c r="N133" s="4"/>
      <c r="O133" s="4"/>
      <c r="P133" s="4"/>
      <c r="Q133" s="4"/>
      <c r="R133" s="4"/>
      <c r="S133" s="4"/>
      <c r="T133" s="4"/>
      <c r="U133" s="4"/>
    </row>
    <row r="134" spans="1:21">
      <c r="A134" s="4"/>
      <c r="B134" s="4"/>
      <c r="C134" s="4"/>
      <c r="D134" s="4"/>
      <c r="E134" s="4"/>
      <c r="F134" s="4"/>
      <c r="G134" s="4"/>
      <c r="H134" s="4"/>
      <c r="I134" s="4"/>
      <c r="J134" s="4"/>
      <c r="K134" s="4"/>
      <c r="L134" s="4"/>
      <c r="M134" s="4"/>
      <c r="N134" s="4"/>
      <c r="O134" s="4"/>
      <c r="P134" s="4"/>
      <c r="Q134" s="4"/>
      <c r="R134" s="4"/>
      <c r="S134" s="4"/>
      <c r="T134" s="4"/>
      <c r="U134" s="4"/>
    </row>
    <row r="135" spans="1:21">
      <c r="A135" s="4"/>
      <c r="B135" s="4"/>
      <c r="C135" s="4"/>
      <c r="D135" s="4"/>
      <c r="E135" s="4"/>
      <c r="F135" s="4"/>
      <c r="G135" s="4"/>
      <c r="H135" s="4"/>
      <c r="I135" s="4"/>
      <c r="J135" s="4"/>
      <c r="K135" s="4"/>
      <c r="L135" s="4"/>
      <c r="M135" s="4"/>
      <c r="N135" s="4"/>
      <c r="O135" s="4"/>
      <c r="P135" s="4"/>
      <c r="Q135" s="4"/>
      <c r="R135" s="4"/>
      <c r="S135" s="4"/>
      <c r="T135" s="4"/>
      <c r="U135" s="4"/>
    </row>
    <row r="136" spans="1:21">
      <c r="A136" s="4"/>
      <c r="B136" s="4"/>
      <c r="C136" s="4"/>
      <c r="D136" s="4"/>
      <c r="E136" s="4"/>
      <c r="F136" s="4"/>
      <c r="G136" s="4"/>
      <c r="H136" s="4"/>
      <c r="I136" s="4"/>
      <c r="J136" s="4"/>
      <c r="K136" s="4"/>
      <c r="L136" s="4"/>
      <c r="M136" s="4"/>
      <c r="N136" s="4"/>
      <c r="O136" s="4"/>
      <c r="P136" s="4"/>
      <c r="Q136" s="4"/>
      <c r="R136" s="4"/>
      <c r="S136" s="4"/>
      <c r="T136" s="4"/>
      <c r="U136" s="4"/>
    </row>
    <row r="137" spans="1:21">
      <c r="A137" s="4"/>
      <c r="B137" s="4"/>
      <c r="C137" s="4"/>
      <c r="D137" s="4"/>
      <c r="E137" s="4"/>
      <c r="F137" s="4"/>
      <c r="G137" s="4"/>
      <c r="H137" s="4"/>
      <c r="I137" s="4"/>
      <c r="J137" s="4"/>
      <c r="K137" s="4"/>
      <c r="L137" s="4"/>
      <c r="M137" s="4"/>
      <c r="N137" s="4"/>
      <c r="O137" s="4"/>
      <c r="P137" s="4"/>
      <c r="Q137" s="4"/>
      <c r="R137" s="4"/>
      <c r="S137" s="4"/>
      <c r="T137" s="4"/>
      <c r="U137" s="4"/>
    </row>
    <row r="138" spans="1:21">
      <c r="A138" s="4"/>
      <c r="B138" s="4"/>
      <c r="C138" s="4"/>
      <c r="D138" s="4"/>
      <c r="E138" s="4"/>
      <c r="F138" s="4"/>
      <c r="G138" s="4"/>
      <c r="H138" s="4"/>
      <c r="I138" s="4"/>
      <c r="J138" s="4"/>
      <c r="K138" s="4"/>
      <c r="L138" s="4"/>
      <c r="M138" s="4"/>
      <c r="N138" s="4"/>
      <c r="O138" s="4"/>
      <c r="P138" s="4"/>
      <c r="Q138" s="4"/>
      <c r="R138" s="4"/>
      <c r="S138" s="4"/>
      <c r="T138" s="4"/>
      <c r="U138" s="4"/>
    </row>
    <row r="139" spans="1:21">
      <c r="A139" s="4"/>
      <c r="B139" s="4"/>
      <c r="C139" s="4"/>
      <c r="D139" s="4"/>
      <c r="E139" s="4"/>
      <c r="F139" s="4"/>
      <c r="G139" s="4"/>
      <c r="H139" s="4"/>
      <c r="I139" s="4"/>
      <c r="J139" s="4"/>
      <c r="K139" s="4"/>
      <c r="L139" s="4"/>
      <c r="M139" s="4"/>
      <c r="N139" s="4"/>
      <c r="O139" s="4"/>
      <c r="P139" s="4"/>
      <c r="Q139" s="4"/>
      <c r="R139" s="4"/>
      <c r="S139" s="4"/>
      <c r="T139" s="4"/>
      <c r="U139" s="4"/>
    </row>
    <row r="140" spans="1:21">
      <c r="A140" s="4"/>
      <c r="B140" s="4"/>
      <c r="C140" s="4"/>
      <c r="D140" s="4"/>
      <c r="E140" s="4"/>
      <c r="F140" s="4"/>
      <c r="G140" s="4"/>
      <c r="H140" s="4"/>
      <c r="I140" s="4"/>
      <c r="J140" s="4"/>
      <c r="K140" s="4"/>
      <c r="L140" s="4"/>
      <c r="M140" s="4"/>
      <c r="N140" s="4"/>
      <c r="O140" s="4"/>
      <c r="P140" s="4"/>
      <c r="Q140" s="4"/>
      <c r="R140" s="4"/>
      <c r="S140" s="4"/>
      <c r="T140" s="4"/>
      <c r="U140" s="4"/>
    </row>
    <row r="141" spans="1:21">
      <c r="A141" s="4"/>
      <c r="B141" s="4"/>
      <c r="C141" s="4"/>
      <c r="D141" s="4"/>
      <c r="E141" s="4"/>
      <c r="F141" s="4"/>
      <c r="G141" s="4"/>
      <c r="H141" s="4"/>
      <c r="I141" s="4"/>
      <c r="J141" s="4"/>
      <c r="K141" s="4"/>
      <c r="L141" s="4"/>
      <c r="M141" s="4"/>
      <c r="N141" s="4"/>
      <c r="O141" s="4"/>
      <c r="P141" s="4"/>
      <c r="Q141" s="4"/>
      <c r="R141" s="4"/>
      <c r="S141" s="4"/>
      <c r="T141" s="4"/>
      <c r="U141" s="4"/>
    </row>
    <row r="142" spans="1:21">
      <c r="A142" s="4"/>
      <c r="B142" s="4"/>
      <c r="C142" s="4"/>
      <c r="D142" s="4"/>
      <c r="E142" s="4"/>
      <c r="F142" s="4"/>
      <c r="G142" s="4"/>
      <c r="H142" s="4"/>
      <c r="I142" s="4"/>
      <c r="J142" s="4"/>
      <c r="K142" s="4"/>
      <c r="L142" s="4"/>
      <c r="M142" s="4"/>
      <c r="N142" s="4"/>
      <c r="O142" s="4"/>
      <c r="P142" s="4"/>
      <c r="Q142" s="4"/>
      <c r="R142" s="4"/>
      <c r="S142" s="4"/>
      <c r="T142" s="4"/>
      <c r="U142" s="4"/>
    </row>
    <row r="143" spans="1:21">
      <c r="A143" s="4"/>
      <c r="B143" s="4"/>
      <c r="C143" s="4"/>
      <c r="D143" s="4"/>
      <c r="E143" s="4"/>
      <c r="F143" s="4"/>
      <c r="G143" s="4"/>
      <c r="H143" s="4"/>
      <c r="I143" s="4"/>
      <c r="J143" s="4"/>
      <c r="K143" s="4"/>
      <c r="L143" s="4"/>
      <c r="M143" s="4"/>
      <c r="N143" s="4"/>
      <c r="O143" s="4"/>
      <c r="P143" s="4"/>
      <c r="Q143" s="4"/>
      <c r="R143" s="4"/>
      <c r="S143" s="4"/>
      <c r="T143" s="4"/>
      <c r="U143" s="4"/>
    </row>
    <row r="144" spans="1:21">
      <c r="A144" s="4"/>
      <c r="B144" s="4"/>
      <c r="C144" s="4"/>
      <c r="D144" s="4"/>
      <c r="E144" s="4"/>
      <c r="F144" s="4"/>
      <c r="G144" s="4"/>
      <c r="H144" s="4"/>
      <c r="I144" s="4"/>
      <c r="J144" s="4"/>
      <c r="K144" s="4"/>
      <c r="L144" s="4"/>
      <c r="M144" s="4"/>
      <c r="N144" s="4"/>
      <c r="O144" s="4"/>
      <c r="P144" s="4"/>
      <c r="Q144" s="4"/>
      <c r="R144" s="4"/>
      <c r="S144" s="4"/>
      <c r="T144" s="4"/>
      <c r="U144" s="4"/>
    </row>
    <row r="145" spans="1:21">
      <c r="A145" s="4"/>
      <c r="B145" s="4"/>
      <c r="C145" s="4"/>
      <c r="D145" s="4"/>
      <c r="E145" s="4"/>
      <c r="F145" s="4"/>
      <c r="G145" s="4"/>
      <c r="H145" s="4"/>
      <c r="I145" s="4"/>
      <c r="J145" s="4"/>
      <c r="K145" s="4"/>
      <c r="L145" s="4"/>
      <c r="M145" s="4"/>
      <c r="N145" s="4"/>
      <c r="O145" s="4"/>
      <c r="P145" s="4"/>
      <c r="Q145" s="4"/>
      <c r="R145" s="4"/>
      <c r="S145" s="4"/>
      <c r="T145" s="4"/>
      <c r="U145" s="4"/>
    </row>
    <row r="146" spans="1:21">
      <c r="A146" s="4"/>
      <c r="B146" s="4"/>
      <c r="C146" s="4"/>
      <c r="D146" s="4"/>
      <c r="E146" s="4"/>
      <c r="F146" s="4"/>
      <c r="G146" s="4"/>
      <c r="H146" s="4"/>
      <c r="I146" s="4"/>
      <c r="J146" s="4"/>
      <c r="K146" s="4"/>
      <c r="L146" s="4"/>
      <c r="M146" s="4"/>
      <c r="N146" s="4"/>
      <c r="O146" s="4"/>
      <c r="P146" s="4"/>
      <c r="Q146" s="4"/>
      <c r="R146" s="4"/>
      <c r="S146" s="4"/>
      <c r="T146" s="4"/>
      <c r="U146" s="4"/>
    </row>
    <row r="147" spans="1:21">
      <c r="A147" s="4"/>
      <c r="B147" s="4"/>
      <c r="C147" s="4"/>
      <c r="D147" s="4"/>
      <c r="E147" s="4"/>
      <c r="F147" s="4"/>
      <c r="G147" s="4"/>
      <c r="H147" s="4"/>
      <c r="I147" s="4"/>
      <c r="J147" s="4"/>
      <c r="K147" s="4"/>
      <c r="L147" s="4"/>
      <c r="M147" s="4"/>
      <c r="N147" s="4"/>
      <c r="O147" s="4"/>
      <c r="P147" s="4"/>
      <c r="Q147" s="4"/>
      <c r="R147" s="4"/>
      <c r="S147" s="4"/>
      <c r="T147" s="4"/>
      <c r="U147" s="4"/>
    </row>
    <row r="148" spans="1:21">
      <c r="A148" s="4"/>
      <c r="B148" s="4"/>
      <c r="C148" s="4"/>
      <c r="D148" s="4"/>
      <c r="E148" s="4"/>
      <c r="F148" s="4"/>
      <c r="G148" s="4"/>
      <c r="H148" s="4"/>
      <c r="I148" s="4"/>
      <c r="J148" s="4"/>
      <c r="K148" s="4"/>
      <c r="L148" s="4"/>
      <c r="M148" s="4"/>
      <c r="N148" s="4"/>
      <c r="O148" s="4"/>
      <c r="P148" s="4"/>
      <c r="Q148" s="4"/>
      <c r="R148" s="4"/>
      <c r="S148" s="4"/>
      <c r="T148" s="4"/>
      <c r="U148" s="4"/>
    </row>
    <row r="149" spans="1:21">
      <c r="A149" s="4"/>
      <c r="B149" s="4"/>
      <c r="C149" s="4"/>
      <c r="D149" s="4"/>
      <c r="E149" s="4"/>
      <c r="F149" s="4"/>
      <c r="G149" s="4"/>
      <c r="H149" s="4"/>
      <c r="I149" s="4"/>
      <c r="J149" s="4"/>
      <c r="K149" s="4"/>
      <c r="L149" s="4"/>
      <c r="M149" s="4"/>
      <c r="N149" s="4"/>
      <c r="O149" s="4"/>
      <c r="P149" s="4"/>
      <c r="Q149" s="4"/>
      <c r="R149" s="4"/>
      <c r="S149" s="4"/>
      <c r="T149" s="4"/>
      <c r="U149" s="4"/>
    </row>
    <row r="150" spans="1:21">
      <c r="A150" s="4"/>
      <c r="B150" s="4"/>
      <c r="C150" s="4"/>
      <c r="D150" s="4"/>
      <c r="E150" s="4"/>
      <c r="F150" s="4"/>
      <c r="G150" s="4"/>
      <c r="H150" s="4"/>
      <c r="I150" s="4"/>
      <c r="J150" s="4"/>
      <c r="K150" s="4"/>
      <c r="L150" s="4"/>
      <c r="M150" s="4"/>
      <c r="N150" s="4"/>
      <c r="O150" s="4"/>
      <c r="P150" s="4"/>
      <c r="Q150" s="4"/>
      <c r="R150" s="4"/>
      <c r="S150" s="4"/>
      <c r="T150" s="4"/>
      <c r="U150" s="4"/>
    </row>
    <row r="151" spans="1:21">
      <c r="A151" s="4"/>
      <c r="B151" s="4"/>
      <c r="C151" s="4"/>
      <c r="D151" s="4"/>
      <c r="E151" s="4"/>
      <c r="F151" s="4"/>
      <c r="G151" s="4"/>
      <c r="H151" s="4"/>
      <c r="I151" s="4"/>
      <c r="J151" s="4"/>
      <c r="K151" s="4"/>
      <c r="L151" s="4"/>
      <c r="M151" s="4"/>
      <c r="N151" s="4"/>
      <c r="O151" s="4"/>
      <c r="P151" s="4"/>
      <c r="Q151" s="4"/>
      <c r="R151" s="4"/>
      <c r="S151" s="4"/>
      <c r="T151" s="4"/>
      <c r="U151" s="4"/>
    </row>
    <row r="152" spans="1:21">
      <c r="A152" s="4"/>
      <c r="B152" s="4"/>
      <c r="C152" s="4"/>
      <c r="D152" s="4"/>
      <c r="E152" s="4"/>
      <c r="F152" s="4"/>
      <c r="G152" s="4"/>
      <c r="H152" s="4"/>
      <c r="I152" s="4"/>
      <c r="J152" s="4"/>
      <c r="K152" s="4"/>
      <c r="L152" s="4"/>
      <c r="M152" s="4"/>
      <c r="N152" s="4"/>
      <c r="O152" s="4"/>
      <c r="P152" s="4"/>
      <c r="Q152" s="4"/>
      <c r="R152" s="4"/>
      <c r="S152" s="4"/>
      <c r="T152" s="4"/>
      <c r="U152" s="4"/>
    </row>
    <row r="153" spans="1:21">
      <c r="A153" s="4"/>
      <c r="B153" s="4"/>
      <c r="C153" s="4"/>
      <c r="D153" s="4"/>
      <c r="E153" s="4"/>
      <c r="F153" s="4"/>
      <c r="G153" s="4"/>
      <c r="H153" s="4"/>
      <c r="I153" s="4"/>
      <c r="J153" s="4"/>
      <c r="K153" s="4"/>
      <c r="L153" s="4"/>
      <c r="M153" s="4"/>
      <c r="N153" s="4"/>
      <c r="O153" s="4"/>
      <c r="P153" s="4"/>
      <c r="Q153" s="4"/>
      <c r="R153" s="4"/>
      <c r="S153" s="4"/>
      <c r="T153" s="4"/>
      <c r="U153" s="4"/>
    </row>
    <row r="154" spans="1:21">
      <c r="A154" s="4"/>
      <c r="B154" s="4"/>
      <c r="C154" s="4"/>
      <c r="D154" s="4"/>
      <c r="E154" s="4"/>
      <c r="F154" s="4"/>
      <c r="G154" s="4"/>
      <c r="H154" s="4"/>
      <c r="I154" s="4"/>
      <c r="J154" s="4"/>
      <c r="K154" s="4"/>
      <c r="L154" s="4"/>
      <c r="M154" s="4"/>
      <c r="N154" s="4"/>
      <c r="O154" s="4"/>
      <c r="P154" s="4"/>
      <c r="Q154" s="4"/>
      <c r="R154" s="4"/>
      <c r="S154" s="4"/>
      <c r="T154" s="4"/>
      <c r="U154" s="4"/>
    </row>
    <row r="155" spans="1:21">
      <c r="A155" s="4"/>
      <c r="B155" s="4"/>
      <c r="C155" s="4"/>
      <c r="D155" s="4"/>
      <c r="E155" s="4"/>
      <c r="F155" s="4"/>
      <c r="G155" s="4"/>
      <c r="H155" s="4"/>
      <c r="I155" s="4"/>
      <c r="J155" s="4"/>
      <c r="K155" s="4"/>
      <c r="L155" s="4"/>
      <c r="M155" s="4"/>
      <c r="N155" s="4"/>
      <c r="O155" s="4"/>
      <c r="P155" s="4"/>
      <c r="Q155" s="4"/>
      <c r="R155" s="4"/>
      <c r="S155" s="4"/>
      <c r="T155" s="4"/>
      <c r="U155" s="4"/>
    </row>
    <row r="156" spans="1:21">
      <c r="A156" s="4"/>
      <c r="B156" s="4"/>
      <c r="C156" s="4"/>
      <c r="D156" s="4"/>
      <c r="E156" s="4"/>
      <c r="F156" s="4"/>
      <c r="G156" s="4"/>
      <c r="H156" s="4"/>
      <c r="I156" s="4"/>
      <c r="J156" s="4"/>
      <c r="K156" s="4"/>
      <c r="L156" s="4"/>
      <c r="M156" s="4"/>
      <c r="N156" s="4"/>
      <c r="O156" s="4"/>
      <c r="P156" s="4"/>
      <c r="Q156" s="4"/>
      <c r="R156" s="4"/>
      <c r="S156" s="4"/>
      <c r="T156" s="4"/>
      <c r="U156" s="4"/>
    </row>
    <row r="157" spans="1:21">
      <c r="A157" s="4"/>
      <c r="B157" s="4"/>
      <c r="C157" s="4"/>
      <c r="D157" s="4"/>
      <c r="E157" s="4"/>
      <c r="F157" s="4"/>
      <c r="G157" s="4"/>
      <c r="H157" s="4"/>
      <c r="I157" s="4"/>
      <c r="J157" s="4"/>
      <c r="K157" s="4"/>
      <c r="L157" s="4"/>
      <c r="M157" s="4"/>
      <c r="N157" s="4"/>
      <c r="O157" s="4"/>
      <c r="P157" s="4"/>
      <c r="Q157" s="4"/>
      <c r="R157" s="4"/>
      <c r="S157" s="4"/>
      <c r="T157" s="4"/>
      <c r="U157" s="4"/>
    </row>
    <row r="158" spans="1:21">
      <c r="A158" s="4"/>
      <c r="B158" s="4"/>
      <c r="C158" s="4"/>
      <c r="D158" s="4"/>
      <c r="E158" s="4"/>
      <c r="F158" s="4"/>
      <c r="G158" s="4"/>
      <c r="H158" s="4"/>
      <c r="I158" s="4"/>
      <c r="J158" s="4"/>
      <c r="K158" s="4"/>
      <c r="L158" s="4"/>
      <c r="M158" s="4"/>
      <c r="N158" s="4"/>
      <c r="O158" s="4"/>
      <c r="P158" s="4"/>
      <c r="Q158" s="4"/>
      <c r="R158" s="4"/>
      <c r="S158" s="4"/>
      <c r="T158" s="4"/>
      <c r="U158" s="4"/>
    </row>
    <row r="159" spans="1:21">
      <c r="A159" s="4"/>
      <c r="B159" s="4"/>
      <c r="C159" s="4"/>
      <c r="D159" s="4"/>
      <c r="E159" s="4"/>
      <c r="F159" s="4"/>
      <c r="G159" s="4"/>
      <c r="H159" s="4"/>
      <c r="I159" s="4"/>
      <c r="J159" s="4"/>
      <c r="K159" s="4"/>
      <c r="L159" s="4"/>
      <c r="M159" s="4"/>
      <c r="N159" s="4"/>
      <c r="O159" s="4"/>
      <c r="P159" s="4"/>
      <c r="Q159" s="4"/>
      <c r="R159" s="4"/>
      <c r="S159" s="4"/>
      <c r="T159" s="4"/>
      <c r="U159" s="4"/>
    </row>
    <row r="160" spans="1:21">
      <c r="A160" s="4"/>
      <c r="B160" s="4"/>
      <c r="C160" s="4"/>
      <c r="D160" s="4"/>
      <c r="E160" s="4"/>
      <c r="F160" s="4"/>
      <c r="G160" s="4"/>
      <c r="H160" s="4"/>
      <c r="I160" s="4"/>
      <c r="J160" s="4"/>
      <c r="K160" s="4"/>
      <c r="L160" s="4"/>
      <c r="M160" s="4"/>
      <c r="N160" s="4"/>
      <c r="O160" s="4"/>
      <c r="P160" s="4"/>
      <c r="Q160" s="4"/>
      <c r="R160" s="4"/>
      <c r="S160" s="4"/>
      <c r="T160" s="4"/>
      <c r="U160" s="4"/>
    </row>
    <row r="161" spans="1:21">
      <c r="A161" s="4"/>
      <c r="B161" s="4"/>
      <c r="C161" s="4"/>
      <c r="D161" s="4"/>
      <c r="E161" s="4"/>
      <c r="F161" s="4"/>
      <c r="G161" s="4"/>
      <c r="H161" s="4"/>
      <c r="I161" s="4"/>
      <c r="J161" s="4"/>
      <c r="K161" s="4"/>
      <c r="L161" s="4"/>
      <c r="M161" s="4"/>
      <c r="N161" s="4"/>
      <c r="O161" s="4"/>
      <c r="P161" s="4"/>
      <c r="Q161" s="4"/>
      <c r="R161" s="4"/>
      <c r="S161" s="4"/>
      <c r="T161" s="4"/>
      <c r="U161" s="4"/>
    </row>
    <row r="162" spans="1:21">
      <c r="A162" s="4"/>
      <c r="B162" s="4"/>
      <c r="C162" s="4"/>
      <c r="D162" s="4"/>
      <c r="E162" s="4"/>
      <c r="F162" s="4"/>
      <c r="G162" s="4"/>
      <c r="H162" s="4"/>
      <c r="I162" s="4"/>
      <c r="J162" s="4"/>
      <c r="K162" s="4"/>
      <c r="L162" s="4"/>
      <c r="M162" s="4"/>
      <c r="N162" s="4"/>
      <c r="O162" s="4"/>
      <c r="P162" s="4"/>
      <c r="Q162" s="4"/>
      <c r="R162" s="4"/>
      <c r="S162" s="4"/>
      <c r="T162" s="4"/>
      <c r="U162" s="4"/>
    </row>
    <row r="163" spans="1:21">
      <c r="A163" s="4"/>
      <c r="B163" s="4"/>
      <c r="C163" s="4"/>
      <c r="D163" s="4"/>
      <c r="E163" s="4"/>
      <c r="F163" s="4"/>
      <c r="G163" s="4"/>
      <c r="H163" s="4"/>
      <c r="I163" s="4"/>
      <c r="J163" s="4"/>
      <c r="K163" s="4"/>
      <c r="L163" s="4"/>
      <c r="M163" s="4"/>
      <c r="N163" s="4"/>
      <c r="O163" s="4"/>
      <c r="P163" s="4"/>
      <c r="Q163" s="4"/>
      <c r="R163" s="4"/>
      <c r="S163" s="4"/>
      <c r="T163" s="4"/>
      <c r="U163" s="4"/>
    </row>
    <row r="164" spans="1:21">
      <c r="A164" s="4"/>
      <c r="B164" s="4"/>
      <c r="C164" s="4"/>
      <c r="D164" s="4"/>
      <c r="E164" s="4"/>
      <c r="F164" s="4"/>
      <c r="G164" s="4"/>
      <c r="H164" s="4"/>
      <c r="I164" s="4"/>
      <c r="J164" s="4"/>
      <c r="K164" s="4"/>
      <c r="L164" s="4"/>
      <c r="M164" s="4"/>
      <c r="N164" s="4"/>
      <c r="O164" s="4"/>
      <c r="P164" s="4"/>
      <c r="Q164" s="4"/>
      <c r="R164" s="4"/>
      <c r="S164" s="4"/>
      <c r="T164" s="4"/>
      <c r="U164" s="4"/>
    </row>
    <row r="165" spans="1:21">
      <c r="A165" s="4"/>
      <c r="B165" s="4"/>
      <c r="C165" s="4"/>
      <c r="D165" s="4"/>
      <c r="E165" s="4"/>
      <c r="F165" s="4"/>
      <c r="G165" s="4"/>
      <c r="H165" s="4"/>
      <c r="I165" s="4"/>
      <c r="J165" s="4"/>
      <c r="K165" s="4"/>
      <c r="L165" s="4"/>
      <c r="M165" s="4"/>
      <c r="N165" s="4"/>
      <c r="O165" s="4"/>
      <c r="P165" s="4"/>
      <c r="Q165" s="4"/>
      <c r="R165" s="4"/>
      <c r="S165" s="4"/>
      <c r="T165" s="4"/>
      <c r="U165" s="4"/>
    </row>
    <row r="166" spans="1:21">
      <c r="A166" s="4"/>
      <c r="B166" s="4"/>
      <c r="C166" s="4"/>
      <c r="D166" s="4"/>
      <c r="E166" s="4"/>
      <c r="F166" s="4"/>
      <c r="G166" s="4"/>
      <c r="H166" s="4"/>
      <c r="I166" s="4"/>
      <c r="J166" s="4"/>
      <c r="K166" s="4"/>
      <c r="L166" s="4"/>
      <c r="M166" s="4"/>
      <c r="N166" s="4"/>
      <c r="O166" s="4"/>
      <c r="P166" s="4"/>
      <c r="Q166" s="4"/>
      <c r="R166" s="4"/>
      <c r="S166" s="4"/>
      <c r="T166" s="4"/>
      <c r="U166" s="4"/>
    </row>
    <row r="167" spans="1:21">
      <c r="A167" s="4"/>
      <c r="B167" s="4"/>
      <c r="C167" s="4"/>
      <c r="D167" s="4"/>
      <c r="E167" s="4"/>
      <c r="F167" s="4"/>
      <c r="G167" s="4"/>
      <c r="H167" s="4"/>
      <c r="I167" s="4"/>
      <c r="J167" s="4"/>
      <c r="K167" s="4"/>
      <c r="L167" s="4"/>
      <c r="M167" s="4"/>
      <c r="N167" s="4"/>
      <c r="O167" s="4"/>
      <c r="P167" s="4"/>
      <c r="Q167" s="4"/>
      <c r="R167" s="4"/>
      <c r="S167" s="4"/>
      <c r="T167" s="4"/>
      <c r="U167" s="4"/>
    </row>
    <row r="168" spans="1:21">
      <c r="A168" s="4"/>
      <c r="B168" s="4"/>
      <c r="C168" s="4"/>
      <c r="D168" s="4"/>
      <c r="E168" s="4"/>
      <c r="F168" s="4"/>
      <c r="G168" s="4"/>
      <c r="H168" s="4"/>
      <c r="I168" s="4"/>
      <c r="J168" s="4"/>
      <c r="K168" s="4"/>
      <c r="L168" s="4"/>
      <c r="M168" s="4"/>
      <c r="N168" s="4"/>
      <c r="O168" s="4"/>
      <c r="P168" s="4"/>
      <c r="Q168" s="4"/>
      <c r="R168" s="4"/>
      <c r="S168" s="4"/>
      <c r="T168" s="4"/>
      <c r="U168" s="4"/>
    </row>
    <row r="169" spans="1:21">
      <c r="A169" s="4"/>
      <c r="B169" s="4"/>
      <c r="C169" s="4"/>
      <c r="D169" s="4"/>
      <c r="E169" s="4"/>
      <c r="F169" s="4"/>
      <c r="G169" s="4"/>
      <c r="H169" s="4"/>
      <c r="I169" s="4"/>
      <c r="J169" s="4"/>
      <c r="K169" s="4"/>
      <c r="L169" s="4"/>
      <c r="M169" s="4"/>
      <c r="N169" s="4"/>
      <c r="O169" s="4"/>
      <c r="P169" s="4"/>
      <c r="Q169" s="4"/>
      <c r="R169" s="4"/>
      <c r="S169" s="4"/>
      <c r="T169" s="4"/>
      <c r="U169" s="4"/>
    </row>
    <row r="170" spans="1:21">
      <c r="A170" s="4"/>
      <c r="B170" s="4"/>
      <c r="C170" s="4"/>
      <c r="D170" s="4"/>
      <c r="E170" s="4"/>
      <c r="F170" s="4"/>
      <c r="G170" s="4"/>
      <c r="H170" s="4"/>
      <c r="I170" s="4"/>
      <c r="J170" s="4"/>
      <c r="K170" s="4"/>
      <c r="L170" s="4"/>
      <c r="M170" s="4"/>
      <c r="N170" s="4"/>
      <c r="O170" s="4"/>
      <c r="P170" s="4"/>
      <c r="Q170" s="4"/>
      <c r="R170" s="4"/>
      <c r="S170" s="4"/>
      <c r="T170" s="4"/>
      <c r="U170" s="4"/>
    </row>
    <row r="171" spans="1:21">
      <c r="A171" s="4"/>
      <c r="B171" s="4"/>
      <c r="C171" s="4"/>
      <c r="D171" s="4"/>
      <c r="E171" s="4"/>
      <c r="F171" s="4"/>
      <c r="G171" s="4"/>
      <c r="H171" s="4"/>
      <c r="I171" s="4"/>
      <c r="J171" s="4"/>
      <c r="K171" s="4"/>
      <c r="L171" s="4"/>
      <c r="M171" s="4"/>
      <c r="N171" s="4"/>
      <c r="O171" s="4"/>
      <c r="P171" s="4"/>
      <c r="Q171" s="4"/>
      <c r="R171" s="4"/>
      <c r="S171" s="4"/>
      <c r="T171" s="4"/>
      <c r="U171" s="4"/>
    </row>
    <row r="172" spans="1:21">
      <c r="A172" s="4"/>
      <c r="B172" s="4"/>
      <c r="C172" s="4"/>
      <c r="D172" s="4"/>
      <c r="E172" s="4"/>
      <c r="F172" s="4"/>
      <c r="G172" s="4"/>
      <c r="H172" s="4"/>
      <c r="I172" s="4"/>
      <c r="J172" s="4"/>
      <c r="K172" s="4"/>
      <c r="L172" s="4"/>
      <c r="M172" s="4"/>
      <c r="N172" s="4"/>
      <c r="O172" s="4"/>
      <c r="P172" s="4"/>
      <c r="Q172" s="4"/>
      <c r="R172" s="4"/>
      <c r="S172" s="4"/>
      <c r="T172" s="4"/>
      <c r="U172" s="4"/>
    </row>
    <row r="173" spans="1:21">
      <c r="A173" s="4"/>
      <c r="B173" s="4"/>
      <c r="C173" s="4"/>
      <c r="D173" s="4"/>
      <c r="E173" s="4"/>
      <c r="F173" s="4"/>
      <c r="G173" s="4"/>
      <c r="H173" s="4"/>
      <c r="I173" s="4"/>
      <c r="J173" s="4"/>
      <c r="K173" s="4"/>
      <c r="L173" s="4"/>
      <c r="M173" s="4"/>
      <c r="N173" s="4"/>
      <c r="O173" s="4"/>
      <c r="P173" s="4"/>
      <c r="Q173" s="4"/>
      <c r="R173" s="4"/>
      <c r="S173" s="4"/>
      <c r="T173" s="4"/>
      <c r="U173" s="4"/>
    </row>
    <row r="174" spans="1:21">
      <c r="A174" s="4"/>
      <c r="B174" s="4"/>
      <c r="C174" s="4"/>
      <c r="D174" s="4"/>
      <c r="E174" s="4"/>
      <c r="F174" s="4"/>
      <c r="G174" s="4"/>
      <c r="H174" s="4"/>
      <c r="I174" s="4"/>
      <c r="J174" s="4"/>
      <c r="K174" s="4"/>
      <c r="L174" s="4"/>
      <c r="M174" s="4"/>
      <c r="N174" s="4"/>
      <c r="O174" s="4"/>
      <c r="P174" s="4"/>
      <c r="Q174" s="4"/>
      <c r="R174" s="4"/>
      <c r="S174" s="4"/>
      <c r="T174" s="4"/>
      <c r="U174" s="4"/>
    </row>
    <row r="175" spans="1:21">
      <c r="A175" s="4"/>
      <c r="B175" s="4"/>
      <c r="C175" s="4"/>
      <c r="D175" s="4"/>
      <c r="E175" s="4"/>
      <c r="F175" s="4"/>
      <c r="G175" s="4"/>
      <c r="H175" s="4"/>
      <c r="I175" s="4"/>
      <c r="J175" s="4"/>
      <c r="K175" s="4"/>
      <c r="L175" s="4"/>
      <c r="M175" s="4"/>
      <c r="N175" s="4"/>
      <c r="O175" s="4"/>
      <c r="P175" s="4"/>
      <c r="Q175" s="4"/>
      <c r="R175" s="4"/>
      <c r="S175" s="4"/>
      <c r="T175" s="4"/>
      <c r="U175" s="4"/>
    </row>
    <row r="176" spans="1:21">
      <c r="A176" s="4"/>
      <c r="B176" s="4"/>
      <c r="C176" s="4"/>
      <c r="D176" s="4"/>
      <c r="E176" s="4"/>
      <c r="F176" s="4"/>
      <c r="G176" s="4"/>
      <c r="H176" s="4"/>
      <c r="I176" s="4"/>
      <c r="J176" s="4"/>
      <c r="K176" s="4"/>
      <c r="L176" s="4"/>
      <c r="M176" s="4"/>
      <c r="N176" s="4"/>
      <c r="O176" s="4"/>
      <c r="P176" s="4"/>
      <c r="Q176" s="4"/>
      <c r="R176" s="4"/>
      <c r="S176" s="4"/>
      <c r="T176" s="4"/>
      <c r="U176" s="4"/>
    </row>
    <row r="177" spans="1:21">
      <c r="A177" s="4"/>
      <c r="B177" s="4"/>
      <c r="C177" s="4"/>
      <c r="D177" s="4"/>
      <c r="E177" s="4"/>
      <c r="F177" s="4"/>
      <c r="G177" s="4"/>
      <c r="H177" s="4"/>
      <c r="I177" s="4"/>
      <c r="J177" s="4"/>
      <c r="K177" s="4"/>
      <c r="L177" s="4"/>
      <c r="M177" s="4"/>
      <c r="N177" s="4"/>
      <c r="O177" s="4"/>
      <c r="P177" s="4"/>
      <c r="Q177" s="4"/>
      <c r="R177" s="4"/>
      <c r="S177" s="4"/>
      <c r="T177" s="4"/>
      <c r="U177" s="4"/>
    </row>
    <row r="178" spans="1:21">
      <c r="A178" s="4"/>
      <c r="B178" s="4"/>
      <c r="C178" s="4"/>
      <c r="D178" s="4"/>
      <c r="E178" s="4"/>
      <c r="F178" s="4"/>
      <c r="G178" s="4"/>
      <c r="H178" s="4"/>
      <c r="I178" s="4"/>
      <c r="J178" s="4"/>
      <c r="K178" s="4"/>
      <c r="L178" s="4"/>
      <c r="M178" s="4"/>
      <c r="N178" s="4"/>
      <c r="O178" s="4"/>
      <c r="P178" s="4"/>
      <c r="Q178" s="4"/>
      <c r="R178" s="4"/>
      <c r="S178" s="4"/>
      <c r="T178" s="4"/>
      <c r="U178" s="4"/>
    </row>
    <row r="179" spans="1:21">
      <c r="A179" s="4"/>
      <c r="B179" s="4"/>
      <c r="C179" s="4"/>
      <c r="D179" s="4"/>
      <c r="E179" s="4"/>
      <c r="F179" s="4"/>
      <c r="G179" s="4"/>
      <c r="H179" s="4"/>
      <c r="I179" s="4"/>
      <c r="J179" s="4"/>
      <c r="K179" s="4"/>
      <c r="L179" s="4"/>
      <c r="M179" s="4"/>
      <c r="N179" s="4"/>
      <c r="O179" s="4"/>
      <c r="P179" s="4"/>
      <c r="Q179" s="4"/>
      <c r="R179" s="4"/>
      <c r="S179" s="4"/>
      <c r="T179" s="4"/>
      <c r="U179" s="4"/>
    </row>
    <row r="180" spans="1:21">
      <c r="A180" s="4"/>
      <c r="B180" s="4"/>
      <c r="C180" s="4"/>
      <c r="D180" s="4"/>
      <c r="E180" s="4"/>
      <c r="F180" s="4"/>
      <c r="G180" s="4"/>
      <c r="H180" s="4"/>
      <c r="I180" s="4"/>
      <c r="J180" s="4"/>
      <c r="K180" s="4"/>
      <c r="L180" s="4"/>
      <c r="M180" s="4"/>
      <c r="N180" s="4"/>
      <c r="O180" s="4"/>
      <c r="P180" s="4"/>
      <c r="Q180" s="4"/>
      <c r="R180" s="4"/>
      <c r="S180" s="4"/>
      <c r="T180" s="4"/>
      <c r="U180" s="4"/>
    </row>
    <row r="181" spans="1:21">
      <c r="A181" s="4"/>
      <c r="B181" s="4"/>
      <c r="C181" s="4"/>
      <c r="D181" s="4"/>
      <c r="E181" s="4"/>
      <c r="F181" s="4"/>
      <c r="G181" s="4"/>
      <c r="H181" s="4"/>
      <c r="I181" s="4"/>
      <c r="J181" s="4"/>
      <c r="K181" s="4"/>
      <c r="L181" s="4"/>
      <c r="M181" s="4"/>
      <c r="N181" s="4"/>
      <c r="O181" s="4"/>
      <c r="P181" s="4"/>
      <c r="Q181" s="4"/>
      <c r="R181" s="4"/>
      <c r="S181" s="4"/>
      <c r="T181" s="4"/>
      <c r="U181" s="4"/>
    </row>
    <row r="182" spans="1:21">
      <c r="A182" s="4"/>
      <c r="B182" s="4"/>
      <c r="C182" s="4"/>
      <c r="D182" s="4"/>
      <c r="E182" s="4"/>
      <c r="F182" s="4"/>
      <c r="G182" s="4"/>
      <c r="H182" s="4"/>
      <c r="I182" s="4"/>
      <c r="J182" s="4"/>
      <c r="K182" s="4"/>
      <c r="L182" s="4"/>
      <c r="M182" s="4"/>
      <c r="N182" s="4"/>
      <c r="O182" s="4"/>
      <c r="P182" s="4"/>
      <c r="Q182" s="4"/>
      <c r="R182" s="4"/>
      <c r="S182" s="4"/>
      <c r="T182" s="4"/>
      <c r="U182" s="4"/>
    </row>
    <row r="183" spans="1:21">
      <c r="A183" s="4"/>
      <c r="B183" s="4"/>
      <c r="C183" s="4"/>
      <c r="D183" s="4"/>
      <c r="E183" s="4"/>
      <c r="F183" s="4"/>
      <c r="G183" s="4"/>
      <c r="H183" s="4"/>
      <c r="I183" s="4"/>
      <c r="J183" s="4"/>
      <c r="K183" s="4"/>
      <c r="L183" s="4"/>
      <c r="M183" s="4"/>
      <c r="N183" s="4"/>
      <c r="O183" s="4"/>
      <c r="P183" s="4"/>
      <c r="Q183" s="4"/>
      <c r="R183" s="4"/>
      <c r="S183" s="4"/>
      <c r="T183" s="4"/>
      <c r="U183" s="4"/>
    </row>
    <row r="184" spans="1:21">
      <c r="A184" s="4"/>
      <c r="B184" s="4"/>
      <c r="C184" s="4"/>
      <c r="D184" s="4"/>
      <c r="E184" s="4"/>
      <c r="F184" s="4"/>
      <c r="G184" s="4"/>
      <c r="H184" s="4"/>
      <c r="I184" s="4"/>
      <c r="J184" s="4"/>
      <c r="K184" s="4"/>
      <c r="L184" s="4"/>
      <c r="M184" s="4"/>
      <c r="N184" s="4"/>
      <c r="O184" s="4"/>
      <c r="P184" s="4"/>
      <c r="Q184" s="4"/>
      <c r="R184" s="4"/>
      <c r="S184" s="4"/>
      <c r="T184" s="4"/>
      <c r="U184" s="4"/>
    </row>
    <row r="185" spans="1:21">
      <c r="A185" s="4"/>
      <c r="B185" s="4"/>
      <c r="C185" s="4"/>
      <c r="D185" s="4"/>
      <c r="E185" s="4"/>
      <c r="F185" s="4"/>
      <c r="G185" s="4"/>
      <c r="H185" s="4"/>
      <c r="I185" s="4"/>
      <c r="J185" s="4"/>
      <c r="K185" s="4"/>
      <c r="L185" s="4"/>
      <c r="M185" s="4"/>
      <c r="N185" s="4"/>
      <c r="O185" s="4"/>
      <c r="P185" s="4"/>
      <c r="Q185" s="4"/>
      <c r="R185" s="4"/>
      <c r="S185" s="4"/>
      <c r="T185" s="4"/>
      <c r="U185" s="4"/>
    </row>
    <row r="186" spans="1:21">
      <c r="A186" s="4"/>
      <c r="B186" s="4"/>
      <c r="C186" s="4"/>
      <c r="D186" s="4"/>
      <c r="E186" s="4"/>
      <c r="F186" s="4"/>
      <c r="G186" s="4"/>
      <c r="H186" s="4"/>
      <c r="I186" s="4"/>
      <c r="J186" s="4"/>
      <c r="K186" s="4"/>
      <c r="L186" s="4"/>
      <c r="M186" s="4"/>
      <c r="N186" s="4"/>
      <c r="O186" s="4"/>
      <c r="P186" s="4"/>
      <c r="Q186" s="4"/>
      <c r="R186" s="4"/>
      <c r="S186" s="4"/>
      <c r="T186" s="4"/>
      <c r="U186" s="4"/>
    </row>
    <row r="187" spans="1:21">
      <c r="A187" s="4"/>
      <c r="B187" s="4"/>
      <c r="C187" s="4"/>
      <c r="D187" s="4"/>
      <c r="E187" s="4"/>
      <c r="F187" s="4"/>
      <c r="G187" s="4"/>
      <c r="H187" s="4"/>
      <c r="I187" s="4"/>
      <c r="J187" s="4"/>
      <c r="K187" s="4"/>
      <c r="L187" s="4"/>
      <c r="M187" s="4"/>
      <c r="N187" s="4"/>
      <c r="O187" s="4"/>
      <c r="P187" s="4"/>
      <c r="Q187" s="4"/>
      <c r="R187" s="4"/>
      <c r="S187" s="4"/>
      <c r="T187" s="4"/>
      <c r="U187" s="4"/>
    </row>
    <row r="188" spans="1:21">
      <c r="A188" s="4"/>
      <c r="B188" s="4"/>
      <c r="C188" s="4"/>
      <c r="D188" s="4"/>
      <c r="E188" s="4"/>
      <c r="F188" s="4"/>
      <c r="G188" s="4"/>
      <c r="H188" s="4"/>
      <c r="I188" s="4"/>
      <c r="J188" s="4"/>
      <c r="K188" s="4"/>
      <c r="L188" s="4"/>
      <c r="M188" s="4"/>
      <c r="N188" s="4"/>
      <c r="O188" s="4"/>
      <c r="P188" s="4"/>
      <c r="Q188" s="4"/>
      <c r="R188" s="4"/>
      <c r="S188" s="4"/>
      <c r="T188" s="4"/>
      <c r="U188" s="4"/>
    </row>
    <row r="189" spans="1:21">
      <c r="A189" s="4"/>
      <c r="B189" s="4"/>
      <c r="C189" s="4"/>
      <c r="D189" s="4"/>
      <c r="E189" s="4"/>
      <c r="F189" s="4"/>
      <c r="G189" s="4"/>
      <c r="H189" s="4"/>
      <c r="I189" s="4"/>
      <c r="J189" s="4"/>
      <c r="K189" s="4"/>
      <c r="L189" s="4"/>
      <c r="M189" s="4"/>
      <c r="N189" s="4"/>
      <c r="O189" s="4"/>
      <c r="P189" s="4"/>
      <c r="Q189" s="4"/>
      <c r="R189" s="4"/>
      <c r="S189" s="4"/>
      <c r="T189" s="4"/>
      <c r="U189" s="4"/>
    </row>
    <row r="190" spans="1:21">
      <c r="A190" s="4"/>
      <c r="B190" s="4"/>
      <c r="C190" s="4"/>
      <c r="D190" s="4"/>
      <c r="E190" s="4"/>
      <c r="F190" s="4"/>
      <c r="G190" s="4"/>
      <c r="H190" s="4"/>
      <c r="I190" s="4"/>
      <c r="J190" s="4"/>
      <c r="K190" s="4"/>
      <c r="L190" s="4"/>
      <c r="M190" s="4"/>
      <c r="N190" s="4"/>
      <c r="O190" s="4"/>
      <c r="P190" s="4"/>
      <c r="Q190" s="4"/>
      <c r="R190" s="4"/>
      <c r="S190" s="4"/>
      <c r="T190" s="4"/>
      <c r="U190" s="4"/>
    </row>
    <row r="191" spans="1:21">
      <c r="A191" s="4"/>
      <c r="B191" s="4"/>
      <c r="C191" s="4"/>
      <c r="D191" s="4"/>
      <c r="E191" s="4"/>
      <c r="F191" s="4"/>
      <c r="G191" s="4"/>
      <c r="H191" s="4"/>
      <c r="I191" s="4"/>
      <c r="J191" s="4"/>
      <c r="K191" s="4"/>
      <c r="L191" s="4"/>
      <c r="M191" s="4"/>
      <c r="N191" s="4"/>
      <c r="O191" s="4"/>
      <c r="P191" s="4"/>
      <c r="Q191" s="4"/>
      <c r="R191" s="4"/>
      <c r="S191" s="4"/>
      <c r="T191" s="4"/>
      <c r="U191" s="4"/>
    </row>
    <row r="192" spans="1:21">
      <c r="A192" s="4"/>
      <c r="B192" s="4"/>
      <c r="C192" s="4"/>
      <c r="D192" s="4"/>
      <c r="E192" s="4"/>
      <c r="F192" s="4"/>
      <c r="G192" s="4"/>
      <c r="H192" s="4"/>
      <c r="I192" s="4"/>
      <c r="J192" s="4"/>
      <c r="K192" s="4"/>
      <c r="L192" s="4"/>
      <c r="M192" s="4"/>
      <c r="N192" s="4"/>
      <c r="O192" s="4"/>
      <c r="P192" s="4"/>
      <c r="Q192" s="4"/>
      <c r="R192" s="4"/>
      <c r="S192" s="4"/>
      <c r="T192" s="4"/>
      <c r="U192" s="4"/>
    </row>
    <row r="193" spans="1:21">
      <c r="A193" s="4"/>
      <c r="B193" s="4"/>
      <c r="C193" s="4"/>
      <c r="D193" s="4"/>
      <c r="E193" s="4"/>
      <c r="F193" s="4"/>
      <c r="G193" s="4"/>
      <c r="H193" s="4"/>
      <c r="I193" s="4"/>
      <c r="J193" s="4"/>
      <c r="K193" s="4"/>
      <c r="L193" s="4"/>
      <c r="M193" s="4"/>
      <c r="N193" s="4"/>
      <c r="O193" s="4"/>
      <c r="P193" s="4"/>
      <c r="Q193" s="4"/>
      <c r="R193" s="4"/>
      <c r="S193" s="4"/>
      <c r="T193" s="4"/>
      <c r="U193" s="4"/>
    </row>
    <row r="194" spans="1:21">
      <c r="A194" s="4"/>
      <c r="B194" s="4"/>
      <c r="C194" s="4"/>
      <c r="D194" s="4"/>
      <c r="E194" s="4"/>
      <c r="F194" s="4"/>
      <c r="G194" s="4"/>
      <c r="H194" s="4"/>
      <c r="I194" s="4"/>
      <c r="J194" s="4"/>
      <c r="K194" s="4"/>
      <c r="L194" s="4"/>
      <c r="M194" s="4"/>
      <c r="N194" s="4"/>
      <c r="O194" s="4"/>
      <c r="P194" s="4"/>
      <c r="Q194" s="4"/>
      <c r="R194" s="4"/>
      <c r="S194" s="4"/>
      <c r="T194" s="4"/>
      <c r="U194" s="4"/>
    </row>
    <row r="195" spans="1:21">
      <c r="A195" s="4"/>
      <c r="B195" s="4"/>
      <c r="C195" s="4"/>
      <c r="D195" s="4"/>
      <c r="E195" s="4"/>
      <c r="F195" s="4"/>
      <c r="G195" s="4"/>
      <c r="H195" s="4"/>
      <c r="I195" s="4"/>
      <c r="J195" s="4"/>
      <c r="K195" s="4"/>
      <c r="L195" s="4"/>
      <c r="M195" s="4"/>
      <c r="N195" s="4"/>
      <c r="O195" s="4"/>
      <c r="P195" s="4"/>
      <c r="Q195" s="4"/>
      <c r="R195" s="4"/>
      <c r="S195" s="4"/>
      <c r="T195" s="4"/>
      <c r="U195" s="4"/>
    </row>
    <row r="196" spans="1:21">
      <c r="A196" s="4"/>
      <c r="B196" s="4"/>
      <c r="C196" s="4"/>
      <c r="D196" s="4"/>
      <c r="E196" s="4"/>
      <c r="F196" s="4"/>
      <c r="G196" s="4"/>
      <c r="H196" s="4"/>
      <c r="I196" s="4"/>
      <c r="J196" s="4"/>
      <c r="K196" s="4"/>
      <c r="L196" s="4"/>
      <c r="M196" s="4"/>
      <c r="N196" s="4"/>
      <c r="O196" s="4"/>
      <c r="P196" s="4"/>
      <c r="Q196" s="4"/>
      <c r="R196" s="4"/>
      <c r="S196" s="4"/>
      <c r="T196" s="4"/>
      <c r="U196" s="4"/>
    </row>
    <row r="197" spans="1:21">
      <c r="A197" s="4"/>
      <c r="B197" s="4"/>
      <c r="C197" s="4"/>
      <c r="D197" s="4"/>
      <c r="E197" s="4"/>
      <c r="F197" s="4"/>
      <c r="G197" s="4"/>
      <c r="H197" s="4"/>
      <c r="I197" s="4"/>
      <c r="J197" s="4"/>
      <c r="K197" s="4"/>
      <c r="L197" s="4"/>
      <c r="M197" s="4"/>
      <c r="N197" s="4"/>
      <c r="O197" s="4"/>
      <c r="P197" s="4"/>
      <c r="Q197" s="4"/>
      <c r="R197" s="4"/>
      <c r="S197" s="4"/>
      <c r="T197" s="4"/>
      <c r="U197" s="4"/>
    </row>
    <row r="198" spans="1:21">
      <c r="A198" s="4"/>
      <c r="B198" s="4"/>
      <c r="C198" s="4"/>
      <c r="D198" s="4"/>
      <c r="E198" s="4"/>
      <c r="F198" s="4"/>
      <c r="G198" s="4"/>
      <c r="H198" s="4"/>
      <c r="I198" s="4"/>
      <c r="J198" s="4"/>
      <c r="K198" s="4"/>
      <c r="L198" s="4"/>
      <c r="M198" s="4"/>
      <c r="N198" s="4"/>
      <c r="O198" s="4"/>
      <c r="P198" s="4"/>
      <c r="Q198" s="4"/>
      <c r="R198" s="4"/>
      <c r="S198" s="4"/>
      <c r="T198" s="4"/>
      <c r="U198" s="4"/>
    </row>
    <row r="199" spans="1:21">
      <c r="A199" s="4"/>
      <c r="B199" s="4"/>
      <c r="C199" s="4"/>
      <c r="D199" s="4"/>
      <c r="E199" s="4"/>
      <c r="F199" s="4"/>
      <c r="G199" s="4"/>
      <c r="H199" s="4"/>
      <c r="I199" s="4"/>
      <c r="J199" s="4"/>
      <c r="K199" s="4"/>
      <c r="L199" s="4"/>
      <c r="M199" s="4"/>
      <c r="N199" s="4"/>
      <c r="O199" s="4"/>
      <c r="P199" s="4"/>
      <c r="Q199" s="4"/>
      <c r="R199" s="4"/>
      <c r="S199" s="4"/>
      <c r="T199" s="4"/>
      <c r="U199" s="4"/>
    </row>
    <row r="200" spans="1:21">
      <c r="A200" s="4"/>
      <c r="B200" s="4"/>
      <c r="C200" s="4"/>
      <c r="D200" s="4"/>
      <c r="E200" s="4"/>
      <c r="F200" s="4"/>
      <c r="G200" s="4"/>
      <c r="H200" s="4"/>
      <c r="I200" s="4"/>
      <c r="J200" s="4"/>
      <c r="K200" s="4"/>
      <c r="L200" s="4"/>
      <c r="M200" s="4"/>
      <c r="N200" s="4"/>
      <c r="O200" s="4"/>
      <c r="P200" s="4"/>
      <c r="Q200" s="4"/>
      <c r="R200" s="4"/>
      <c r="S200" s="4"/>
      <c r="T200" s="4"/>
      <c r="U200" s="4"/>
    </row>
    <row r="201" spans="1:21">
      <c r="A201" s="4"/>
      <c r="B201" s="4"/>
      <c r="C201" s="4"/>
      <c r="D201" s="4"/>
      <c r="E201" s="4"/>
      <c r="F201" s="4"/>
      <c r="G201" s="4"/>
      <c r="H201" s="4"/>
      <c r="I201" s="4"/>
      <c r="J201" s="4"/>
      <c r="K201" s="4"/>
      <c r="L201" s="4"/>
      <c r="M201" s="4"/>
      <c r="N201" s="4"/>
      <c r="O201" s="4"/>
      <c r="P201" s="4"/>
      <c r="Q201" s="4"/>
      <c r="R201" s="4"/>
      <c r="S201" s="4"/>
      <c r="T201" s="4"/>
      <c r="U201" s="4"/>
    </row>
    <row r="202" spans="1:21">
      <c r="A202" s="4"/>
      <c r="B202" s="4"/>
      <c r="C202" s="4"/>
      <c r="D202" s="4"/>
      <c r="E202" s="4"/>
      <c r="F202" s="4"/>
      <c r="G202" s="4"/>
      <c r="H202" s="4"/>
      <c r="I202" s="4"/>
      <c r="J202" s="4"/>
      <c r="K202" s="4"/>
      <c r="L202" s="4"/>
      <c r="M202" s="4"/>
      <c r="N202" s="4"/>
      <c r="O202" s="4"/>
      <c r="P202" s="4"/>
      <c r="Q202" s="4"/>
      <c r="R202" s="4"/>
      <c r="S202" s="4"/>
      <c r="T202" s="4"/>
      <c r="U202" s="4"/>
    </row>
    <row r="203" spans="1:21">
      <c r="A203" s="4"/>
      <c r="B203" s="4"/>
      <c r="C203" s="4"/>
      <c r="D203" s="4"/>
      <c r="E203" s="4"/>
      <c r="F203" s="4"/>
      <c r="G203" s="4"/>
      <c r="H203" s="4"/>
      <c r="I203" s="4"/>
      <c r="J203" s="4"/>
      <c r="K203" s="4"/>
      <c r="L203" s="4"/>
      <c r="M203" s="4"/>
      <c r="N203" s="4"/>
      <c r="O203" s="4"/>
      <c r="P203" s="4"/>
      <c r="Q203" s="4"/>
      <c r="R203" s="4"/>
      <c r="S203" s="4"/>
      <c r="T203" s="4"/>
      <c r="U203" s="4"/>
    </row>
    <row r="204" spans="1:21">
      <c r="A204" s="4"/>
      <c r="B204" s="4"/>
      <c r="C204" s="4"/>
      <c r="D204" s="4"/>
      <c r="E204" s="4"/>
      <c r="F204" s="4"/>
      <c r="G204" s="4"/>
      <c r="H204" s="4"/>
      <c r="I204" s="4"/>
      <c r="J204" s="4"/>
      <c r="K204" s="4"/>
      <c r="L204" s="4"/>
      <c r="M204" s="4"/>
      <c r="N204" s="4"/>
      <c r="O204" s="4"/>
      <c r="P204" s="4"/>
      <c r="Q204" s="4"/>
      <c r="R204" s="4"/>
      <c r="S204" s="4"/>
      <c r="T204" s="4"/>
      <c r="U204" s="4"/>
    </row>
    <row r="205" spans="1:21">
      <c r="A205" s="4"/>
      <c r="B205" s="4"/>
      <c r="C205" s="4"/>
      <c r="D205" s="4"/>
      <c r="E205" s="4"/>
      <c r="F205" s="4"/>
      <c r="G205" s="4"/>
      <c r="H205" s="4"/>
      <c r="I205" s="4"/>
      <c r="J205" s="4"/>
      <c r="K205" s="4"/>
      <c r="L205" s="4"/>
      <c r="M205" s="4"/>
      <c r="N205" s="4"/>
      <c r="O205" s="4"/>
      <c r="P205" s="4"/>
      <c r="Q205" s="4"/>
      <c r="R205" s="4"/>
      <c r="S205" s="4"/>
      <c r="T205" s="4"/>
      <c r="U205" s="4"/>
    </row>
    <row r="206" spans="1:21">
      <c r="A206" s="4"/>
      <c r="B206" s="4"/>
      <c r="C206" s="4"/>
      <c r="D206" s="4"/>
      <c r="E206" s="4"/>
      <c r="F206" s="4"/>
      <c r="G206" s="4"/>
      <c r="H206" s="4"/>
      <c r="I206" s="4"/>
      <c r="J206" s="4"/>
      <c r="K206" s="4"/>
      <c r="L206" s="4"/>
      <c r="M206" s="4"/>
      <c r="N206" s="4"/>
      <c r="O206" s="4"/>
      <c r="P206" s="4"/>
      <c r="Q206" s="4"/>
      <c r="R206" s="4"/>
      <c r="S206" s="4"/>
      <c r="T206" s="4"/>
      <c r="U206" s="4"/>
    </row>
    <row r="207" spans="1:21">
      <c r="A207" s="4"/>
      <c r="B207" s="4"/>
      <c r="C207" s="4"/>
      <c r="D207" s="4"/>
      <c r="E207" s="4"/>
      <c r="F207" s="4"/>
      <c r="G207" s="4"/>
      <c r="H207" s="4"/>
      <c r="I207" s="4"/>
      <c r="J207" s="4"/>
      <c r="K207" s="4"/>
      <c r="L207" s="4"/>
      <c r="M207" s="4"/>
      <c r="N207" s="4"/>
      <c r="O207" s="4"/>
      <c r="P207" s="4"/>
      <c r="Q207" s="4"/>
      <c r="R207" s="4"/>
      <c r="S207" s="4"/>
      <c r="T207" s="4"/>
      <c r="U207" s="4"/>
    </row>
    <row r="208" spans="1:21">
      <c r="A208" s="4"/>
      <c r="B208" s="4"/>
      <c r="C208" s="4"/>
      <c r="D208" s="4"/>
      <c r="E208" s="4"/>
      <c r="F208" s="4"/>
      <c r="G208" s="4"/>
      <c r="H208" s="4"/>
      <c r="I208" s="4"/>
      <c r="J208" s="4"/>
      <c r="K208" s="4"/>
      <c r="L208" s="4"/>
      <c r="M208" s="4"/>
      <c r="N208" s="4"/>
      <c r="O208" s="4"/>
      <c r="P208" s="4"/>
      <c r="Q208" s="4"/>
      <c r="R208" s="4"/>
      <c r="S208" s="4"/>
      <c r="T208" s="4"/>
      <c r="U208" s="4"/>
    </row>
    <row r="209" spans="1:21">
      <c r="A209" s="4"/>
      <c r="B209" s="4"/>
      <c r="C209" s="4"/>
      <c r="D209" s="4"/>
      <c r="E209" s="4"/>
      <c r="F209" s="4"/>
      <c r="G209" s="4"/>
      <c r="H209" s="4"/>
      <c r="I209" s="4"/>
      <c r="J209" s="4"/>
      <c r="K209" s="4"/>
      <c r="L209" s="4"/>
      <c r="M209" s="4"/>
      <c r="N209" s="4"/>
      <c r="O209" s="4"/>
      <c r="P209" s="4"/>
      <c r="Q209" s="4"/>
      <c r="R209" s="4"/>
      <c r="S209" s="4"/>
      <c r="T209" s="4"/>
      <c r="U209" s="4"/>
    </row>
    <row r="210" spans="1:21">
      <c r="A210" s="4"/>
      <c r="B210" s="4"/>
      <c r="C210" s="4"/>
      <c r="D210" s="4"/>
      <c r="E210" s="4"/>
      <c r="F210" s="4"/>
      <c r="G210" s="4"/>
      <c r="H210" s="4"/>
      <c r="I210" s="4"/>
      <c r="J210" s="4"/>
      <c r="K210" s="4"/>
      <c r="L210" s="4"/>
      <c r="M210" s="4"/>
      <c r="N210" s="4"/>
      <c r="O210" s="4"/>
      <c r="P210" s="4"/>
      <c r="Q210" s="4"/>
      <c r="R210" s="4"/>
      <c r="S210" s="4"/>
      <c r="T210" s="4"/>
      <c r="U210" s="4"/>
    </row>
    <row r="211" spans="1:21">
      <c r="A211" s="4"/>
      <c r="B211" s="4"/>
      <c r="C211" s="4"/>
      <c r="D211" s="4"/>
      <c r="E211" s="4"/>
      <c r="F211" s="4"/>
      <c r="G211" s="4"/>
      <c r="H211" s="4"/>
      <c r="I211" s="4"/>
      <c r="J211" s="4"/>
      <c r="K211" s="4"/>
      <c r="L211" s="4"/>
      <c r="M211" s="4"/>
      <c r="N211" s="4"/>
      <c r="O211" s="4"/>
      <c r="P211" s="4"/>
      <c r="Q211" s="4"/>
      <c r="R211" s="4"/>
      <c r="S211" s="4"/>
      <c r="T211" s="4"/>
      <c r="U211" s="4"/>
    </row>
    <row r="212" spans="1:21">
      <c r="A212" s="4"/>
      <c r="B212" s="4"/>
      <c r="C212" s="4"/>
      <c r="D212" s="4"/>
      <c r="E212" s="4"/>
      <c r="F212" s="4"/>
      <c r="G212" s="4"/>
      <c r="H212" s="4"/>
      <c r="I212" s="4"/>
      <c r="J212" s="4"/>
      <c r="K212" s="4"/>
      <c r="L212" s="4"/>
      <c r="M212" s="4"/>
      <c r="N212" s="4"/>
      <c r="O212" s="4"/>
      <c r="P212" s="4"/>
      <c r="Q212" s="4"/>
      <c r="R212" s="4"/>
      <c r="S212" s="4"/>
      <c r="T212" s="4"/>
      <c r="U212" s="4"/>
    </row>
    <row r="213" spans="1:21">
      <c r="A213" s="4"/>
      <c r="B213" s="4"/>
      <c r="C213" s="4"/>
      <c r="D213" s="4"/>
      <c r="E213" s="4"/>
      <c r="F213" s="4"/>
      <c r="G213" s="4"/>
      <c r="H213" s="4"/>
      <c r="I213" s="4"/>
      <c r="J213" s="4"/>
      <c r="K213" s="4"/>
      <c r="L213" s="4"/>
      <c r="M213" s="4"/>
      <c r="N213" s="4"/>
      <c r="O213" s="4"/>
      <c r="P213" s="4"/>
      <c r="Q213" s="4"/>
      <c r="R213" s="4"/>
      <c r="S213" s="4"/>
      <c r="T213" s="4"/>
      <c r="U213" s="4"/>
    </row>
    <row r="214" spans="1:21">
      <c r="A214" s="4"/>
      <c r="B214" s="4"/>
      <c r="C214" s="4"/>
      <c r="D214" s="4"/>
      <c r="E214" s="4"/>
      <c r="F214" s="4"/>
      <c r="G214" s="4"/>
      <c r="H214" s="4"/>
      <c r="I214" s="4"/>
      <c r="J214" s="4"/>
      <c r="K214" s="4"/>
      <c r="L214" s="4"/>
      <c r="M214" s="4"/>
      <c r="N214" s="4"/>
      <c r="O214" s="4"/>
      <c r="P214" s="4"/>
      <c r="Q214" s="4"/>
      <c r="R214" s="4"/>
      <c r="S214" s="4"/>
      <c r="T214" s="4"/>
      <c r="U214" s="4"/>
    </row>
    <row r="215" spans="1:21">
      <c r="A215" s="4"/>
      <c r="B215" s="4"/>
      <c r="C215" s="4"/>
      <c r="D215" s="4"/>
      <c r="E215" s="4"/>
      <c r="F215" s="4"/>
      <c r="G215" s="4"/>
      <c r="H215" s="4"/>
      <c r="I215" s="4"/>
      <c r="J215" s="4"/>
      <c r="K215" s="4"/>
      <c r="L215" s="4"/>
      <c r="M215" s="4"/>
      <c r="N215" s="4"/>
      <c r="O215" s="4"/>
      <c r="P215" s="4"/>
      <c r="Q215" s="4"/>
      <c r="R215" s="4"/>
      <c r="S215" s="4"/>
      <c r="T215" s="4"/>
      <c r="U215" s="4"/>
    </row>
    <row r="216" spans="1:21">
      <c r="A216" s="4"/>
      <c r="B216" s="4"/>
      <c r="C216" s="4"/>
      <c r="D216" s="4"/>
      <c r="E216" s="4"/>
      <c r="F216" s="4"/>
      <c r="G216" s="4"/>
      <c r="H216" s="4"/>
      <c r="I216" s="4"/>
      <c r="J216" s="4"/>
      <c r="K216" s="4"/>
      <c r="L216" s="4"/>
      <c r="M216" s="4"/>
      <c r="N216" s="4"/>
      <c r="O216" s="4"/>
      <c r="P216" s="4"/>
      <c r="Q216" s="4"/>
      <c r="R216" s="4"/>
      <c r="S216" s="4"/>
      <c r="T216" s="4"/>
      <c r="U216" s="4"/>
    </row>
    <row r="217" spans="1:21">
      <c r="A217" s="4"/>
      <c r="B217" s="4"/>
      <c r="C217" s="4"/>
      <c r="D217" s="4"/>
      <c r="E217" s="4"/>
      <c r="F217" s="4"/>
      <c r="G217" s="4"/>
      <c r="H217" s="4"/>
      <c r="I217" s="4"/>
      <c r="J217" s="4"/>
      <c r="K217" s="4"/>
      <c r="L217" s="4"/>
      <c r="M217" s="4"/>
      <c r="N217" s="4"/>
      <c r="O217" s="4"/>
      <c r="P217" s="4"/>
      <c r="Q217" s="4"/>
      <c r="R217" s="4"/>
      <c r="S217" s="4"/>
      <c r="T217" s="4"/>
      <c r="U217" s="4"/>
    </row>
    <row r="218" spans="1:21">
      <c r="A218" s="4"/>
      <c r="B218" s="4"/>
      <c r="C218" s="4"/>
      <c r="D218" s="4"/>
      <c r="E218" s="4"/>
      <c r="F218" s="4"/>
      <c r="G218" s="4"/>
      <c r="H218" s="4"/>
      <c r="I218" s="4"/>
      <c r="J218" s="4"/>
      <c r="K218" s="4"/>
      <c r="L218" s="4"/>
      <c r="M218" s="4"/>
      <c r="N218" s="4"/>
      <c r="O218" s="4"/>
      <c r="P218" s="4"/>
      <c r="Q218" s="4"/>
      <c r="R218" s="4"/>
      <c r="S218" s="4"/>
      <c r="T218" s="4"/>
      <c r="U218" s="4"/>
    </row>
    <row r="219" spans="1:21">
      <c r="A219" s="4"/>
      <c r="B219" s="4"/>
      <c r="C219" s="4"/>
      <c r="D219" s="4"/>
      <c r="E219" s="4"/>
      <c r="F219" s="4"/>
      <c r="G219" s="4"/>
      <c r="H219" s="4"/>
      <c r="I219" s="4"/>
      <c r="J219" s="4"/>
      <c r="K219" s="4"/>
      <c r="L219" s="4"/>
      <c r="M219" s="4"/>
      <c r="N219" s="4"/>
      <c r="O219" s="4"/>
      <c r="P219" s="4"/>
      <c r="Q219" s="4"/>
      <c r="R219" s="4"/>
      <c r="S219" s="4"/>
      <c r="T219" s="4"/>
      <c r="U219" s="4"/>
    </row>
    <row r="220" spans="1:21">
      <c r="A220" s="4"/>
      <c r="B220" s="4"/>
      <c r="C220" s="4"/>
      <c r="D220" s="4"/>
      <c r="E220" s="4"/>
      <c r="F220" s="4"/>
      <c r="G220" s="4"/>
      <c r="H220" s="4"/>
      <c r="I220" s="4"/>
      <c r="J220" s="4"/>
      <c r="K220" s="4"/>
      <c r="L220" s="4"/>
      <c r="M220" s="4"/>
      <c r="N220" s="4"/>
      <c r="O220" s="4"/>
      <c r="P220" s="4"/>
      <c r="Q220" s="4"/>
      <c r="R220" s="4"/>
      <c r="S220" s="4"/>
      <c r="T220" s="4"/>
      <c r="U220" s="4"/>
    </row>
    <row r="221" spans="1:21">
      <c r="A221" s="4"/>
      <c r="B221" s="4"/>
      <c r="C221" s="4"/>
      <c r="D221" s="4"/>
      <c r="E221" s="4"/>
      <c r="F221" s="4"/>
      <c r="G221" s="4"/>
      <c r="H221" s="4"/>
      <c r="I221" s="4"/>
      <c r="J221" s="4"/>
      <c r="K221" s="4"/>
      <c r="L221" s="4"/>
      <c r="M221" s="4"/>
      <c r="N221" s="4"/>
      <c r="O221" s="4"/>
      <c r="P221" s="4"/>
      <c r="Q221" s="4"/>
      <c r="R221" s="4"/>
      <c r="S221" s="4"/>
      <c r="T221" s="4"/>
      <c r="U221" s="4"/>
    </row>
    <row r="222" spans="1:21">
      <c r="A222" s="4"/>
      <c r="B222" s="4"/>
      <c r="C222" s="4"/>
      <c r="D222" s="4"/>
      <c r="E222" s="4"/>
      <c r="F222" s="4"/>
      <c r="G222" s="4"/>
      <c r="H222" s="4"/>
      <c r="I222" s="4"/>
      <c r="J222" s="4"/>
      <c r="K222" s="4"/>
      <c r="L222" s="4"/>
      <c r="M222" s="4"/>
      <c r="N222" s="4"/>
      <c r="O222" s="4"/>
      <c r="P222" s="4"/>
      <c r="Q222" s="4"/>
      <c r="R222" s="4"/>
      <c r="S222" s="4"/>
      <c r="T222" s="4"/>
      <c r="U222" s="4"/>
    </row>
    <row r="223" spans="1:21">
      <c r="A223" s="4"/>
      <c r="B223" s="4"/>
      <c r="C223" s="4"/>
      <c r="D223" s="4"/>
      <c r="E223" s="4"/>
      <c r="F223" s="4"/>
      <c r="G223" s="4"/>
      <c r="H223" s="4"/>
      <c r="I223" s="4"/>
      <c r="J223" s="4"/>
      <c r="K223" s="4"/>
      <c r="L223" s="4"/>
      <c r="M223" s="4"/>
      <c r="N223" s="4"/>
      <c r="O223" s="4"/>
      <c r="P223" s="4"/>
      <c r="Q223" s="4"/>
      <c r="R223" s="4"/>
      <c r="S223" s="4"/>
      <c r="T223" s="4"/>
      <c r="U223" s="4"/>
    </row>
    <row r="224" spans="1:21">
      <c r="A224" s="4"/>
      <c r="B224" s="4"/>
      <c r="C224" s="4"/>
      <c r="D224" s="4"/>
      <c r="E224" s="4"/>
      <c r="F224" s="4"/>
      <c r="G224" s="4"/>
      <c r="H224" s="4"/>
      <c r="I224" s="4"/>
      <c r="J224" s="4"/>
      <c r="K224" s="4"/>
      <c r="L224" s="4"/>
      <c r="M224" s="4"/>
      <c r="N224" s="4"/>
      <c r="O224" s="4"/>
      <c r="P224" s="4"/>
      <c r="Q224" s="4"/>
      <c r="R224" s="4"/>
      <c r="S224" s="4"/>
      <c r="T224" s="4"/>
      <c r="U224" s="4"/>
    </row>
    <row r="225" spans="1:21">
      <c r="A225" s="4"/>
      <c r="B225" s="4"/>
      <c r="C225" s="4"/>
      <c r="D225" s="4"/>
      <c r="E225" s="4"/>
      <c r="F225" s="4"/>
      <c r="G225" s="4"/>
      <c r="H225" s="4"/>
      <c r="I225" s="4"/>
      <c r="J225" s="4"/>
      <c r="K225" s="4"/>
      <c r="L225" s="4"/>
      <c r="M225" s="4"/>
      <c r="N225" s="4"/>
      <c r="O225" s="4"/>
      <c r="P225" s="4"/>
      <c r="Q225" s="4"/>
      <c r="R225" s="4"/>
      <c r="S225" s="4"/>
      <c r="T225" s="4"/>
      <c r="U225" s="4"/>
    </row>
    <row r="226" spans="1:21">
      <c r="A226" s="4"/>
      <c r="B226" s="4"/>
      <c r="C226" s="4"/>
      <c r="D226" s="4"/>
      <c r="E226" s="4"/>
      <c r="F226" s="4"/>
      <c r="G226" s="4"/>
      <c r="H226" s="4"/>
      <c r="I226" s="4"/>
      <c r="J226" s="4"/>
      <c r="K226" s="4"/>
      <c r="L226" s="4"/>
      <c r="M226" s="4"/>
      <c r="N226" s="4"/>
      <c r="O226" s="4"/>
      <c r="P226" s="4"/>
      <c r="Q226" s="4"/>
      <c r="R226" s="4"/>
      <c r="S226" s="4"/>
      <c r="T226" s="4"/>
      <c r="U226" s="4"/>
    </row>
    <row r="227" spans="1:21">
      <c r="A227" s="4"/>
      <c r="B227" s="4"/>
      <c r="C227" s="4"/>
      <c r="D227" s="4"/>
      <c r="E227" s="4"/>
      <c r="F227" s="4"/>
      <c r="G227" s="4"/>
      <c r="H227" s="4"/>
      <c r="I227" s="4"/>
      <c r="J227" s="4"/>
      <c r="K227" s="4"/>
      <c r="L227" s="4"/>
      <c r="M227" s="4"/>
      <c r="N227" s="4"/>
      <c r="O227" s="4"/>
      <c r="P227" s="4"/>
      <c r="Q227" s="4"/>
      <c r="R227" s="4"/>
      <c r="S227" s="4"/>
      <c r="T227" s="4"/>
      <c r="U227" s="4"/>
    </row>
    <row r="228" spans="1:21">
      <c r="A228" s="4"/>
      <c r="B228" s="4"/>
      <c r="C228" s="4"/>
      <c r="D228" s="4"/>
      <c r="E228" s="4"/>
      <c r="F228" s="4"/>
      <c r="G228" s="4"/>
      <c r="H228" s="4"/>
      <c r="I228" s="4"/>
      <c r="J228" s="4"/>
      <c r="K228" s="4"/>
      <c r="L228" s="4"/>
      <c r="M228" s="4"/>
      <c r="N228" s="4"/>
      <c r="O228" s="4"/>
      <c r="P228" s="4"/>
      <c r="Q228" s="4"/>
      <c r="R228" s="4"/>
      <c r="S228" s="4"/>
      <c r="T228" s="4"/>
      <c r="U228" s="4"/>
    </row>
    <row r="229" spans="1:21">
      <c r="A229" s="4"/>
      <c r="B229" s="4"/>
      <c r="C229" s="4"/>
      <c r="D229" s="4"/>
      <c r="E229" s="4"/>
      <c r="F229" s="4"/>
      <c r="G229" s="4"/>
      <c r="H229" s="4"/>
      <c r="I229" s="4"/>
      <c r="J229" s="4"/>
      <c r="K229" s="4"/>
      <c r="L229" s="4"/>
      <c r="M229" s="4"/>
      <c r="N229" s="4"/>
      <c r="O229" s="4"/>
      <c r="P229" s="4"/>
      <c r="Q229" s="4"/>
      <c r="R229" s="4"/>
      <c r="S229" s="4"/>
      <c r="T229" s="4"/>
      <c r="U229" s="4"/>
    </row>
    <row r="230" spans="1:21">
      <c r="A230" s="4"/>
      <c r="B230" s="4"/>
      <c r="C230" s="4"/>
      <c r="D230" s="4"/>
      <c r="E230" s="4"/>
      <c r="F230" s="4"/>
      <c r="G230" s="4"/>
      <c r="H230" s="4"/>
      <c r="I230" s="4"/>
      <c r="J230" s="4"/>
      <c r="K230" s="4"/>
      <c r="L230" s="4"/>
      <c r="M230" s="4"/>
      <c r="N230" s="4"/>
      <c r="O230" s="4"/>
      <c r="P230" s="4"/>
      <c r="Q230" s="4"/>
      <c r="R230" s="4"/>
      <c r="S230" s="4"/>
      <c r="T230" s="4"/>
      <c r="U230" s="4"/>
    </row>
    <row r="231" spans="1:21">
      <c r="A231" s="4"/>
      <c r="B231" s="4"/>
      <c r="C231" s="4"/>
      <c r="D231" s="4"/>
      <c r="E231" s="4"/>
      <c r="F231" s="4"/>
      <c r="G231" s="4"/>
      <c r="H231" s="4"/>
      <c r="I231" s="4"/>
      <c r="J231" s="4"/>
      <c r="K231" s="4"/>
      <c r="L231" s="4"/>
      <c r="M231" s="4"/>
      <c r="N231" s="4"/>
      <c r="O231" s="4"/>
      <c r="P231" s="4"/>
      <c r="Q231" s="4"/>
      <c r="R231" s="4"/>
      <c r="S231" s="4"/>
      <c r="T231" s="4"/>
      <c r="U231" s="4"/>
    </row>
    <row r="232" spans="1:21">
      <c r="A232" s="4"/>
      <c r="B232" s="4"/>
      <c r="C232" s="4"/>
      <c r="D232" s="4"/>
      <c r="E232" s="4"/>
      <c r="F232" s="4"/>
      <c r="G232" s="4"/>
      <c r="H232" s="4"/>
      <c r="I232" s="4"/>
      <c r="J232" s="4"/>
      <c r="K232" s="4"/>
      <c r="L232" s="4"/>
      <c r="M232" s="4"/>
      <c r="N232" s="4"/>
      <c r="O232" s="4"/>
      <c r="P232" s="4"/>
      <c r="Q232" s="4"/>
      <c r="R232" s="4"/>
      <c r="S232" s="4"/>
      <c r="T232" s="4"/>
      <c r="U232" s="4"/>
    </row>
    <row r="233" spans="1:21">
      <c r="A233" s="4"/>
      <c r="B233" s="4"/>
      <c r="C233" s="4"/>
      <c r="D233" s="4"/>
      <c r="E233" s="4"/>
      <c r="F233" s="4"/>
      <c r="G233" s="4"/>
      <c r="H233" s="4"/>
      <c r="I233" s="4"/>
      <c r="J233" s="4"/>
      <c r="K233" s="4"/>
      <c r="L233" s="4"/>
      <c r="M233" s="4"/>
      <c r="N233" s="4"/>
      <c r="O233" s="4"/>
      <c r="P233" s="4"/>
      <c r="Q233" s="4"/>
      <c r="R233" s="4"/>
      <c r="S233" s="4"/>
      <c r="T233" s="4"/>
      <c r="U233" s="4"/>
    </row>
    <row r="234" spans="1:21">
      <c r="A234" s="4"/>
      <c r="B234" s="4"/>
      <c r="C234" s="4"/>
      <c r="D234" s="4"/>
      <c r="E234" s="4"/>
      <c r="F234" s="4"/>
      <c r="G234" s="4"/>
      <c r="H234" s="4"/>
      <c r="I234" s="4"/>
      <c r="J234" s="4"/>
      <c r="K234" s="4"/>
      <c r="L234" s="4"/>
      <c r="M234" s="4"/>
      <c r="N234" s="4"/>
      <c r="O234" s="4"/>
      <c r="P234" s="4"/>
      <c r="Q234" s="4"/>
      <c r="R234" s="4"/>
      <c r="S234" s="4"/>
      <c r="T234" s="4"/>
      <c r="U234" s="4"/>
    </row>
    <row r="235" spans="1:21">
      <c r="A235" s="4"/>
      <c r="B235" s="4"/>
      <c r="C235" s="4"/>
      <c r="D235" s="4"/>
      <c r="E235" s="4"/>
      <c r="F235" s="4"/>
      <c r="G235" s="4"/>
      <c r="H235" s="4"/>
      <c r="I235" s="4"/>
      <c r="J235" s="4"/>
      <c r="K235" s="4"/>
      <c r="L235" s="4"/>
      <c r="M235" s="4"/>
      <c r="N235" s="4"/>
      <c r="O235" s="4"/>
      <c r="P235" s="4"/>
      <c r="Q235" s="4"/>
      <c r="R235" s="4"/>
      <c r="S235" s="4"/>
      <c r="T235" s="4"/>
      <c r="U235" s="4"/>
    </row>
    <row r="236" spans="1:21">
      <c r="A236" s="4"/>
      <c r="B236" s="4"/>
      <c r="C236" s="4"/>
      <c r="D236" s="4"/>
      <c r="E236" s="4"/>
      <c r="F236" s="4"/>
      <c r="G236" s="4"/>
      <c r="H236" s="4"/>
      <c r="I236" s="4"/>
      <c r="J236" s="4"/>
      <c r="K236" s="4"/>
      <c r="L236" s="4"/>
      <c r="M236" s="4"/>
      <c r="N236" s="4"/>
      <c r="O236" s="4"/>
      <c r="P236" s="4"/>
      <c r="Q236" s="4"/>
      <c r="R236" s="4"/>
      <c r="S236" s="4"/>
      <c r="T236" s="4"/>
      <c r="U236" s="4"/>
    </row>
    <row r="237" spans="1:21">
      <c r="A237" s="4"/>
      <c r="B237" s="4"/>
      <c r="C237" s="4"/>
      <c r="D237" s="4"/>
      <c r="E237" s="4"/>
      <c r="F237" s="4"/>
      <c r="G237" s="4"/>
      <c r="H237" s="4"/>
      <c r="I237" s="4"/>
      <c r="J237" s="4"/>
      <c r="K237" s="4"/>
      <c r="L237" s="4"/>
      <c r="M237" s="4"/>
      <c r="N237" s="4"/>
      <c r="O237" s="4"/>
      <c r="P237" s="4"/>
      <c r="Q237" s="4"/>
      <c r="R237" s="4"/>
      <c r="S237" s="4"/>
      <c r="T237" s="4"/>
      <c r="U237" s="4"/>
    </row>
    <row r="238" spans="1:21">
      <c r="A238" s="4"/>
      <c r="B238" s="4"/>
      <c r="C238" s="4"/>
      <c r="D238" s="4"/>
      <c r="E238" s="4"/>
      <c r="F238" s="4"/>
      <c r="G238" s="4"/>
      <c r="H238" s="4"/>
      <c r="I238" s="4"/>
      <c r="J238" s="4"/>
      <c r="K238" s="4"/>
      <c r="L238" s="4"/>
      <c r="M238" s="4"/>
      <c r="N238" s="4"/>
      <c r="O238" s="4"/>
      <c r="P238" s="4"/>
      <c r="Q238" s="4"/>
      <c r="R238" s="4"/>
      <c r="S238" s="4"/>
      <c r="T238" s="4"/>
      <c r="U238" s="4"/>
    </row>
    <row r="239" spans="1:21">
      <c r="A239" s="4"/>
      <c r="B239" s="4"/>
      <c r="C239" s="4"/>
      <c r="D239" s="4"/>
      <c r="E239" s="4"/>
      <c r="F239" s="4"/>
      <c r="G239" s="4"/>
      <c r="H239" s="4"/>
      <c r="I239" s="4"/>
      <c r="J239" s="4"/>
      <c r="K239" s="4"/>
      <c r="L239" s="4"/>
      <c r="M239" s="4"/>
      <c r="N239" s="4"/>
      <c r="O239" s="4"/>
      <c r="P239" s="4"/>
      <c r="Q239" s="4"/>
      <c r="R239" s="4"/>
      <c r="S239" s="4"/>
      <c r="T239" s="4"/>
      <c r="U239" s="4"/>
    </row>
    <row r="240" spans="1:21">
      <c r="A240" s="4"/>
      <c r="B240" s="4"/>
      <c r="C240" s="4"/>
      <c r="D240" s="4"/>
      <c r="E240" s="4"/>
      <c r="F240" s="4"/>
      <c r="G240" s="4"/>
      <c r="H240" s="4"/>
      <c r="I240" s="4"/>
      <c r="J240" s="4"/>
      <c r="K240" s="4"/>
      <c r="L240" s="4"/>
      <c r="M240" s="4"/>
      <c r="N240" s="4"/>
      <c r="O240" s="4"/>
      <c r="P240" s="4"/>
      <c r="Q240" s="4"/>
      <c r="R240" s="4"/>
      <c r="S240" s="4"/>
      <c r="T240" s="4"/>
      <c r="U240" s="4"/>
    </row>
    <row r="241" spans="1:21">
      <c r="A241" s="4"/>
      <c r="B241" s="4"/>
      <c r="C241" s="4"/>
      <c r="D241" s="4"/>
      <c r="E241" s="4"/>
      <c r="F241" s="4"/>
      <c r="G241" s="4"/>
      <c r="H241" s="4"/>
      <c r="I241" s="4"/>
      <c r="J241" s="4"/>
      <c r="K241" s="4"/>
      <c r="L241" s="4"/>
      <c r="M241" s="4"/>
      <c r="N241" s="4"/>
      <c r="O241" s="4"/>
      <c r="P241" s="4"/>
      <c r="Q241" s="4"/>
      <c r="R241" s="4"/>
      <c r="S241" s="4"/>
      <c r="T241" s="4"/>
      <c r="U241" s="4"/>
    </row>
    <row r="242" spans="1:21">
      <c r="A242" s="4"/>
      <c r="B242" s="4"/>
      <c r="C242" s="4"/>
      <c r="D242" s="4"/>
      <c r="E242" s="4"/>
      <c r="F242" s="4"/>
      <c r="G242" s="4"/>
      <c r="H242" s="4"/>
      <c r="I242" s="4"/>
      <c r="J242" s="4"/>
      <c r="K242" s="4"/>
      <c r="L242" s="4"/>
      <c r="M242" s="4"/>
      <c r="N242" s="4"/>
      <c r="O242" s="4"/>
      <c r="P242" s="4"/>
      <c r="Q242" s="4"/>
      <c r="R242" s="4"/>
      <c r="S242" s="4"/>
      <c r="T242" s="4"/>
      <c r="U242" s="4"/>
    </row>
    <row r="243" spans="1:21">
      <c r="A243" s="4"/>
      <c r="B243" s="4"/>
      <c r="C243" s="4"/>
      <c r="D243" s="4"/>
      <c r="E243" s="4"/>
      <c r="F243" s="4"/>
      <c r="G243" s="4"/>
      <c r="H243" s="4"/>
      <c r="I243" s="4"/>
      <c r="J243" s="4"/>
      <c r="K243" s="4"/>
      <c r="L243" s="4"/>
      <c r="M243" s="4"/>
      <c r="N243" s="4"/>
      <c r="O243" s="4"/>
      <c r="P243" s="4"/>
      <c r="Q243" s="4"/>
      <c r="R243" s="4"/>
      <c r="S243" s="4"/>
      <c r="T243" s="4"/>
      <c r="U243" s="4"/>
    </row>
    <row r="244" spans="1:21">
      <c r="A244" s="4"/>
      <c r="B244" s="4"/>
      <c r="C244" s="4"/>
      <c r="D244" s="4"/>
      <c r="E244" s="4"/>
      <c r="F244" s="4"/>
      <c r="G244" s="4"/>
      <c r="H244" s="4"/>
      <c r="I244" s="4"/>
      <c r="J244" s="4"/>
      <c r="K244" s="4"/>
      <c r="L244" s="4"/>
      <c r="M244" s="4"/>
      <c r="N244" s="4"/>
      <c r="O244" s="4"/>
      <c r="P244" s="4"/>
      <c r="Q244" s="4"/>
      <c r="R244" s="4"/>
      <c r="S244" s="4"/>
      <c r="T244" s="4"/>
      <c r="U244" s="4"/>
    </row>
    <row r="245" spans="1:21">
      <c r="A245" s="4"/>
      <c r="B245" s="4"/>
      <c r="C245" s="4"/>
      <c r="D245" s="4"/>
      <c r="E245" s="4"/>
      <c r="F245" s="4"/>
      <c r="G245" s="4"/>
      <c r="H245" s="4"/>
      <c r="I245" s="4"/>
      <c r="J245" s="4"/>
      <c r="K245" s="4"/>
      <c r="L245" s="4"/>
      <c r="M245" s="4"/>
      <c r="N245" s="4"/>
      <c r="O245" s="4"/>
      <c r="P245" s="4"/>
      <c r="Q245" s="4"/>
      <c r="R245" s="4"/>
      <c r="S245" s="4"/>
      <c r="T245" s="4"/>
      <c r="U245" s="4"/>
    </row>
    <row r="246" spans="1:21">
      <c r="A246" s="4"/>
      <c r="B246" s="4"/>
      <c r="C246" s="4"/>
      <c r="D246" s="4"/>
      <c r="E246" s="4"/>
      <c r="F246" s="4"/>
      <c r="G246" s="4"/>
      <c r="H246" s="4"/>
      <c r="I246" s="4"/>
      <c r="J246" s="4"/>
      <c r="K246" s="4"/>
      <c r="L246" s="4"/>
      <c r="M246" s="4"/>
      <c r="N246" s="4"/>
      <c r="O246" s="4"/>
      <c r="P246" s="4"/>
      <c r="Q246" s="4"/>
      <c r="R246" s="4"/>
      <c r="S246" s="4"/>
      <c r="T246" s="4"/>
      <c r="U246" s="4"/>
    </row>
    <row r="247" spans="1:21">
      <c r="A247" s="4"/>
      <c r="B247" s="4"/>
      <c r="C247" s="4"/>
      <c r="D247" s="4"/>
      <c r="E247" s="4"/>
      <c r="F247" s="4"/>
      <c r="G247" s="4"/>
      <c r="H247" s="4"/>
      <c r="I247" s="4"/>
      <c r="J247" s="4"/>
      <c r="K247" s="4"/>
      <c r="L247" s="4"/>
      <c r="M247" s="4"/>
      <c r="N247" s="4"/>
      <c r="O247" s="4"/>
      <c r="P247" s="4"/>
      <c r="Q247" s="4"/>
      <c r="R247" s="4"/>
      <c r="S247" s="4"/>
      <c r="T247" s="4"/>
      <c r="U247" s="4"/>
    </row>
    <row r="248" spans="1:21">
      <c r="A248" s="4"/>
      <c r="B248" s="4"/>
      <c r="C248" s="4"/>
      <c r="D248" s="4"/>
      <c r="E248" s="4"/>
      <c r="F248" s="4"/>
      <c r="G248" s="4"/>
      <c r="H248" s="4"/>
      <c r="I248" s="4"/>
      <c r="J248" s="4"/>
      <c r="K248" s="4"/>
      <c r="L248" s="4"/>
      <c r="M248" s="4"/>
      <c r="N248" s="4"/>
      <c r="O248" s="4"/>
      <c r="P248" s="4"/>
      <c r="Q248" s="4"/>
      <c r="R248" s="4"/>
      <c r="S248" s="4"/>
      <c r="T248" s="4"/>
      <c r="U248" s="4"/>
    </row>
    <row r="249" spans="1:21">
      <c r="A249" s="4"/>
      <c r="B249" s="4"/>
      <c r="C249" s="4"/>
      <c r="D249" s="4"/>
      <c r="E249" s="4"/>
      <c r="F249" s="4"/>
      <c r="G249" s="4"/>
      <c r="H249" s="4"/>
      <c r="I249" s="4"/>
      <c r="J249" s="4"/>
      <c r="K249" s="4"/>
      <c r="L249" s="4"/>
      <c r="M249" s="4"/>
      <c r="N249" s="4"/>
      <c r="O249" s="4"/>
      <c r="P249" s="4"/>
      <c r="Q249" s="4"/>
      <c r="R249" s="4"/>
      <c r="S249" s="4"/>
      <c r="T249" s="4"/>
      <c r="U249" s="4"/>
    </row>
    <row r="250" spans="1:21">
      <c r="A250" s="4"/>
      <c r="B250" s="4"/>
      <c r="C250" s="4"/>
      <c r="D250" s="4"/>
      <c r="E250" s="4"/>
      <c r="F250" s="4"/>
      <c r="G250" s="4"/>
      <c r="H250" s="4"/>
      <c r="I250" s="4"/>
      <c r="J250" s="4"/>
      <c r="K250" s="4"/>
      <c r="L250" s="4"/>
      <c r="M250" s="4"/>
      <c r="N250" s="4"/>
      <c r="O250" s="4"/>
      <c r="P250" s="4"/>
      <c r="Q250" s="4"/>
      <c r="R250" s="4"/>
      <c r="S250" s="4"/>
      <c r="T250" s="4"/>
      <c r="U250" s="4"/>
    </row>
    <row r="251" spans="1:21">
      <c r="A251" s="4"/>
      <c r="B251" s="4"/>
      <c r="C251" s="4"/>
      <c r="D251" s="4"/>
      <c r="E251" s="4"/>
      <c r="F251" s="4"/>
      <c r="G251" s="4"/>
      <c r="H251" s="4"/>
      <c r="I251" s="4"/>
      <c r="J251" s="4"/>
      <c r="K251" s="4"/>
      <c r="L251" s="4"/>
      <c r="M251" s="4"/>
      <c r="N251" s="4"/>
      <c r="O251" s="4"/>
      <c r="P251" s="4"/>
      <c r="Q251" s="4"/>
      <c r="R251" s="4"/>
      <c r="S251" s="4"/>
      <c r="T251" s="4"/>
      <c r="U251" s="4"/>
    </row>
    <row r="252" spans="1:21">
      <c r="A252" s="4"/>
      <c r="B252" s="4"/>
      <c r="C252" s="4"/>
      <c r="D252" s="4"/>
      <c r="E252" s="4"/>
      <c r="F252" s="4"/>
      <c r="G252" s="4"/>
      <c r="H252" s="4"/>
      <c r="I252" s="4"/>
      <c r="J252" s="4"/>
      <c r="K252" s="4"/>
      <c r="L252" s="4"/>
      <c r="M252" s="4"/>
      <c r="N252" s="4"/>
      <c r="O252" s="4"/>
      <c r="P252" s="4"/>
      <c r="Q252" s="4"/>
      <c r="R252" s="4"/>
      <c r="S252" s="4"/>
      <c r="T252" s="4"/>
      <c r="U252" s="4"/>
    </row>
    <row r="253" spans="1:21">
      <c r="A253" s="4"/>
      <c r="B253" s="4"/>
      <c r="C253" s="4"/>
      <c r="D253" s="4"/>
      <c r="E253" s="4"/>
      <c r="F253" s="4"/>
      <c r="G253" s="4"/>
      <c r="H253" s="4"/>
      <c r="I253" s="4"/>
      <c r="J253" s="4"/>
      <c r="K253" s="4"/>
      <c r="L253" s="4"/>
      <c r="M253" s="4"/>
      <c r="N253" s="4"/>
      <c r="O253" s="4"/>
      <c r="P253" s="4"/>
      <c r="Q253" s="4"/>
      <c r="R253" s="4"/>
      <c r="S253" s="4"/>
      <c r="T253" s="4"/>
      <c r="U253" s="4"/>
    </row>
    <row r="254" spans="1:21">
      <c r="A254" s="4"/>
      <c r="B254" s="4"/>
      <c r="C254" s="4"/>
      <c r="D254" s="4"/>
      <c r="E254" s="4"/>
      <c r="F254" s="4"/>
      <c r="G254" s="4"/>
      <c r="H254" s="4"/>
      <c r="I254" s="4"/>
      <c r="J254" s="4"/>
      <c r="K254" s="4"/>
      <c r="L254" s="4"/>
      <c r="M254" s="4"/>
      <c r="N254" s="4"/>
      <c r="O254" s="4"/>
      <c r="P254" s="4"/>
      <c r="Q254" s="4"/>
      <c r="R254" s="4"/>
      <c r="S254" s="4"/>
      <c r="T254" s="4"/>
      <c r="U254" s="4"/>
    </row>
    <row r="255" spans="1:21">
      <c r="A255" s="4"/>
      <c r="B255" s="4"/>
      <c r="C255" s="4"/>
      <c r="D255" s="4"/>
      <c r="E255" s="4"/>
      <c r="F255" s="4"/>
      <c r="G255" s="4"/>
      <c r="H255" s="4"/>
      <c r="I255" s="4"/>
      <c r="J255" s="4"/>
      <c r="K255" s="4"/>
      <c r="L255" s="4"/>
      <c r="M255" s="4"/>
      <c r="N255" s="4"/>
      <c r="O255" s="4"/>
      <c r="P255" s="4"/>
      <c r="Q255" s="4"/>
      <c r="R255" s="4"/>
      <c r="S255" s="4"/>
      <c r="T255" s="4"/>
      <c r="U255" s="4"/>
    </row>
    <row r="256" spans="1:21">
      <c r="A256" s="4"/>
      <c r="B256" s="4"/>
      <c r="C256" s="4"/>
      <c r="D256" s="4"/>
      <c r="E256" s="4"/>
      <c r="F256" s="4"/>
      <c r="G256" s="4"/>
      <c r="H256" s="4"/>
      <c r="I256" s="4"/>
      <c r="J256" s="4"/>
      <c r="K256" s="4"/>
      <c r="L256" s="4"/>
      <c r="M256" s="4"/>
      <c r="N256" s="4"/>
      <c r="O256" s="4"/>
      <c r="P256" s="4"/>
      <c r="Q256" s="4"/>
      <c r="R256" s="4"/>
      <c r="S256" s="4"/>
      <c r="T256" s="4"/>
      <c r="U256" s="4"/>
    </row>
    <row r="257" spans="1:21">
      <c r="A257" s="4"/>
      <c r="B257" s="4"/>
      <c r="C257" s="4"/>
      <c r="D257" s="4"/>
      <c r="E257" s="4"/>
      <c r="F257" s="4"/>
      <c r="G257" s="4"/>
      <c r="H257" s="4"/>
      <c r="I257" s="4"/>
      <c r="J257" s="4"/>
      <c r="K257" s="4"/>
      <c r="L257" s="4"/>
      <c r="M257" s="4"/>
      <c r="N257" s="4"/>
      <c r="O257" s="4"/>
      <c r="P257" s="4"/>
      <c r="Q257" s="4"/>
      <c r="R257" s="4"/>
      <c r="S257" s="4"/>
      <c r="T257" s="4"/>
      <c r="U257" s="4"/>
    </row>
    <row r="258" spans="1:21">
      <c r="A258" s="4"/>
      <c r="B258" s="4"/>
      <c r="C258" s="4"/>
      <c r="D258" s="4"/>
      <c r="E258" s="4"/>
      <c r="F258" s="4"/>
      <c r="G258" s="4"/>
      <c r="H258" s="4"/>
      <c r="I258" s="4"/>
      <c r="J258" s="4"/>
      <c r="K258" s="4"/>
      <c r="L258" s="4"/>
      <c r="M258" s="4"/>
      <c r="N258" s="4"/>
      <c r="O258" s="4"/>
      <c r="P258" s="4"/>
      <c r="Q258" s="4"/>
      <c r="R258" s="4"/>
      <c r="S258" s="4"/>
      <c r="T258" s="4"/>
      <c r="U258" s="4"/>
    </row>
    <row r="259" spans="1:21">
      <c r="A259" s="4"/>
      <c r="B259" s="4"/>
      <c r="C259" s="4"/>
      <c r="D259" s="4"/>
      <c r="E259" s="4"/>
      <c r="F259" s="4"/>
      <c r="G259" s="4"/>
      <c r="H259" s="4"/>
      <c r="I259" s="4"/>
      <c r="J259" s="4"/>
      <c r="K259" s="4"/>
      <c r="L259" s="4"/>
      <c r="M259" s="4"/>
      <c r="N259" s="4"/>
      <c r="O259" s="4"/>
      <c r="P259" s="4"/>
      <c r="Q259" s="4"/>
      <c r="R259" s="4"/>
      <c r="S259" s="4"/>
      <c r="T259" s="4"/>
      <c r="U259" s="4"/>
    </row>
    <row r="260" spans="1:21">
      <c r="A260" s="4"/>
      <c r="B260" s="4"/>
      <c r="C260" s="4"/>
      <c r="D260" s="4"/>
      <c r="E260" s="4"/>
      <c r="F260" s="4"/>
      <c r="G260" s="4"/>
      <c r="H260" s="4"/>
      <c r="I260" s="4"/>
      <c r="J260" s="4"/>
      <c r="K260" s="4"/>
      <c r="L260" s="4"/>
      <c r="M260" s="4"/>
      <c r="N260" s="4"/>
      <c r="O260" s="4"/>
      <c r="P260" s="4"/>
      <c r="Q260" s="4"/>
      <c r="R260" s="4"/>
      <c r="S260" s="4"/>
      <c r="T260" s="4"/>
      <c r="U260" s="4"/>
    </row>
    <row r="261" spans="1:21">
      <c r="A261" s="4"/>
      <c r="B261" s="4"/>
      <c r="C261" s="4"/>
      <c r="D261" s="4"/>
      <c r="E261" s="4"/>
      <c r="F261" s="4"/>
      <c r="G261" s="4"/>
      <c r="H261" s="4"/>
      <c r="I261" s="4"/>
      <c r="J261" s="4"/>
      <c r="K261" s="4"/>
      <c r="L261" s="4"/>
      <c r="M261" s="4"/>
      <c r="N261" s="4"/>
      <c r="O261" s="4"/>
      <c r="P261" s="4"/>
      <c r="Q261" s="4"/>
      <c r="R261" s="4"/>
      <c r="S261" s="4"/>
      <c r="T261" s="4"/>
      <c r="U261" s="4"/>
    </row>
    <row r="262" spans="1:21">
      <c r="A262" s="4"/>
      <c r="B262" s="4"/>
      <c r="C262" s="4"/>
      <c r="D262" s="4"/>
      <c r="E262" s="4"/>
      <c r="F262" s="4"/>
      <c r="G262" s="4"/>
      <c r="H262" s="4"/>
      <c r="I262" s="4"/>
      <c r="J262" s="4"/>
      <c r="K262" s="4"/>
      <c r="L262" s="4"/>
      <c r="M262" s="4"/>
      <c r="N262" s="4"/>
      <c r="O262" s="4"/>
      <c r="P262" s="4"/>
      <c r="Q262" s="4"/>
      <c r="R262" s="4"/>
      <c r="S262" s="4"/>
      <c r="T262" s="4"/>
      <c r="U262" s="4"/>
    </row>
    <row r="263" spans="1:21">
      <c r="A263" s="4"/>
      <c r="B263" s="4"/>
      <c r="C263" s="4"/>
      <c r="D263" s="4"/>
      <c r="E263" s="4"/>
      <c r="F263" s="4"/>
      <c r="G263" s="4"/>
      <c r="H263" s="4"/>
      <c r="I263" s="4"/>
      <c r="J263" s="4"/>
      <c r="K263" s="4"/>
      <c r="L263" s="4"/>
      <c r="M263" s="4"/>
      <c r="N263" s="4"/>
      <c r="O263" s="4"/>
      <c r="P263" s="4"/>
      <c r="Q263" s="4"/>
      <c r="R263" s="4"/>
      <c r="S263" s="4"/>
      <c r="T263" s="4"/>
      <c r="U263" s="4"/>
    </row>
    <row r="264" spans="1:21">
      <c r="A264" s="4"/>
      <c r="B264" s="4"/>
      <c r="C264" s="4"/>
      <c r="D264" s="4"/>
      <c r="E264" s="4"/>
      <c r="F264" s="4"/>
      <c r="G264" s="4"/>
      <c r="H264" s="4"/>
      <c r="I264" s="4"/>
      <c r="J264" s="4"/>
      <c r="K264" s="4"/>
      <c r="L264" s="4"/>
      <c r="M264" s="4"/>
      <c r="N264" s="4"/>
      <c r="O264" s="4"/>
      <c r="P264" s="4"/>
      <c r="Q264" s="4"/>
      <c r="R264" s="4"/>
      <c r="S264" s="4"/>
      <c r="T264" s="4"/>
      <c r="U264" s="4"/>
    </row>
    <row r="265" spans="1:21">
      <c r="A265" s="4"/>
      <c r="B265" s="4"/>
      <c r="C265" s="4"/>
      <c r="D265" s="4"/>
      <c r="E265" s="4"/>
      <c r="F265" s="4"/>
      <c r="G265" s="4"/>
      <c r="H265" s="4"/>
      <c r="I265" s="4"/>
      <c r="J265" s="4"/>
      <c r="K265" s="4"/>
      <c r="L265" s="4"/>
      <c r="M265" s="4"/>
      <c r="N265" s="4"/>
      <c r="O265" s="4"/>
      <c r="P265" s="4"/>
      <c r="Q265" s="4"/>
      <c r="R265" s="4"/>
      <c r="S265" s="4"/>
      <c r="T265" s="4"/>
      <c r="U265" s="4"/>
    </row>
    <row r="266" spans="1:21">
      <c r="A266" s="4"/>
      <c r="B266" s="4"/>
      <c r="C266" s="4"/>
      <c r="D266" s="4"/>
      <c r="E266" s="4"/>
      <c r="F266" s="4"/>
      <c r="G266" s="4"/>
      <c r="H266" s="4"/>
      <c r="I266" s="4"/>
      <c r="J266" s="4"/>
      <c r="K266" s="4"/>
      <c r="L266" s="4"/>
      <c r="M266" s="4"/>
      <c r="N266" s="4"/>
      <c r="O266" s="4"/>
      <c r="P266" s="4"/>
      <c r="Q266" s="4"/>
      <c r="R266" s="4"/>
      <c r="S266" s="4"/>
      <c r="T266" s="4"/>
      <c r="U266" s="4"/>
    </row>
    <row r="267" spans="1:21">
      <c r="A267" s="4"/>
      <c r="B267" s="4"/>
      <c r="C267" s="4"/>
      <c r="D267" s="4"/>
      <c r="E267" s="4"/>
      <c r="F267" s="4"/>
      <c r="G267" s="4"/>
      <c r="H267" s="4"/>
      <c r="I267" s="4"/>
      <c r="J267" s="4"/>
      <c r="K267" s="4"/>
      <c r="L267" s="4"/>
      <c r="M267" s="4"/>
      <c r="N267" s="4"/>
      <c r="O267" s="4"/>
      <c r="P267" s="4"/>
      <c r="Q267" s="4"/>
      <c r="R267" s="4"/>
      <c r="S267" s="4"/>
      <c r="T267" s="4"/>
      <c r="U267" s="4"/>
    </row>
    <row r="268" spans="1:21">
      <c r="A268" s="4"/>
      <c r="B268" s="4"/>
      <c r="C268" s="4"/>
      <c r="D268" s="4"/>
      <c r="E268" s="4"/>
      <c r="F268" s="4"/>
      <c r="G268" s="4"/>
      <c r="H268" s="4"/>
      <c r="I268" s="4"/>
      <c r="J268" s="4"/>
      <c r="K268" s="4"/>
      <c r="L268" s="4"/>
      <c r="M268" s="4"/>
      <c r="N268" s="4"/>
      <c r="O268" s="4"/>
      <c r="P268" s="4"/>
      <c r="Q268" s="4"/>
      <c r="R268" s="4"/>
      <c r="S268" s="4"/>
      <c r="T268" s="4"/>
      <c r="U268" s="4"/>
    </row>
    <row r="269" spans="1:21">
      <c r="A269" s="4"/>
      <c r="B269" s="4"/>
      <c r="C269" s="4"/>
      <c r="D269" s="4"/>
      <c r="E269" s="4"/>
      <c r="F269" s="4"/>
      <c r="G269" s="4"/>
      <c r="H269" s="4"/>
      <c r="I269" s="4"/>
      <c r="J269" s="4"/>
      <c r="K269" s="4"/>
      <c r="L269" s="4"/>
      <c r="M269" s="4"/>
      <c r="N269" s="4"/>
      <c r="O269" s="4"/>
      <c r="P269" s="4"/>
      <c r="Q269" s="4"/>
      <c r="R269" s="4"/>
      <c r="S269" s="4"/>
      <c r="T269" s="4"/>
      <c r="U269" s="4"/>
    </row>
    <row r="270" spans="1:21">
      <c r="A270" s="4"/>
      <c r="B270" s="4"/>
      <c r="C270" s="4"/>
      <c r="D270" s="4"/>
      <c r="E270" s="4"/>
      <c r="F270" s="4"/>
      <c r="G270" s="4"/>
      <c r="H270" s="4"/>
      <c r="I270" s="4"/>
      <c r="J270" s="4"/>
      <c r="K270" s="4"/>
      <c r="L270" s="4"/>
      <c r="M270" s="4"/>
      <c r="N270" s="4"/>
      <c r="O270" s="4"/>
      <c r="P270" s="4"/>
      <c r="Q270" s="4"/>
      <c r="R270" s="4"/>
      <c r="S270" s="4"/>
      <c r="T270" s="4"/>
      <c r="U270" s="4"/>
    </row>
    <row r="271" spans="1:21">
      <c r="A271" s="4"/>
      <c r="B271" s="4"/>
      <c r="C271" s="4"/>
      <c r="D271" s="4"/>
      <c r="E271" s="4"/>
      <c r="F271" s="4"/>
      <c r="G271" s="4"/>
      <c r="H271" s="4"/>
      <c r="I271" s="4"/>
      <c r="J271" s="4"/>
      <c r="K271" s="4"/>
      <c r="L271" s="4"/>
      <c r="M271" s="4"/>
      <c r="N271" s="4"/>
      <c r="O271" s="4"/>
      <c r="P271" s="4"/>
      <c r="Q271" s="4"/>
      <c r="R271" s="4"/>
      <c r="S271" s="4"/>
      <c r="T271" s="4"/>
      <c r="U271" s="4"/>
    </row>
    <row r="272" spans="1:21">
      <c r="A272" s="4"/>
      <c r="B272" s="4"/>
      <c r="C272" s="4"/>
      <c r="D272" s="4"/>
      <c r="E272" s="4"/>
      <c r="F272" s="4"/>
      <c r="G272" s="4"/>
      <c r="H272" s="4"/>
      <c r="I272" s="4"/>
      <c r="J272" s="4"/>
      <c r="K272" s="4"/>
      <c r="L272" s="4"/>
      <c r="M272" s="4"/>
      <c r="N272" s="4"/>
      <c r="O272" s="4"/>
      <c r="P272" s="4"/>
      <c r="Q272" s="4"/>
      <c r="R272" s="4"/>
      <c r="S272" s="4"/>
      <c r="T272" s="4"/>
      <c r="U272" s="4"/>
    </row>
    <row r="273" spans="1:21">
      <c r="A273" s="4"/>
      <c r="B273" s="4"/>
      <c r="C273" s="4"/>
      <c r="D273" s="4"/>
      <c r="E273" s="4"/>
      <c r="F273" s="4"/>
      <c r="G273" s="4"/>
      <c r="H273" s="4"/>
      <c r="I273" s="4"/>
      <c r="J273" s="4"/>
      <c r="K273" s="4"/>
      <c r="L273" s="4"/>
      <c r="M273" s="4"/>
      <c r="N273" s="4"/>
      <c r="O273" s="4"/>
      <c r="P273" s="4"/>
      <c r="Q273" s="4"/>
      <c r="R273" s="4"/>
      <c r="S273" s="4"/>
      <c r="T273" s="4"/>
      <c r="U273" s="4"/>
    </row>
    <row r="274" spans="1:21">
      <c r="A274" s="4"/>
      <c r="B274" s="4"/>
      <c r="C274" s="4"/>
      <c r="D274" s="4"/>
      <c r="E274" s="4"/>
      <c r="F274" s="4"/>
      <c r="G274" s="4"/>
      <c r="H274" s="4"/>
      <c r="I274" s="4"/>
      <c r="J274" s="4"/>
      <c r="K274" s="4"/>
      <c r="L274" s="4"/>
      <c r="M274" s="4"/>
      <c r="N274" s="4"/>
      <c r="O274" s="4"/>
      <c r="P274" s="4"/>
      <c r="Q274" s="4"/>
      <c r="R274" s="4"/>
      <c r="S274" s="4"/>
      <c r="T274" s="4"/>
      <c r="U274" s="4"/>
    </row>
    <row r="275" spans="1:21">
      <c r="A275" s="4"/>
      <c r="B275" s="4"/>
      <c r="C275" s="4"/>
      <c r="D275" s="4"/>
      <c r="E275" s="4"/>
      <c r="F275" s="4"/>
      <c r="G275" s="4"/>
      <c r="H275" s="4"/>
      <c r="I275" s="4"/>
      <c r="J275" s="4"/>
      <c r="K275" s="4"/>
      <c r="L275" s="4"/>
      <c r="M275" s="4"/>
      <c r="N275" s="4"/>
      <c r="O275" s="4"/>
      <c r="P275" s="4"/>
      <c r="Q275" s="4"/>
      <c r="R275" s="4"/>
      <c r="S275" s="4"/>
      <c r="T275" s="4"/>
      <c r="U275" s="4"/>
    </row>
    <row r="276" spans="1:21">
      <c r="A276" s="4"/>
      <c r="B276" s="4"/>
      <c r="C276" s="4"/>
      <c r="D276" s="4"/>
      <c r="E276" s="4"/>
      <c r="F276" s="4"/>
      <c r="G276" s="4"/>
      <c r="H276" s="4"/>
      <c r="I276" s="4"/>
      <c r="J276" s="4"/>
      <c r="K276" s="4"/>
      <c r="L276" s="4"/>
      <c r="M276" s="4"/>
      <c r="N276" s="4"/>
      <c r="O276" s="4"/>
      <c r="P276" s="4"/>
      <c r="Q276" s="4"/>
      <c r="R276" s="4"/>
      <c r="S276" s="4"/>
      <c r="T276" s="4"/>
      <c r="U276" s="4"/>
    </row>
    <row r="277" spans="1:21">
      <c r="A277" s="4"/>
      <c r="B277" s="4"/>
      <c r="C277" s="4"/>
      <c r="D277" s="4"/>
      <c r="E277" s="4"/>
      <c r="F277" s="4"/>
      <c r="G277" s="4"/>
      <c r="H277" s="4"/>
      <c r="I277" s="4"/>
      <c r="J277" s="4"/>
      <c r="K277" s="4"/>
      <c r="L277" s="4"/>
      <c r="M277" s="4"/>
      <c r="N277" s="4"/>
      <c r="O277" s="4"/>
      <c r="P277" s="4"/>
      <c r="Q277" s="4"/>
      <c r="R277" s="4"/>
      <c r="S277" s="4"/>
      <c r="T277" s="4"/>
      <c r="U277" s="4"/>
    </row>
    <row r="278" spans="1:21">
      <c r="A278" s="4"/>
      <c r="B278" s="4"/>
      <c r="C278" s="4"/>
      <c r="D278" s="4"/>
      <c r="E278" s="4"/>
      <c r="F278" s="4"/>
      <c r="G278" s="4"/>
      <c r="H278" s="4"/>
      <c r="I278" s="4"/>
      <c r="J278" s="4"/>
      <c r="K278" s="4"/>
      <c r="L278" s="4"/>
      <c r="M278" s="4"/>
      <c r="N278" s="4"/>
      <c r="O278" s="4"/>
      <c r="P278" s="4"/>
      <c r="Q278" s="4"/>
      <c r="R278" s="4"/>
      <c r="S278" s="4"/>
      <c r="T278" s="4"/>
      <c r="U278" s="4"/>
    </row>
    <row r="279" spans="1:21">
      <c r="A279" s="4"/>
      <c r="B279" s="4"/>
      <c r="C279" s="4"/>
      <c r="D279" s="4"/>
      <c r="E279" s="4"/>
      <c r="F279" s="4"/>
      <c r="G279" s="4"/>
      <c r="H279" s="4"/>
      <c r="I279" s="4"/>
      <c r="J279" s="4"/>
      <c r="K279" s="4"/>
      <c r="L279" s="4"/>
      <c r="M279" s="4"/>
      <c r="N279" s="4"/>
      <c r="O279" s="4"/>
      <c r="P279" s="4"/>
      <c r="Q279" s="4"/>
      <c r="R279" s="4"/>
      <c r="S279" s="4"/>
      <c r="T279" s="4"/>
      <c r="U279" s="4"/>
    </row>
    <row r="280" spans="1:21">
      <c r="A280" s="4"/>
      <c r="B280" s="4"/>
      <c r="C280" s="4"/>
      <c r="D280" s="4"/>
      <c r="E280" s="4"/>
      <c r="F280" s="4"/>
      <c r="G280" s="4"/>
      <c r="H280" s="4"/>
      <c r="I280" s="4"/>
      <c r="J280" s="4"/>
      <c r="K280" s="4"/>
      <c r="L280" s="4"/>
      <c r="M280" s="4"/>
      <c r="N280" s="4"/>
      <c r="O280" s="4"/>
      <c r="P280" s="4"/>
      <c r="Q280" s="4"/>
      <c r="R280" s="4"/>
      <c r="S280" s="4"/>
      <c r="T280" s="4"/>
      <c r="U280" s="4"/>
    </row>
    <row r="281" spans="1:21">
      <c r="A281" s="4"/>
      <c r="B281" s="4"/>
      <c r="C281" s="4"/>
      <c r="D281" s="4"/>
      <c r="E281" s="4"/>
      <c r="F281" s="4"/>
      <c r="G281" s="4"/>
      <c r="H281" s="4"/>
      <c r="I281" s="4"/>
      <c r="J281" s="4"/>
      <c r="K281" s="4"/>
      <c r="L281" s="4"/>
      <c r="M281" s="4"/>
      <c r="N281" s="4"/>
      <c r="O281" s="4"/>
      <c r="P281" s="4"/>
      <c r="Q281" s="4"/>
      <c r="R281" s="4"/>
      <c r="S281" s="4"/>
      <c r="T281" s="4"/>
      <c r="U281" s="4"/>
    </row>
    <row r="282" spans="1:21">
      <c r="A282" s="4"/>
      <c r="B282" s="4"/>
      <c r="C282" s="4"/>
      <c r="D282" s="4"/>
      <c r="E282" s="4"/>
      <c r="F282" s="4"/>
      <c r="G282" s="4"/>
      <c r="H282" s="4"/>
      <c r="I282" s="4"/>
      <c r="J282" s="4"/>
      <c r="K282" s="4"/>
      <c r="L282" s="4"/>
      <c r="M282" s="4"/>
      <c r="N282" s="4"/>
      <c r="O282" s="4"/>
      <c r="P282" s="4"/>
      <c r="Q282" s="4"/>
      <c r="R282" s="4"/>
      <c r="S282" s="4"/>
      <c r="T282" s="4"/>
      <c r="U282" s="4"/>
    </row>
    <row r="283" spans="1:21">
      <c r="A283" s="4"/>
      <c r="B283" s="4"/>
      <c r="C283" s="4"/>
      <c r="D283" s="4"/>
      <c r="E283" s="4"/>
      <c r="F283" s="4"/>
      <c r="G283" s="4"/>
      <c r="H283" s="4"/>
      <c r="I283" s="4"/>
      <c r="J283" s="4"/>
      <c r="K283" s="4"/>
      <c r="L283" s="4"/>
      <c r="M283" s="4"/>
      <c r="N283" s="4"/>
      <c r="O283" s="4"/>
      <c r="P283" s="4"/>
      <c r="Q283" s="4"/>
      <c r="R283" s="4"/>
      <c r="S283" s="4"/>
      <c r="T283" s="4"/>
      <c r="U283" s="4"/>
    </row>
    <row r="284" spans="1:21">
      <c r="A284" s="4"/>
      <c r="B284" s="4"/>
      <c r="C284" s="4"/>
      <c r="D284" s="4"/>
      <c r="E284" s="4"/>
      <c r="F284" s="4"/>
      <c r="G284" s="4"/>
      <c r="H284" s="4"/>
      <c r="I284" s="4"/>
      <c r="J284" s="4"/>
      <c r="K284" s="4"/>
      <c r="L284" s="4"/>
      <c r="M284" s="4"/>
      <c r="N284" s="4"/>
      <c r="O284" s="4"/>
      <c r="P284" s="4"/>
      <c r="Q284" s="4"/>
      <c r="R284" s="4"/>
      <c r="S284" s="4"/>
      <c r="T284" s="4"/>
      <c r="U284" s="4"/>
    </row>
    <row r="285" spans="1:21">
      <c r="A285" s="4"/>
      <c r="B285" s="4"/>
      <c r="C285" s="4"/>
      <c r="D285" s="4"/>
      <c r="E285" s="4"/>
      <c r="F285" s="4"/>
      <c r="G285" s="4"/>
      <c r="H285" s="4"/>
      <c r="I285" s="4"/>
      <c r="J285" s="4"/>
      <c r="K285" s="4"/>
      <c r="L285" s="4"/>
      <c r="M285" s="4"/>
      <c r="N285" s="4"/>
      <c r="O285" s="4"/>
      <c r="P285" s="4"/>
      <c r="Q285" s="4"/>
      <c r="R285" s="4"/>
      <c r="S285" s="4"/>
      <c r="T285" s="4"/>
      <c r="U285" s="4"/>
    </row>
    <row r="286" spans="1:21">
      <c r="A286" s="4"/>
      <c r="B286" s="4"/>
      <c r="C286" s="4"/>
      <c r="D286" s="4"/>
      <c r="E286" s="4"/>
      <c r="F286" s="4"/>
      <c r="G286" s="4"/>
      <c r="H286" s="4"/>
      <c r="I286" s="4"/>
      <c r="J286" s="4"/>
      <c r="K286" s="4"/>
      <c r="L286" s="4"/>
      <c r="M286" s="4"/>
      <c r="N286" s="4"/>
      <c r="O286" s="4"/>
      <c r="P286" s="4"/>
      <c r="Q286" s="4"/>
      <c r="R286" s="4"/>
      <c r="S286" s="4"/>
      <c r="T286" s="4"/>
      <c r="U286" s="4"/>
    </row>
    <row r="287" spans="1:21">
      <c r="A287" s="4"/>
      <c r="B287" s="4"/>
      <c r="C287" s="4"/>
      <c r="D287" s="4"/>
      <c r="E287" s="4"/>
      <c r="F287" s="4"/>
      <c r="G287" s="4"/>
      <c r="H287" s="4"/>
      <c r="I287" s="4"/>
      <c r="J287" s="4"/>
      <c r="K287" s="4"/>
      <c r="L287" s="4"/>
      <c r="M287" s="4"/>
      <c r="N287" s="4"/>
      <c r="O287" s="4"/>
      <c r="P287" s="4"/>
      <c r="Q287" s="4"/>
      <c r="R287" s="4"/>
      <c r="S287" s="4"/>
      <c r="T287" s="4"/>
      <c r="U287" s="4"/>
    </row>
    <row r="288" spans="1:21">
      <c r="A288" s="4"/>
      <c r="B288" s="4"/>
      <c r="C288" s="4"/>
      <c r="D288" s="4"/>
      <c r="E288" s="4"/>
      <c r="F288" s="4"/>
      <c r="G288" s="4"/>
      <c r="H288" s="4"/>
      <c r="I288" s="4"/>
      <c r="J288" s="4"/>
      <c r="K288" s="4"/>
      <c r="L288" s="4"/>
      <c r="M288" s="4"/>
      <c r="N288" s="4"/>
      <c r="O288" s="4"/>
      <c r="P288" s="4"/>
      <c r="Q288" s="4"/>
      <c r="R288" s="4"/>
      <c r="S288" s="4"/>
      <c r="T288" s="4"/>
      <c r="U288" s="4"/>
    </row>
    <row r="289" spans="1:21">
      <c r="A289" s="4"/>
      <c r="B289" s="4"/>
      <c r="C289" s="4"/>
      <c r="D289" s="4"/>
      <c r="E289" s="4"/>
      <c r="F289" s="4"/>
      <c r="G289" s="4"/>
      <c r="H289" s="4"/>
      <c r="I289" s="4"/>
      <c r="J289" s="4"/>
      <c r="K289" s="4"/>
      <c r="L289" s="4"/>
      <c r="M289" s="4"/>
      <c r="N289" s="4"/>
      <c r="O289" s="4"/>
      <c r="P289" s="4"/>
      <c r="Q289" s="4"/>
      <c r="R289" s="4"/>
      <c r="S289" s="4"/>
      <c r="T289" s="4"/>
      <c r="U289" s="4"/>
    </row>
    <row r="290" spans="1:21">
      <c r="A290" s="4"/>
      <c r="B290" s="4"/>
      <c r="C290" s="4"/>
      <c r="D290" s="4"/>
      <c r="E290" s="4"/>
      <c r="F290" s="4"/>
      <c r="G290" s="4"/>
      <c r="H290" s="4"/>
      <c r="I290" s="4"/>
      <c r="J290" s="4"/>
      <c r="K290" s="4"/>
      <c r="L290" s="4"/>
      <c r="M290" s="4"/>
      <c r="N290" s="4"/>
      <c r="O290" s="4"/>
      <c r="P290" s="4"/>
      <c r="Q290" s="4"/>
      <c r="R290" s="4"/>
      <c r="S290" s="4"/>
      <c r="T290" s="4"/>
      <c r="U290" s="4"/>
    </row>
    <row r="291" spans="1:21">
      <c r="A291" s="4"/>
      <c r="B291" s="4"/>
      <c r="C291" s="4"/>
      <c r="D291" s="4"/>
      <c r="E291" s="4"/>
      <c r="F291" s="4"/>
      <c r="G291" s="4"/>
      <c r="H291" s="4"/>
      <c r="I291" s="4"/>
      <c r="J291" s="4"/>
      <c r="K291" s="4"/>
      <c r="L291" s="4"/>
      <c r="M291" s="4"/>
      <c r="N291" s="4"/>
      <c r="O291" s="4"/>
      <c r="P291" s="4"/>
      <c r="Q291" s="4"/>
      <c r="R291" s="4"/>
      <c r="S291" s="4"/>
      <c r="T291" s="4"/>
      <c r="U291" s="4"/>
    </row>
    <row r="292" spans="1:21">
      <c r="A292" s="4"/>
      <c r="B292" s="4"/>
      <c r="C292" s="4"/>
      <c r="D292" s="4"/>
      <c r="E292" s="4"/>
      <c r="F292" s="4"/>
      <c r="G292" s="4"/>
      <c r="H292" s="4"/>
      <c r="I292" s="4"/>
      <c r="J292" s="4"/>
      <c r="K292" s="4"/>
      <c r="L292" s="4"/>
      <c r="M292" s="4"/>
      <c r="N292" s="4"/>
      <c r="O292" s="4"/>
      <c r="P292" s="4"/>
      <c r="Q292" s="4"/>
      <c r="R292" s="4"/>
      <c r="S292" s="4"/>
      <c r="T292" s="4"/>
      <c r="U292" s="4"/>
    </row>
    <row r="293" spans="1:21">
      <c r="A293" s="4"/>
      <c r="B293" s="4"/>
      <c r="C293" s="4"/>
      <c r="D293" s="4"/>
      <c r="E293" s="4"/>
      <c r="F293" s="4"/>
      <c r="G293" s="4"/>
      <c r="H293" s="4"/>
      <c r="I293" s="4"/>
      <c r="J293" s="4"/>
      <c r="K293" s="4"/>
      <c r="L293" s="4"/>
      <c r="M293" s="4"/>
      <c r="N293" s="4"/>
      <c r="O293" s="4"/>
      <c r="P293" s="4"/>
      <c r="Q293" s="4"/>
      <c r="R293" s="4"/>
      <c r="S293" s="4"/>
      <c r="T293" s="4"/>
      <c r="U293" s="4"/>
    </row>
    <row r="294" spans="1:21">
      <c r="A294" s="4"/>
      <c r="B294" s="4"/>
      <c r="C294" s="4"/>
      <c r="D294" s="4"/>
      <c r="E294" s="4"/>
      <c r="F294" s="4"/>
      <c r="G294" s="4"/>
      <c r="H294" s="4"/>
      <c r="I294" s="4"/>
      <c r="J294" s="4"/>
      <c r="K294" s="4"/>
      <c r="L294" s="4"/>
      <c r="M294" s="4"/>
      <c r="N294" s="4"/>
      <c r="O294" s="4"/>
      <c r="P294" s="4"/>
      <c r="Q294" s="4"/>
      <c r="R294" s="4"/>
      <c r="S294" s="4"/>
      <c r="T294" s="4"/>
      <c r="U294" s="4"/>
    </row>
    <row r="295" spans="1:21">
      <c r="A295" s="4"/>
      <c r="B295" s="4"/>
      <c r="C295" s="4"/>
      <c r="D295" s="4"/>
      <c r="E295" s="4"/>
      <c r="F295" s="4"/>
      <c r="G295" s="4"/>
      <c r="H295" s="4"/>
      <c r="I295" s="4"/>
      <c r="J295" s="4"/>
      <c r="K295" s="4"/>
      <c r="L295" s="4"/>
      <c r="M295" s="4"/>
      <c r="N295" s="4"/>
      <c r="O295" s="4"/>
      <c r="P295" s="4"/>
      <c r="Q295" s="4"/>
      <c r="R295" s="4"/>
      <c r="S295" s="4"/>
      <c r="T295" s="4"/>
      <c r="U295" s="4"/>
    </row>
    <row r="296" spans="1:21">
      <c r="A296" s="4"/>
      <c r="B296" s="4"/>
      <c r="C296" s="4"/>
      <c r="D296" s="4"/>
      <c r="E296" s="4"/>
      <c r="F296" s="4"/>
      <c r="G296" s="4"/>
      <c r="H296" s="4"/>
      <c r="I296" s="4"/>
      <c r="J296" s="4"/>
      <c r="K296" s="4"/>
      <c r="L296" s="4"/>
      <c r="M296" s="4"/>
      <c r="N296" s="4"/>
      <c r="O296" s="4"/>
      <c r="P296" s="4"/>
      <c r="Q296" s="4"/>
      <c r="R296" s="4"/>
      <c r="S296" s="4"/>
      <c r="T296" s="4"/>
      <c r="U296" s="4"/>
    </row>
    <row r="297" spans="1:21">
      <c r="A297" s="4"/>
      <c r="B297" s="4"/>
      <c r="C297" s="4"/>
      <c r="D297" s="4"/>
      <c r="E297" s="4"/>
      <c r="F297" s="4"/>
      <c r="G297" s="4"/>
      <c r="H297" s="4"/>
      <c r="I297" s="4"/>
      <c r="J297" s="4"/>
      <c r="K297" s="4"/>
      <c r="L297" s="4"/>
      <c r="M297" s="4"/>
      <c r="N297" s="4"/>
      <c r="O297" s="4"/>
      <c r="P297" s="4"/>
      <c r="Q297" s="4"/>
      <c r="R297" s="4"/>
      <c r="S297" s="4"/>
      <c r="T297" s="4"/>
      <c r="U297" s="4"/>
    </row>
    <row r="298" spans="1:21">
      <c r="A298" s="4"/>
      <c r="B298" s="4"/>
      <c r="C298" s="4"/>
      <c r="D298" s="4"/>
      <c r="E298" s="4"/>
      <c r="F298" s="4"/>
      <c r="G298" s="4"/>
      <c r="H298" s="4"/>
      <c r="I298" s="4"/>
      <c r="J298" s="4"/>
      <c r="K298" s="4"/>
      <c r="L298" s="4"/>
      <c r="M298" s="4"/>
      <c r="N298" s="4"/>
      <c r="O298" s="4"/>
      <c r="P298" s="4"/>
      <c r="Q298" s="4"/>
      <c r="R298" s="4"/>
      <c r="S298" s="4"/>
      <c r="T298" s="4"/>
      <c r="U298" s="4"/>
    </row>
    <row r="299" spans="1:21">
      <c r="A299" s="4"/>
      <c r="B299" s="4"/>
      <c r="C299" s="4"/>
      <c r="D299" s="4"/>
      <c r="E299" s="4"/>
      <c r="F299" s="4"/>
      <c r="G299" s="4"/>
      <c r="H299" s="4"/>
      <c r="I299" s="4"/>
      <c r="J299" s="4"/>
      <c r="K299" s="4"/>
      <c r="L299" s="4"/>
      <c r="M299" s="4"/>
      <c r="N299" s="4"/>
      <c r="O299" s="4"/>
      <c r="P299" s="4"/>
      <c r="Q299" s="4"/>
      <c r="R299" s="4"/>
      <c r="S299" s="4"/>
      <c r="T299" s="4"/>
      <c r="U299" s="4"/>
    </row>
    <row r="300" spans="1:21">
      <c r="A300" s="4"/>
      <c r="B300" s="4"/>
      <c r="C300" s="4"/>
      <c r="D300" s="4"/>
      <c r="E300" s="4"/>
      <c r="F300" s="4"/>
      <c r="G300" s="4"/>
      <c r="H300" s="4"/>
      <c r="I300" s="4"/>
      <c r="J300" s="4"/>
      <c r="K300" s="4"/>
      <c r="L300" s="4"/>
      <c r="M300" s="4"/>
      <c r="N300" s="4"/>
      <c r="O300" s="4"/>
      <c r="P300" s="4"/>
      <c r="Q300" s="4"/>
      <c r="R300" s="4"/>
      <c r="S300" s="4"/>
      <c r="T300" s="4"/>
      <c r="U300" s="4"/>
    </row>
    <row r="301" spans="1:21">
      <c r="A301" s="4"/>
      <c r="B301" s="4"/>
      <c r="C301" s="4"/>
      <c r="D301" s="4"/>
      <c r="E301" s="4"/>
      <c r="F301" s="4"/>
      <c r="G301" s="4"/>
      <c r="H301" s="4"/>
      <c r="I301" s="4"/>
      <c r="J301" s="4"/>
      <c r="K301" s="4"/>
      <c r="L301" s="4"/>
      <c r="M301" s="4"/>
      <c r="N301" s="4"/>
      <c r="O301" s="4"/>
      <c r="P301" s="4"/>
      <c r="Q301" s="4"/>
      <c r="R301" s="4"/>
      <c r="S301" s="4"/>
      <c r="T301" s="4"/>
      <c r="U301" s="4"/>
    </row>
    <row r="302" spans="1:21">
      <c r="A302" s="4"/>
      <c r="B302" s="4"/>
      <c r="C302" s="4"/>
      <c r="D302" s="4"/>
      <c r="E302" s="4"/>
      <c r="F302" s="4"/>
      <c r="G302" s="4"/>
      <c r="H302" s="4"/>
      <c r="I302" s="4"/>
      <c r="J302" s="4"/>
      <c r="K302" s="4"/>
      <c r="L302" s="4"/>
      <c r="M302" s="4"/>
      <c r="N302" s="4"/>
      <c r="O302" s="4"/>
      <c r="P302" s="4"/>
      <c r="Q302" s="4"/>
      <c r="R302" s="4"/>
      <c r="S302" s="4"/>
      <c r="T302" s="4"/>
      <c r="U302" s="4"/>
    </row>
    <row r="303" spans="1:21">
      <c r="A303" s="4"/>
      <c r="B303" s="4"/>
      <c r="C303" s="4"/>
      <c r="D303" s="4"/>
      <c r="E303" s="4"/>
      <c r="F303" s="4"/>
      <c r="G303" s="4"/>
      <c r="H303" s="4"/>
      <c r="I303" s="4"/>
      <c r="J303" s="4"/>
      <c r="K303" s="4"/>
      <c r="L303" s="4"/>
      <c r="M303" s="4"/>
      <c r="N303" s="4"/>
      <c r="O303" s="4"/>
      <c r="P303" s="4"/>
      <c r="Q303" s="4"/>
      <c r="R303" s="4"/>
      <c r="S303" s="4"/>
      <c r="T303" s="4"/>
      <c r="U303" s="4"/>
    </row>
    <row r="304" spans="1:21">
      <c r="A304" s="4"/>
      <c r="B304" s="4"/>
      <c r="C304" s="4"/>
      <c r="D304" s="4"/>
      <c r="E304" s="4"/>
      <c r="F304" s="4"/>
      <c r="G304" s="4"/>
      <c r="H304" s="4"/>
      <c r="I304" s="4"/>
      <c r="J304" s="4"/>
      <c r="K304" s="4"/>
      <c r="L304" s="4"/>
      <c r="M304" s="4"/>
      <c r="N304" s="4"/>
      <c r="O304" s="4"/>
      <c r="P304" s="4"/>
      <c r="Q304" s="4"/>
      <c r="R304" s="4"/>
      <c r="S304" s="4"/>
      <c r="T304" s="4"/>
      <c r="U304" s="4"/>
    </row>
    <row r="305" spans="1:21">
      <c r="A305" s="4"/>
      <c r="B305" s="4"/>
      <c r="C305" s="4"/>
      <c r="D305" s="4"/>
      <c r="E305" s="4"/>
      <c r="F305" s="4"/>
      <c r="G305" s="4"/>
      <c r="H305" s="4"/>
      <c r="I305" s="4"/>
      <c r="J305" s="4"/>
      <c r="K305" s="4"/>
      <c r="L305" s="4"/>
      <c r="M305" s="4"/>
      <c r="N305" s="4"/>
      <c r="O305" s="4"/>
      <c r="P305" s="4"/>
      <c r="Q305" s="4"/>
      <c r="R305" s="4"/>
      <c r="S305" s="4"/>
      <c r="T305" s="4"/>
      <c r="U305" s="4"/>
    </row>
    <row r="306" spans="1:21">
      <c r="A306" s="4"/>
      <c r="B306" s="4"/>
      <c r="C306" s="4"/>
      <c r="D306" s="4"/>
      <c r="E306" s="4"/>
      <c r="F306" s="4"/>
      <c r="G306" s="4"/>
      <c r="H306" s="4"/>
      <c r="I306" s="4"/>
      <c r="J306" s="4"/>
      <c r="K306" s="4"/>
      <c r="L306" s="4"/>
      <c r="M306" s="4"/>
      <c r="N306" s="4"/>
      <c r="O306" s="4"/>
      <c r="P306" s="4"/>
      <c r="Q306" s="4"/>
      <c r="R306" s="4"/>
      <c r="S306" s="4"/>
      <c r="T306" s="4"/>
      <c r="U306" s="4"/>
    </row>
    <row r="307" spans="1:21">
      <c r="A307" s="4"/>
      <c r="B307" s="4"/>
      <c r="C307" s="4"/>
      <c r="D307" s="4"/>
      <c r="E307" s="4"/>
      <c r="F307" s="4"/>
      <c r="G307" s="4"/>
      <c r="H307" s="4"/>
      <c r="I307" s="4"/>
      <c r="J307" s="4"/>
      <c r="K307" s="4"/>
      <c r="L307" s="4"/>
      <c r="M307" s="4"/>
      <c r="N307" s="4"/>
      <c r="O307" s="4"/>
      <c r="P307" s="4"/>
      <c r="Q307" s="4"/>
      <c r="R307" s="4"/>
      <c r="S307" s="4"/>
      <c r="T307" s="4"/>
      <c r="U307" s="4"/>
    </row>
    <row r="308" spans="1:21">
      <c r="A308" s="4"/>
      <c r="B308" s="4"/>
      <c r="C308" s="4"/>
      <c r="D308" s="4"/>
      <c r="E308" s="4"/>
      <c r="F308" s="4"/>
      <c r="G308" s="4"/>
      <c r="H308" s="4"/>
      <c r="I308" s="4"/>
      <c r="J308" s="4"/>
      <c r="K308" s="4"/>
      <c r="L308" s="4"/>
      <c r="M308" s="4"/>
      <c r="N308" s="4"/>
      <c r="O308" s="4"/>
      <c r="P308" s="4"/>
      <c r="Q308" s="4"/>
      <c r="R308" s="4"/>
      <c r="S308" s="4"/>
      <c r="T308" s="4"/>
      <c r="U308" s="4"/>
    </row>
    <row r="309" spans="1:21">
      <c r="A309" s="4"/>
      <c r="B309" s="4"/>
      <c r="C309" s="4"/>
      <c r="D309" s="4"/>
      <c r="E309" s="4"/>
      <c r="F309" s="4"/>
      <c r="G309" s="4"/>
      <c r="H309" s="4"/>
      <c r="I309" s="4"/>
      <c r="J309" s="4"/>
      <c r="K309" s="4"/>
      <c r="L309" s="4"/>
      <c r="M309" s="4"/>
      <c r="N309" s="4"/>
      <c r="O309" s="4"/>
      <c r="P309" s="4"/>
      <c r="Q309" s="4"/>
      <c r="R309" s="4"/>
      <c r="S309" s="4"/>
      <c r="T309" s="4"/>
      <c r="U309" s="4"/>
    </row>
    <row r="310" spans="1:21">
      <c r="A310" s="4"/>
      <c r="B310" s="4"/>
      <c r="C310" s="4"/>
      <c r="D310" s="4"/>
      <c r="E310" s="4"/>
      <c r="F310" s="4"/>
      <c r="G310" s="4"/>
      <c r="H310" s="4"/>
      <c r="I310" s="4"/>
      <c r="J310" s="4"/>
      <c r="K310" s="4"/>
      <c r="L310" s="4"/>
      <c r="M310" s="4"/>
      <c r="N310" s="4"/>
      <c r="O310" s="4"/>
      <c r="P310" s="4"/>
      <c r="Q310" s="4"/>
      <c r="R310" s="4"/>
      <c r="S310" s="4"/>
      <c r="T310" s="4"/>
      <c r="U310" s="4"/>
    </row>
    <row r="311" spans="1:21">
      <c r="A311" s="4"/>
      <c r="B311" s="4"/>
      <c r="C311" s="4"/>
      <c r="D311" s="4"/>
      <c r="E311" s="4"/>
      <c r="F311" s="4"/>
      <c r="G311" s="4"/>
      <c r="H311" s="4"/>
      <c r="I311" s="4"/>
      <c r="J311" s="4"/>
      <c r="K311" s="4"/>
      <c r="L311" s="4"/>
      <c r="M311" s="4"/>
      <c r="N311" s="4"/>
      <c r="O311" s="4"/>
      <c r="P311" s="4"/>
      <c r="Q311" s="4"/>
      <c r="R311" s="4"/>
      <c r="S311" s="4"/>
      <c r="T311" s="4"/>
      <c r="U311" s="4"/>
    </row>
    <row r="312" spans="1:21">
      <c r="A312" s="4"/>
      <c r="B312" s="4"/>
      <c r="C312" s="4"/>
      <c r="D312" s="4"/>
      <c r="E312" s="4"/>
      <c r="F312" s="4"/>
      <c r="G312" s="4"/>
      <c r="H312" s="4"/>
      <c r="I312" s="4"/>
      <c r="J312" s="4"/>
      <c r="K312" s="4"/>
      <c r="L312" s="4"/>
      <c r="M312" s="4"/>
      <c r="N312" s="4"/>
      <c r="O312" s="4"/>
      <c r="P312" s="4"/>
      <c r="Q312" s="4"/>
      <c r="R312" s="4"/>
      <c r="S312" s="4"/>
      <c r="T312" s="4"/>
      <c r="U312" s="4"/>
    </row>
    <row r="313" spans="1:21">
      <c r="A313" s="4"/>
      <c r="B313" s="4"/>
      <c r="C313" s="4"/>
      <c r="D313" s="4"/>
      <c r="E313" s="4"/>
      <c r="F313" s="4"/>
      <c r="G313" s="4"/>
      <c r="H313" s="4"/>
      <c r="I313" s="4"/>
      <c r="J313" s="4"/>
      <c r="K313" s="4"/>
      <c r="L313" s="4"/>
      <c r="M313" s="4"/>
      <c r="N313" s="4"/>
      <c r="O313" s="4"/>
      <c r="P313" s="4"/>
      <c r="Q313" s="4"/>
      <c r="R313" s="4"/>
      <c r="S313" s="4"/>
      <c r="T313" s="4"/>
      <c r="U313" s="4"/>
    </row>
    <row r="314" spans="1:21">
      <c r="A314" s="4"/>
      <c r="B314" s="4"/>
      <c r="C314" s="4"/>
      <c r="D314" s="4"/>
      <c r="E314" s="4"/>
      <c r="F314" s="4"/>
      <c r="G314" s="4"/>
      <c r="H314" s="4"/>
      <c r="I314" s="4"/>
      <c r="J314" s="4"/>
      <c r="K314" s="4"/>
      <c r="L314" s="4"/>
      <c r="M314" s="4"/>
      <c r="N314" s="4"/>
      <c r="O314" s="4"/>
      <c r="P314" s="4"/>
      <c r="Q314" s="4"/>
      <c r="R314" s="4"/>
      <c r="S314" s="4"/>
      <c r="T314" s="4"/>
      <c r="U314" s="4"/>
    </row>
    <row r="315" spans="1:21">
      <c r="A315" s="4"/>
      <c r="B315" s="4"/>
      <c r="C315" s="4"/>
      <c r="D315" s="4"/>
      <c r="E315" s="4"/>
      <c r="F315" s="4"/>
      <c r="G315" s="4"/>
      <c r="H315" s="4"/>
      <c r="I315" s="4"/>
      <c r="J315" s="4"/>
      <c r="K315" s="4"/>
      <c r="L315" s="4"/>
      <c r="M315" s="4"/>
      <c r="N315" s="4"/>
      <c r="O315" s="4"/>
      <c r="P315" s="4"/>
      <c r="Q315" s="4"/>
      <c r="R315" s="4"/>
      <c r="S315" s="4"/>
      <c r="T315" s="4"/>
      <c r="U315" s="4"/>
    </row>
    <row r="316" spans="1:21">
      <c r="A316" s="4"/>
      <c r="B316" s="4"/>
      <c r="C316" s="4"/>
      <c r="D316" s="4"/>
      <c r="E316" s="4"/>
      <c r="F316" s="4"/>
      <c r="G316" s="4"/>
      <c r="H316" s="4"/>
      <c r="I316" s="4"/>
      <c r="J316" s="4"/>
      <c r="K316" s="4"/>
      <c r="L316" s="4"/>
      <c r="M316" s="4"/>
      <c r="N316" s="4"/>
      <c r="O316" s="4"/>
      <c r="P316" s="4"/>
      <c r="Q316" s="4"/>
      <c r="R316" s="4"/>
      <c r="S316" s="4"/>
      <c r="T316" s="4"/>
      <c r="U316" s="4"/>
    </row>
    <row r="317" spans="1:21">
      <c r="A317" s="4"/>
      <c r="B317" s="4"/>
      <c r="C317" s="4"/>
      <c r="D317" s="4"/>
      <c r="E317" s="4"/>
      <c r="F317" s="4"/>
      <c r="G317" s="4"/>
      <c r="H317" s="4"/>
      <c r="I317" s="4"/>
      <c r="J317" s="4"/>
      <c r="K317" s="4"/>
      <c r="L317" s="4"/>
      <c r="M317" s="4"/>
      <c r="N317" s="4"/>
      <c r="O317" s="4"/>
      <c r="P317" s="4"/>
      <c r="Q317" s="4"/>
      <c r="R317" s="4"/>
      <c r="S317" s="4"/>
      <c r="T317" s="4"/>
      <c r="U317" s="4"/>
    </row>
    <row r="318" spans="1:21">
      <c r="A318" s="4"/>
      <c r="B318" s="4"/>
      <c r="C318" s="4"/>
      <c r="D318" s="4"/>
      <c r="E318" s="4"/>
      <c r="F318" s="4"/>
      <c r="G318" s="4"/>
      <c r="H318" s="4"/>
      <c r="I318" s="4"/>
      <c r="J318" s="4"/>
      <c r="K318" s="4"/>
      <c r="L318" s="4"/>
      <c r="M318" s="4"/>
      <c r="N318" s="4"/>
      <c r="O318" s="4"/>
      <c r="P318" s="4"/>
      <c r="Q318" s="4"/>
      <c r="R318" s="4"/>
      <c r="S318" s="4"/>
      <c r="T318" s="4"/>
      <c r="U318" s="4"/>
    </row>
    <row r="319" spans="1:21">
      <c r="A319" s="4"/>
      <c r="B319" s="4"/>
      <c r="C319" s="4"/>
      <c r="D319" s="4"/>
      <c r="E319" s="4"/>
      <c r="F319" s="4"/>
      <c r="G319" s="4"/>
      <c r="H319" s="4"/>
      <c r="I319" s="4"/>
      <c r="J319" s="4"/>
      <c r="K319" s="4"/>
      <c r="L319" s="4"/>
      <c r="M319" s="4"/>
      <c r="N319" s="4"/>
      <c r="O319" s="4"/>
      <c r="P319" s="4"/>
      <c r="Q319" s="4"/>
      <c r="R319" s="4"/>
      <c r="S319" s="4"/>
      <c r="T319" s="4"/>
      <c r="U319" s="4"/>
    </row>
    <row r="320" spans="1:21">
      <c r="A320" s="4"/>
      <c r="B320" s="4"/>
      <c r="C320" s="4"/>
      <c r="D320" s="4"/>
      <c r="E320" s="4"/>
      <c r="F320" s="4"/>
      <c r="G320" s="4"/>
      <c r="H320" s="4"/>
      <c r="I320" s="4"/>
      <c r="J320" s="4"/>
      <c r="K320" s="4"/>
      <c r="L320" s="4"/>
      <c r="M320" s="4"/>
      <c r="N320" s="4"/>
      <c r="O320" s="4"/>
      <c r="P320" s="4"/>
      <c r="Q320" s="4"/>
      <c r="R320" s="4"/>
      <c r="S320" s="4"/>
      <c r="T320" s="4"/>
      <c r="U320" s="4"/>
    </row>
    <row r="321" spans="1:21">
      <c r="A321" s="4"/>
      <c r="B321" s="4"/>
      <c r="C321" s="4"/>
      <c r="D321" s="4"/>
      <c r="E321" s="4"/>
      <c r="F321" s="4"/>
      <c r="G321" s="4"/>
      <c r="H321" s="4"/>
      <c r="I321" s="4"/>
      <c r="J321" s="4"/>
      <c r="K321" s="4"/>
      <c r="L321" s="4"/>
      <c r="M321" s="4"/>
      <c r="N321" s="4"/>
      <c r="O321" s="4"/>
      <c r="P321" s="4"/>
      <c r="Q321" s="4"/>
      <c r="R321" s="4"/>
      <c r="S321" s="4"/>
      <c r="T321" s="4"/>
      <c r="U321" s="4"/>
    </row>
    <row r="322" spans="1:21">
      <c r="A322" s="4"/>
      <c r="B322" s="4"/>
      <c r="C322" s="4"/>
      <c r="D322" s="4"/>
      <c r="E322" s="4"/>
      <c r="F322" s="4"/>
      <c r="G322" s="4"/>
      <c r="H322" s="4"/>
      <c r="I322" s="4"/>
      <c r="J322" s="4"/>
      <c r="K322" s="4"/>
      <c r="L322" s="4"/>
      <c r="M322" s="4"/>
      <c r="N322" s="4"/>
      <c r="O322" s="4"/>
      <c r="P322" s="4"/>
      <c r="Q322" s="4"/>
      <c r="R322" s="4"/>
      <c r="S322" s="4"/>
      <c r="T322" s="4"/>
      <c r="U322" s="4"/>
    </row>
    <row r="323" spans="1:21">
      <c r="A323" s="4"/>
      <c r="B323" s="4"/>
      <c r="C323" s="4"/>
      <c r="D323" s="4"/>
      <c r="E323" s="4"/>
      <c r="F323" s="4"/>
      <c r="G323" s="4"/>
      <c r="H323" s="4"/>
      <c r="I323" s="4"/>
      <c r="J323" s="4"/>
      <c r="K323" s="4"/>
      <c r="L323" s="4"/>
      <c r="M323" s="4"/>
      <c r="N323" s="4"/>
      <c r="O323" s="4"/>
      <c r="P323" s="4"/>
      <c r="Q323" s="4"/>
      <c r="R323" s="4"/>
      <c r="S323" s="4"/>
      <c r="T323" s="4"/>
      <c r="U323" s="4"/>
    </row>
    <row r="324" spans="1:21">
      <c r="A324" s="4"/>
      <c r="B324" s="4"/>
      <c r="C324" s="4"/>
      <c r="D324" s="4"/>
      <c r="E324" s="4"/>
      <c r="F324" s="4"/>
      <c r="G324" s="4"/>
      <c r="H324" s="4"/>
      <c r="I324" s="4"/>
      <c r="J324" s="4"/>
      <c r="K324" s="4"/>
      <c r="L324" s="4"/>
      <c r="M324" s="4"/>
      <c r="N324" s="4"/>
      <c r="O324" s="4"/>
      <c r="P324" s="4"/>
      <c r="Q324" s="4"/>
      <c r="R324" s="4"/>
      <c r="S324" s="4"/>
      <c r="T324" s="4"/>
      <c r="U324" s="4"/>
    </row>
    <row r="325" spans="1:21">
      <c r="A325" s="4"/>
      <c r="B325" s="4"/>
      <c r="C325" s="4"/>
      <c r="D325" s="4"/>
      <c r="E325" s="4"/>
      <c r="F325" s="4"/>
      <c r="G325" s="4"/>
      <c r="H325" s="4"/>
      <c r="I325" s="4"/>
      <c r="J325" s="4"/>
      <c r="K325" s="4"/>
      <c r="L325" s="4"/>
      <c r="M325" s="4"/>
      <c r="N325" s="4"/>
      <c r="O325" s="4"/>
      <c r="P325" s="4"/>
      <c r="Q325" s="4"/>
      <c r="R325" s="4"/>
      <c r="S325" s="4"/>
      <c r="T325" s="4"/>
      <c r="U325" s="4"/>
    </row>
    <row r="326" spans="1:21">
      <c r="A326" s="4"/>
      <c r="B326" s="4"/>
      <c r="C326" s="4"/>
      <c r="D326" s="4"/>
      <c r="E326" s="4"/>
      <c r="F326" s="4"/>
      <c r="G326" s="4"/>
      <c r="H326" s="4"/>
      <c r="I326" s="4"/>
      <c r="J326" s="4"/>
      <c r="K326" s="4"/>
      <c r="L326" s="4"/>
      <c r="M326" s="4"/>
      <c r="N326" s="4"/>
      <c r="O326" s="4"/>
      <c r="P326" s="4"/>
      <c r="Q326" s="4"/>
      <c r="R326" s="4"/>
      <c r="S326" s="4"/>
      <c r="T326" s="4"/>
      <c r="U326" s="4"/>
    </row>
  </sheetData>
  <sheetProtection algorithmName="SHA-512" hashValue="mwdYzFkIRG2pjmA+XF8eyjQVgbSltXgXnRGnXcz1IgFylnT6RuSkZSeUa0Gx/imy+etROCtndt/714gPezksRw==" saltValue="IOZgQk0JHAMTcp4A1eVZPw==" spinCount="100000" sheet="1" objects="1" scenarios="1" formatCells="0" formatColumns="0" formatRows="0" autoFilter="0"/>
  <mergeCells count="2">
    <mergeCell ref="A25:G25"/>
    <mergeCell ref="A26:C26"/>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M42"/>
  <sheetViews>
    <sheetView zoomScale="85" zoomScaleNormal="85" workbookViewId="0">
      <selection activeCell="A8" sqref="A8:A12"/>
    </sheetView>
  </sheetViews>
  <sheetFormatPr defaultColWidth="9" defaultRowHeight="14.25"/>
  <cols>
    <col min="1" max="1" width="29.73046875" style="171" customWidth="1"/>
    <col min="2" max="2" width="27.59765625" style="171" customWidth="1"/>
    <col min="3" max="3" width="20.59765625" style="171" customWidth="1"/>
    <col min="4" max="5" width="30.59765625" style="171" customWidth="1"/>
    <col min="6" max="6" width="24" style="171" customWidth="1"/>
    <col min="7" max="7" width="19.1328125" style="171" customWidth="1"/>
    <col min="8" max="8" width="36.3984375" style="171" customWidth="1"/>
    <col min="9" max="9" width="25.265625" style="171" customWidth="1"/>
    <col min="10" max="10" width="25.73046875" style="171" customWidth="1"/>
    <col min="11" max="16384" width="9" style="171"/>
  </cols>
  <sheetData>
    <row r="1" spans="1:13" ht="52.9" customHeight="1">
      <c r="A1" s="708" t="s">
        <v>562</v>
      </c>
      <c r="B1" s="708"/>
      <c r="C1" s="708"/>
      <c r="D1" s="708"/>
      <c r="E1" s="708"/>
      <c r="F1"/>
    </row>
    <row r="2" spans="1:13" ht="41.25" customHeight="1">
      <c r="A2" s="707" t="s">
        <v>553</v>
      </c>
      <c r="B2" s="707"/>
      <c r="C2" s="707"/>
      <c r="D2" s="707"/>
      <c r="E2" s="707"/>
      <c r="F2"/>
      <c r="M2" s="172"/>
    </row>
    <row r="3" spans="1:13" ht="15.75" customHeight="1">
      <c r="A3" s="706" t="s">
        <v>461</v>
      </c>
      <c r="B3" s="706"/>
      <c r="C3" s="706"/>
      <c r="D3" s="706"/>
      <c r="E3" s="706"/>
      <c r="F3"/>
      <c r="M3" s="172"/>
    </row>
    <row r="4" spans="1:13" ht="15.75">
      <c r="A4" s="173"/>
      <c r="B4" s="173"/>
      <c r="C4" s="174"/>
      <c r="D4" s="174"/>
      <c r="E4" s="174"/>
      <c r="F4" s="174"/>
      <c r="G4" s="174"/>
      <c r="H4" s="174"/>
      <c r="I4" s="174"/>
      <c r="J4" s="174"/>
      <c r="K4" s="174"/>
      <c r="L4" s="174"/>
      <c r="M4" s="174"/>
    </row>
    <row r="5" spans="1:13" ht="15.75">
      <c r="A5" s="709" t="s">
        <v>561</v>
      </c>
      <c r="B5" s="710"/>
      <c r="C5" s="710"/>
      <c r="D5" s="710"/>
      <c r="E5" s="711"/>
      <c r="F5" s="174"/>
      <c r="G5" s="174"/>
      <c r="H5" s="174"/>
      <c r="I5" s="174"/>
      <c r="J5" s="174"/>
      <c r="K5" s="174"/>
      <c r="L5" s="174"/>
      <c r="M5" s="174"/>
    </row>
    <row r="6" spans="1:13" ht="57">
      <c r="A6" s="175" t="s">
        <v>426</v>
      </c>
      <c r="B6" s="443" t="s">
        <v>558</v>
      </c>
      <c r="C6" s="175" t="s">
        <v>427</v>
      </c>
      <c r="D6" s="175" t="s">
        <v>459</v>
      </c>
      <c r="E6" s="406" t="s">
        <v>536</v>
      </c>
      <c r="G6" s="174"/>
      <c r="H6" s="174"/>
      <c r="I6" s="174"/>
      <c r="J6" s="174"/>
      <c r="K6" s="174"/>
      <c r="L6" s="174"/>
      <c r="M6" s="174"/>
    </row>
    <row r="7" spans="1:13" s="162" customFormat="1" ht="15.75" hidden="1">
      <c r="A7" s="187"/>
      <c r="B7" s="188"/>
      <c r="C7" s="189"/>
      <c r="D7" s="189"/>
      <c r="E7" s="436"/>
      <c r="G7" s="165"/>
      <c r="H7" s="165"/>
      <c r="I7" s="165"/>
      <c r="J7" s="165"/>
      <c r="K7" s="165"/>
      <c r="L7" s="165"/>
      <c r="M7" s="165"/>
    </row>
    <row r="8" spans="1:13" s="162" customFormat="1" ht="15.75">
      <c r="A8" s="712" t="s">
        <v>974</v>
      </c>
      <c r="B8" s="188" t="s">
        <v>590</v>
      </c>
      <c r="C8" s="189">
        <v>23441.93</v>
      </c>
      <c r="D8" s="189">
        <v>1595</v>
      </c>
      <c r="E8" s="491">
        <v>0</v>
      </c>
      <c r="G8" s="165"/>
      <c r="H8" s="165"/>
      <c r="I8" s="165"/>
      <c r="J8" s="165"/>
      <c r="K8" s="165"/>
      <c r="L8" s="165"/>
      <c r="M8" s="165"/>
    </row>
    <row r="9" spans="1:13" s="162" customFormat="1" ht="15.75">
      <c r="A9" s="713"/>
      <c r="B9" s="188" t="s">
        <v>584</v>
      </c>
      <c r="C9" s="189">
        <v>32668.83</v>
      </c>
      <c r="D9" s="189">
        <v>6906.5</v>
      </c>
      <c r="E9" s="491">
        <v>0</v>
      </c>
      <c r="G9" s="165"/>
      <c r="H9" s="165"/>
      <c r="I9" s="165"/>
      <c r="J9" s="165"/>
      <c r="K9" s="165"/>
      <c r="L9" s="165"/>
      <c r="M9" s="165"/>
    </row>
    <row r="10" spans="1:13" s="162" customFormat="1" ht="15.75">
      <c r="A10" s="713"/>
      <c r="B10" s="188" t="s">
        <v>583</v>
      </c>
      <c r="C10" s="189">
        <v>35315.980000000003</v>
      </c>
      <c r="D10" s="189">
        <v>3453</v>
      </c>
      <c r="E10" s="491">
        <v>0</v>
      </c>
      <c r="G10" s="165"/>
      <c r="H10" s="165"/>
      <c r="I10" s="165"/>
      <c r="J10" s="165"/>
      <c r="K10" s="165"/>
      <c r="L10" s="165"/>
      <c r="M10" s="165"/>
    </row>
    <row r="11" spans="1:13" s="162" customFormat="1" ht="15.75">
      <c r="A11" s="713"/>
      <c r="B11" s="188" t="s">
        <v>582</v>
      </c>
      <c r="C11" s="189">
        <v>39001.14</v>
      </c>
      <c r="D11" s="189">
        <v>572</v>
      </c>
      <c r="E11" s="491">
        <v>0</v>
      </c>
      <c r="G11" s="165"/>
      <c r="H11" s="165"/>
      <c r="I11" s="165"/>
      <c r="J11" s="165"/>
      <c r="K11" s="165"/>
      <c r="L11" s="165"/>
      <c r="M11" s="165"/>
    </row>
    <row r="12" spans="1:13" s="162" customFormat="1" ht="15.75">
      <c r="A12" s="714"/>
      <c r="B12" s="188" t="s">
        <v>578</v>
      </c>
      <c r="C12" s="189">
        <v>922.26</v>
      </c>
      <c r="D12" s="189">
        <v>1048</v>
      </c>
      <c r="E12" s="492">
        <v>125.74</v>
      </c>
      <c r="G12" s="165"/>
      <c r="H12" s="165"/>
      <c r="I12" s="165"/>
      <c r="J12" s="165"/>
      <c r="K12" s="165"/>
      <c r="L12" s="165"/>
      <c r="M12" s="165"/>
    </row>
    <row r="13" spans="1:13" s="162" customFormat="1" ht="15.75">
      <c r="A13" s="493" t="s">
        <v>975</v>
      </c>
      <c r="B13" s="494" t="s">
        <v>579</v>
      </c>
      <c r="C13" s="495">
        <v>31.69</v>
      </c>
      <c r="D13" s="495">
        <v>4299</v>
      </c>
      <c r="E13" s="496">
        <v>4267.3100000000004</v>
      </c>
      <c r="G13" s="165"/>
      <c r="H13" s="165"/>
      <c r="I13" s="165"/>
      <c r="J13" s="165"/>
      <c r="K13" s="165"/>
      <c r="L13" s="165"/>
      <c r="M13" s="165"/>
    </row>
    <row r="14" spans="1:13" s="162" customFormat="1" ht="15.75">
      <c r="A14" s="187" t="s">
        <v>976</v>
      </c>
      <c r="B14" s="188" t="s">
        <v>579</v>
      </c>
      <c r="C14" s="189">
        <v>28.89</v>
      </c>
      <c r="D14" s="189">
        <v>52644</v>
      </c>
      <c r="E14" s="492">
        <v>52615.11</v>
      </c>
      <c r="G14" s="165"/>
      <c r="H14" s="165"/>
      <c r="I14" s="165"/>
      <c r="J14" s="165"/>
      <c r="K14" s="165"/>
      <c r="L14" s="165"/>
      <c r="M14" s="165"/>
    </row>
    <row r="15" spans="1:13" s="162" customFormat="1" ht="42.75">
      <c r="A15" s="715" t="s">
        <v>977</v>
      </c>
      <c r="B15" s="494" t="s">
        <v>587</v>
      </c>
      <c r="C15" s="495">
        <v>13232.56</v>
      </c>
      <c r="D15" s="495">
        <v>79113</v>
      </c>
      <c r="E15" s="496">
        <v>65880.44</v>
      </c>
      <c r="G15" s="165"/>
      <c r="H15" s="165"/>
      <c r="I15" s="165"/>
      <c r="J15" s="165"/>
      <c r="K15" s="165"/>
      <c r="L15" s="165"/>
      <c r="M15" s="165"/>
    </row>
    <row r="16" spans="1:13" s="162" customFormat="1" ht="42.75">
      <c r="A16" s="716"/>
      <c r="B16" s="494" t="s">
        <v>586</v>
      </c>
      <c r="C16" s="495">
        <v>30224.49</v>
      </c>
      <c r="D16" s="495">
        <v>79113</v>
      </c>
      <c r="E16" s="496">
        <v>48888.51</v>
      </c>
      <c r="G16" s="165"/>
      <c r="H16" s="165"/>
      <c r="I16" s="165"/>
      <c r="J16" s="165"/>
      <c r="K16" s="165"/>
      <c r="L16" s="165"/>
      <c r="M16" s="165"/>
    </row>
    <row r="17" spans="1:13" s="162" customFormat="1" ht="42.75">
      <c r="A17" s="716"/>
      <c r="B17" s="494" t="s">
        <v>588</v>
      </c>
      <c r="C17" s="495">
        <v>19499.060000000001</v>
      </c>
      <c r="D17" s="495">
        <v>105386</v>
      </c>
      <c r="E17" s="496">
        <v>85886.94</v>
      </c>
      <c r="G17" s="165"/>
      <c r="H17" s="165"/>
      <c r="I17" s="165"/>
      <c r="J17" s="165"/>
      <c r="K17" s="165"/>
      <c r="L17" s="165"/>
      <c r="M17" s="165"/>
    </row>
    <row r="18" spans="1:13" s="162" customFormat="1" ht="15.75">
      <c r="A18" s="716"/>
      <c r="B18" s="494" t="s">
        <v>585</v>
      </c>
      <c r="C18" s="495">
        <v>33306.85</v>
      </c>
      <c r="D18" s="495">
        <v>105386</v>
      </c>
      <c r="E18" s="496">
        <v>72079.149999999994</v>
      </c>
      <c r="G18" s="165"/>
      <c r="H18" s="165"/>
      <c r="I18" s="165"/>
      <c r="J18" s="165"/>
      <c r="K18" s="165"/>
      <c r="L18" s="165"/>
      <c r="M18" s="165"/>
    </row>
    <row r="19" spans="1:13" s="162" customFormat="1" ht="15.75">
      <c r="A19" s="716"/>
      <c r="B19" s="494" t="s">
        <v>582</v>
      </c>
      <c r="C19" s="495">
        <v>11486.19</v>
      </c>
      <c r="D19" s="495">
        <v>52742</v>
      </c>
      <c r="E19" s="496">
        <v>41255.81</v>
      </c>
      <c r="G19" s="165"/>
      <c r="H19" s="165"/>
      <c r="I19" s="165"/>
      <c r="J19" s="165"/>
      <c r="K19" s="165"/>
      <c r="L19" s="165"/>
      <c r="M19" s="165"/>
    </row>
    <row r="20" spans="1:13" s="162" customFormat="1" ht="15.75">
      <c r="A20" s="717"/>
      <c r="B20" s="494" t="s">
        <v>589</v>
      </c>
      <c r="C20" s="495">
        <v>43198.25</v>
      </c>
      <c r="D20" s="495">
        <v>7408</v>
      </c>
      <c r="E20" s="497">
        <v>0</v>
      </c>
      <c r="G20" s="165"/>
      <c r="H20" s="165"/>
      <c r="I20" s="165"/>
      <c r="J20" s="165"/>
      <c r="K20" s="165"/>
      <c r="L20" s="165"/>
      <c r="M20" s="165"/>
    </row>
    <row r="21" spans="1:13" s="162" customFormat="1" ht="15.75">
      <c r="A21" s="187" t="s">
        <v>978</v>
      </c>
      <c r="B21" s="188" t="s">
        <v>579</v>
      </c>
      <c r="C21" s="189">
        <v>18.22</v>
      </c>
      <c r="D21" s="189">
        <v>52742</v>
      </c>
      <c r="E21" s="492">
        <v>52723.78</v>
      </c>
      <c r="G21" s="165"/>
      <c r="H21" s="165"/>
      <c r="I21" s="165"/>
      <c r="J21" s="165"/>
      <c r="K21" s="165"/>
      <c r="L21" s="165"/>
      <c r="M21" s="165"/>
    </row>
    <row r="22" spans="1:13" s="162" customFormat="1" ht="15.75">
      <c r="A22" s="493" t="s">
        <v>979</v>
      </c>
      <c r="B22" s="494" t="s">
        <v>579</v>
      </c>
      <c r="C22" s="495">
        <v>28.29</v>
      </c>
      <c r="D22" s="495">
        <v>26273</v>
      </c>
      <c r="E22" s="496">
        <v>26244.71</v>
      </c>
      <c r="G22" s="165"/>
      <c r="H22" s="165"/>
      <c r="I22" s="165"/>
      <c r="J22" s="165"/>
      <c r="K22" s="165"/>
      <c r="L22" s="165"/>
      <c r="M22" s="165"/>
    </row>
    <row r="23" spans="1:13" s="162" customFormat="1" ht="15.75">
      <c r="A23" s="187" t="s">
        <v>980</v>
      </c>
      <c r="B23" s="188" t="s">
        <v>579</v>
      </c>
      <c r="C23" s="189">
        <v>25.66</v>
      </c>
      <c r="D23" s="189">
        <v>10557</v>
      </c>
      <c r="E23" s="492">
        <v>10531.34</v>
      </c>
      <c r="G23" s="165"/>
      <c r="H23" s="165"/>
      <c r="I23" s="165"/>
      <c r="J23" s="165"/>
      <c r="K23" s="165"/>
      <c r="L23" s="165"/>
      <c r="M23" s="165"/>
    </row>
    <row r="24" spans="1:13" s="162" customFormat="1" ht="42.75">
      <c r="A24" s="715" t="s">
        <v>981</v>
      </c>
      <c r="B24" s="494" t="s">
        <v>591</v>
      </c>
      <c r="C24" s="495">
        <v>15126.88</v>
      </c>
      <c r="D24" s="495">
        <v>36036.5</v>
      </c>
      <c r="E24" s="496">
        <v>20909.62</v>
      </c>
      <c r="G24" s="165"/>
      <c r="H24" s="165"/>
      <c r="I24" s="165"/>
      <c r="J24" s="165"/>
      <c r="K24" s="165"/>
      <c r="L24" s="165"/>
      <c r="M24" s="165"/>
    </row>
    <row r="25" spans="1:13" s="162" customFormat="1" ht="15.75">
      <c r="A25" s="716"/>
      <c r="B25" s="494" t="s">
        <v>590</v>
      </c>
      <c r="C25" s="495">
        <v>43214.07</v>
      </c>
      <c r="D25" s="495">
        <v>16285.5</v>
      </c>
      <c r="E25" s="497">
        <v>0</v>
      </c>
      <c r="G25" s="165"/>
      <c r="H25" s="165"/>
      <c r="I25" s="165"/>
      <c r="J25" s="165"/>
      <c r="K25" s="165"/>
      <c r="L25" s="165"/>
      <c r="M25" s="165"/>
    </row>
    <row r="26" spans="1:13" s="162" customFormat="1" ht="15.75">
      <c r="A26" s="716"/>
      <c r="B26" s="494" t="s">
        <v>584</v>
      </c>
      <c r="C26" s="495">
        <v>38061.879999999997</v>
      </c>
      <c r="D26" s="495">
        <v>16297.5</v>
      </c>
      <c r="E26" s="497">
        <v>0</v>
      </c>
      <c r="G26" s="165"/>
      <c r="H26" s="165"/>
      <c r="I26" s="165"/>
      <c r="J26" s="165"/>
      <c r="K26" s="165"/>
      <c r="L26" s="165"/>
      <c r="M26" s="165"/>
    </row>
    <row r="27" spans="1:13" s="162" customFormat="1" ht="15.75">
      <c r="A27" s="716"/>
      <c r="B27" s="494" t="s">
        <v>582</v>
      </c>
      <c r="C27" s="495">
        <v>41217.33</v>
      </c>
      <c r="D27" s="495">
        <v>7681.5</v>
      </c>
      <c r="E27" s="497">
        <v>0</v>
      </c>
      <c r="G27" s="165"/>
      <c r="H27" s="165"/>
      <c r="I27" s="165"/>
      <c r="J27" s="165"/>
      <c r="K27" s="165"/>
      <c r="L27" s="165"/>
      <c r="M27" s="165"/>
    </row>
    <row r="28" spans="1:13" s="162" customFormat="1" ht="15.75">
      <c r="A28" s="717"/>
      <c r="B28" s="494" t="s">
        <v>589</v>
      </c>
      <c r="C28" s="495">
        <v>36878.18</v>
      </c>
      <c r="D28" s="495">
        <v>16296</v>
      </c>
      <c r="E28" s="497">
        <v>0</v>
      </c>
      <c r="G28" s="165"/>
      <c r="H28" s="165"/>
      <c r="I28" s="165"/>
      <c r="J28" s="165"/>
      <c r="K28" s="165"/>
      <c r="L28" s="165"/>
      <c r="M28" s="165"/>
    </row>
    <row r="29" spans="1:13" s="162" customFormat="1" ht="15.75">
      <c r="A29" s="187" t="s">
        <v>982</v>
      </c>
      <c r="B29" s="188" t="s">
        <v>579</v>
      </c>
      <c r="C29" s="189">
        <v>18.45</v>
      </c>
      <c r="D29" s="189">
        <v>10557</v>
      </c>
      <c r="E29" s="492">
        <v>10538.55</v>
      </c>
      <c r="G29" s="165"/>
      <c r="H29" s="165"/>
      <c r="I29" s="165"/>
      <c r="J29" s="165"/>
      <c r="K29" s="165"/>
      <c r="L29" s="165"/>
      <c r="M29" s="165"/>
    </row>
    <row r="30" spans="1:13" s="162" customFormat="1" ht="15.75">
      <c r="A30" s="493" t="s">
        <v>983</v>
      </c>
      <c r="B30" s="494" t="s">
        <v>579</v>
      </c>
      <c r="C30" s="495">
        <v>30.35</v>
      </c>
      <c r="D30" s="495">
        <v>10865</v>
      </c>
      <c r="E30" s="496">
        <v>10834.65</v>
      </c>
      <c r="G30" s="165"/>
      <c r="H30" s="165"/>
      <c r="I30" s="165"/>
      <c r="J30" s="165"/>
      <c r="K30" s="165"/>
      <c r="L30" s="165"/>
      <c r="M30" s="165"/>
    </row>
    <row r="31" spans="1:13" s="162" customFormat="1" ht="15.75">
      <c r="A31" s="187" t="s">
        <v>984</v>
      </c>
      <c r="B31" s="188" t="s">
        <v>579</v>
      </c>
      <c r="C31" s="189">
        <v>31.76</v>
      </c>
      <c r="D31" s="189">
        <v>2949</v>
      </c>
      <c r="E31" s="492">
        <v>2917.24</v>
      </c>
      <c r="G31" s="165"/>
      <c r="H31" s="165"/>
      <c r="I31" s="165"/>
      <c r="J31" s="165"/>
      <c r="K31" s="165"/>
      <c r="L31" s="165"/>
      <c r="M31" s="165"/>
    </row>
    <row r="32" spans="1:13" s="162" customFormat="1" ht="15.75">
      <c r="A32" s="715" t="s">
        <v>985</v>
      </c>
      <c r="B32" s="494" t="s">
        <v>590</v>
      </c>
      <c r="C32" s="495">
        <v>46275.67</v>
      </c>
      <c r="D32" s="495">
        <v>6666.5</v>
      </c>
      <c r="E32" s="497">
        <v>0</v>
      </c>
      <c r="G32" s="165"/>
      <c r="H32" s="165"/>
      <c r="I32" s="165"/>
      <c r="J32" s="165"/>
      <c r="K32" s="165"/>
      <c r="L32" s="165"/>
      <c r="M32" s="165"/>
    </row>
    <row r="33" spans="1:13" s="162" customFormat="1" ht="15.75">
      <c r="A33" s="716"/>
      <c r="B33" s="494" t="s">
        <v>584</v>
      </c>
      <c r="C33" s="495">
        <v>31216.22</v>
      </c>
      <c r="D33" s="495">
        <v>13420.5</v>
      </c>
      <c r="E33" s="497">
        <v>0</v>
      </c>
      <c r="G33" s="165"/>
      <c r="H33" s="165"/>
      <c r="I33" s="165"/>
      <c r="J33" s="165"/>
      <c r="K33" s="165"/>
      <c r="L33" s="165"/>
      <c r="M33" s="165"/>
    </row>
    <row r="34" spans="1:13" s="162" customFormat="1" ht="15.75">
      <c r="A34" s="716"/>
      <c r="B34" s="494" t="s">
        <v>583</v>
      </c>
      <c r="C34" s="495">
        <v>35059.269999999997</v>
      </c>
      <c r="D34" s="495">
        <v>5420.5</v>
      </c>
      <c r="E34" s="497">
        <v>0</v>
      </c>
      <c r="G34" s="165"/>
      <c r="H34" s="165"/>
      <c r="I34" s="165"/>
      <c r="J34" s="165"/>
      <c r="K34" s="165"/>
      <c r="L34" s="165"/>
      <c r="M34" s="165"/>
    </row>
    <row r="35" spans="1:13" s="162" customFormat="1" ht="15.75">
      <c r="A35" s="717"/>
      <c r="B35" s="494" t="s">
        <v>582</v>
      </c>
      <c r="C35" s="495">
        <v>43809.86</v>
      </c>
      <c r="D35" s="495">
        <v>7890.5</v>
      </c>
      <c r="E35" s="497">
        <v>0</v>
      </c>
      <c r="G35" s="165"/>
      <c r="H35" s="165"/>
      <c r="I35" s="165"/>
      <c r="J35" s="165"/>
      <c r="K35" s="165"/>
      <c r="L35" s="165"/>
      <c r="M35" s="165"/>
    </row>
    <row r="36" spans="1:13" s="162" customFormat="1" ht="15.75">
      <c r="A36" s="187" t="s">
        <v>986</v>
      </c>
      <c r="B36" s="188" t="s">
        <v>579</v>
      </c>
      <c r="C36" s="189">
        <v>32.950000000000003</v>
      </c>
      <c r="D36" s="189">
        <v>2691.5</v>
      </c>
      <c r="E36" s="492">
        <v>2658.55</v>
      </c>
      <c r="G36" s="165"/>
      <c r="H36" s="165"/>
      <c r="I36" s="165"/>
      <c r="J36" s="165"/>
      <c r="K36" s="165"/>
      <c r="L36" s="165"/>
      <c r="M36" s="165"/>
    </row>
    <row r="37" spans="1:13" s="162" customFormat="1" ht="15.75">
      <c r="A37" s="493" t="s">
        <v>987</v>
      </c>
      <c r="B37" s="494" t="s">
        <v>579</v>
      </c>
      <c r="C37" s="495">
        <v>29.62</v>
      </c>
      <c r="D37" s="495">
        <v>200</v>
      </c>
      <c r="E37" s="496">
        <v>170.38</v>
      </c>
      <c r="G37" s="165"/>
      <c r="H37" s="165"/>
      <c r="I37" s="165"/>
      <c r="J37" s="165"/>
      <c r="K37" s="165"/>
      <c r="L37" s="165"/>
      <c r="M37" s="165"/>
    </row>
    <row r="38" spans="1:13" s="162" customFormat="1" ht="15.75">
      <c r="A38" s="712" t="s">
        <v>988</v>
      </c>
      <c r="B38" s="188" t="s">
        <v>590</v>
      </c>
      <c r="C38" s="189">
        <v>37910.879999999997</v>
      </c>
      <c r="D38" s="189">
        <v>10230</v>
      </c>
      <c r="E38" s="491">
        <v>0</v>
      </c>
      <c r="G38" s="165"/>
      <c r="H38" s="165"/>
      <c r="I38" s="165"/>
      <c r="J38" s="165"/>
      <c r="K38" s="165"/>
      <c r="L38" s="165"/>
      <c r="M38" s="165"/>
    </row>
    <row r="39" spans="1:13" s="162" customFormat="1" ht="15.75">
      <c r="A39" s="713"/>
      <c r="B39" s="188" t="s">
        <v>583</v>
      </c>
      <c r="C39" s="189">
        <v>46057.9</v>
      </c>
      <c r="D39" s="189">
        <v>1450</v>
      </c>
      <c r="E39" s="491">
        <v>0</v>
      </c>
      <c r="G39" s="165"/>
      <c r="H39" s="165"/>
      <c r="I39" s="165"/>
      <c r="J39" s="165"/>
      <c r="K39" s="165"/>
      <c r="L39" s="165"/>
      <c r="M39" s="165"/>
    </row>
    <row r="40" spans="1:13" s="162" customFormat="1" ht="15.75">
      <c r="A40" s="714"/>
      <c r="B40" s="188" t="s">
        <v>592</v>
      </c>
      <c r="C40" s="189">
        <v>15241.98</v>
      </c>
      <c r="D40" s="189">
        <v>3322</v>
      </c>
      <c r="E40" s="491">
        <v>0</v>
      </c>
      <c r="G40" s="165"/>
      <c r="H40" s="165"/>
      <c r="I40" s="165"/>
      <c r="J40" s="165"/>
      <c r="K40" s="165"/>
      <c r="L40" s="165"/>
      <c r="M40" s="165"/>
    </row>
    <row r="41" spans="1:13" s="162" customFormat="1" ht="15.75">
      <c r="A41" s="493" t="s">
        <v>989</v>
      </c>
      <c r="B41" s="494" t="s">
        <v>579</v>
      </c>
      <c r="C41" s="495">
        <v>15.8</v>
      </c>
      <c r="D41" s="495">
        <v>200</v>
      </c>
      <c r="E41" s="496">
        <v>184.2</v>
      </c>
      <c r="G41" s="165"/>
      <c r="H41" s="165"/>
      <c r="I41" s="165"/>
      <c r="J41" s="165"/>
      <c r="K41" s="165"/>
      <c r="L41" s="165"/>
      <c r="M41" s="165"/>
    </row>
    <row r="42" spans="1:13">
      <c r="A42" s="705" t="s">
        <v>554</v>
      </c>
      <c r="B42" s="705"/>
      <c r="C42" s="705"/>
      <c r="D42" s="705"/>
      <c r="E42" s="498">
        <v>508712.03</v>
      </c>
    </row>
  </sheetData>
  <mergeCells count="10">
    <mergeCell ref="A42:D42"/>
    <mergeCell ref="A3:E3"/>
    <mergeCell ref="A2:E2"/>
    <mergeCell ref="A1:E1"/>
    <mergeCell ref="A5:E5"/>
    <mergeCell ref="A8:A12"/>
    <mergeCell ref="A15:A20"/>
    <mergeCell ref="A24:A28"/>
    <mergeCell ref="A32:A35"/>
    <mergeCell ref="A38:A40"/>
  </mergeCells>
  <hyperlinks>
    <hyperlink ref="A3:E3" r:id="rId1" display="Learn more about additional on-premises storage space requirement" xr:uid="{00000000-0004-0000-0800-000000000000}"/>
  </hyperlink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M314"/>
  <sheetViews>
    <sheetView zoomScale="85" zoomScaleNormal="85" workbookViewId="0">
      <selection activeCell="A6" sqref="A6:E6"/>
    </sheetView>
  </sheetViews>
  <sheetFormatPr defaultColWidth="9" defaultRowHeight="14.25"/>
  <cols>
    <col min="1" max="2" width="29.73046875" style="162" customWidth="1"/>
    <col min="3" max="3" width="36.265625" style="162" customWidth="1"/>
    <col min="4" max="5" width="30.59765625" style="162" customWidth="1"/>
    <col min="6" max="6" width="27.3984375" style="162" customWidth="1"/>
    <col min="7" max="7" width="24.59765625" style="162" customWidth="1"/>
    <col min="8" max="8" width="38" style="162" customWidth="1"/>
    <col min="9" max="9" width="27.86328125" style="162" customWidth="1"/>
    <col min="10" max="10" width="27.265625" style="162" customWidth="1"/>
    <col min="11" max="16384" width="9" style="162"/>
  </cols>
  <sheetData>
    <row r="1" spans="1:13" ht="51" customHeight="1">
      <c r="A1" s="725" t="s">
        <v>563</v>
      </c>
      <c r="B1" s="725"/>
      <c r="C1" s="725"/>
      <c r="D1" s="725"/>
      <c r="E1" s="725"/>
      <c r="F1" s="725"/>
    </row>
    <row r="2" spans="1:13" ht="41.25" customHeight="1">
      <c r="A2" s="707" t="s">
        <v>564</v>
      </c>
      <c r="B2" s="707"/>
      <c r="C2" s="707"/>
      <c r="D2" s="707"/>
      <c r="E2" s="707"/>
      <c r="F2" s="707"/>
      <c r="M2" s="163"/>
    </row>
    <row r="3" spans="1:13" ht="15.75">
      <c r="A3" s="706" t="s">
        <v>527</v>
      </c>
      <c r="B3" s="706"/>
      <c r="C3" s="706"/>
      <c r="D3" s="706"/>
      <c r="E3" s="706"/>
      <c r="F3" s="706"/>
      <c r="M3" s="163"/>
    </row>
    <row r="4" spans="1:13" ht="15.75">
      <c r="A4" s="164"/>
      <c r="B4" s="164"/>
      <c r="C4" s="165"/>
      <c r="D4" s="165"/>
      <c r="E4" s="165"/>
      <c r="F4" s="165"/>
      <c r="G4" s="165"/>
      <c r="H4" s="165"/>
      <c r="I4" s="165"/>
      <c r="J4" s="165"/>
      <c r="K4" s="165"/>
      <c r="L4" s="165"/>
      <c r="M4" s="165"/>
    </row>
    <row r="5" spans="1:13" ht="15.75">
      <c r="A5" s="726" t="s">
        <v>428</v>
      </c>
      <c r="B5" s="726"/>
      <c r="C5" s="726"/>
      <c r="D5" s="726"/>
      <c r="E5" s="726"/>
      <c r="F5" s="726"/>
      <c r="G5" s="165"/>
      <c r="H5" s="165"/>
      <c r="I5" s="165"/>
      <c r="J5" s="165"/>
      <c r="K5" s="165"/>
      <c r="L5" s="165"/>
      <c r="M5" s="165"/>
    </row>
    <row r="6" spans="1:13" ht="15.75">
      <c r="A6" s="727" t="s">
        <v>510</v>
      </c>
      <c r="B6" s="728"/>
      <c r="C6" s="728"/>
      <c r="D6" s="728"/>
      <c r="E6" s="729"/>
      <c r="F6" s="467">
        <v>626</v>
      </c>
      <c r="G6" s="165"/>
      <c r="H6" s="165"/>
      <c r="I6" s="165"/>
      <c r="J6" s="165"/>
      <c r="K6" s="165"/>
      <c r="L6" s="165"/>
      <c r="M6" s="165"/>
    </row>
    <row r="7" spans="1:13" ht="15.75">
      <c r="A7" s="727" t="s">
        <v>439</v>
      </c>
      <c r="B7" s="728"/>
      <c r="C7" s="728"/>
      <c r="D7" s="728"/>
      <c r="E7" s="729"/>
      <c r="F7" s="467">
        <v>19</v>
      </c>
      <c r="G7" s="165"/>
      <c r="H7" s="165"/>
      <c r="I7" s="165"/>
      <c r="J7" s="165"/>
      <c r="K7" s="165"/>
      <c r="L7" s="165"/>
      <c r="M7" s="165"/>
    </row>
    <row r="8" spans="1:13" ht="15.75">
      <c r="A8" s="165"/>
      <c r="B8" s="165"/>
      <c r="C8" s="165"/>
      <c r="D8" s="165"/>
      <c r="E8" s="165"/>
      <c r="F8" s="165"/>
      <c r="G8" s="165"/>
      <c r="H8" s="165"/>
      <c r="I8" s="165"/>
      <c r="J8" s="165"/>
      <c r="K8" s="165"/>
      <c r="L8" s="165"/>
      <c r="M8" s="165"/>
    </row>
    <row r="10" spans="1:13">
      <c r="A10" s="718" t="s">
        <v>576</v>
      </c>
      <c r="B10" s="719"/>
      <c r="C10" s="720"/>
      <c r="D10" s="166"/>
      <c r="E10" s="721" t="s">
        <v>430</v>
      </c>
      <c r="F10" s="721"/>
      <c r="G10" s="721"/>
      <c r="H10" s="722"/>
      <c r="I10" s="723" t="s">
        <v>429</v>
      </c>
      <c r="J10" s="724"/>
    </row>
    <row r="11" spans="1:13" ht="42.75">
      <c r="A11" s="168" t="s">
        <v>426</v>
      </c>
      <c r="B11" s="167" t="s">
        <v>557</v>
      </c>
      <c r="C11" s="168" t="s">
        <v>425</v>
      </c>
      <c r="D11" s="169" t="s">
        <v>556</v>
      </c>
      <c r="E11" s="169" t="s">
        <v>537</v>
      </c>
      <c r="F11" s="169" t="s">
        <v>512</v>
      </c>
      <c r="G11" s="169" t="s">
        <v>513</v>
      </c>
      <c r="H11" s="169" t="s">
        <v>514</v>
      </c>
      <c r="I11" s="169" t="s">
        <v>515</v>
      </c>
      <c r="J11" s="169" t="s">
        <v>516</v>
      </c>
    </row>
    <row r="12" spans="1:13">
      <c r="A12" s="742" t="s">
        <v>975</v>
      </c>
      <c r="B12" s="387" t="s">
        <v>1173</v>
      </c>
      <c r="C12" s="441"/>
      <c r="D12" s="470" t="s">
        <v>578</v>
      </c>
      <c r="E12" s="471">
        <v>922.26</v>
      </c>
      <c r="F12" s="471">
        <v>121</v>
      </c>
      <c r="G12" s="471">
        <v>60.5</v>
      </c>
      <c r="H12" s="472">
        <v>0</v>
      </c>
      <c r="I12" s="437">
        <v>0.3</v>
      </c>
      <c r="J12" s="437">
        <v>5.85</v>
      </c>
    </row>
    <row r="13" spans="1:13">
      <c r="A13" s="743"/>
      <c r="B13" s="387" t="s">
        <v>580</v>
      </c>
      <c r="C13" s="441" t="s">
        <v>581</v>
      </c>
      <c r="D13" s="473" t="s">
        <v>579</v>
      </c>
      <c r="E13" s="474">
        <v>31.69</v>
      </c>
      <c r="F13" s="474">
        <v>4299</v>
      </c>
      <c r="G13" s="474">
        <v>2149.5</v>
      </c>
      <c r="H13" s="475">
        <v>4267.3100000000004</v>
      </c>
      <c r="I13" s="437">
        <v>0.23</v>
      </c>
      <c r="J13" s="437">
        <v>20.87</v>
      </c>
    </row>
    <row r="14" spans="1:13" ht="15" customHeight="1">
      <c r="A14" s="733" t="s">
        <v>1162</v>
      </c>
      <c r="B14" s="476" t="s">
        <v>1174</v>
      </c>
      <c r="C14" s="477"/>
      <c r="D14" s="478" t="s">
        <v>582</v>
      </c>
      <c r="E14" s="479">
        <v>39001.14</v>
      </c>
      <c r="F14" s="479">
        <v>250</v>
      </c>
      <c r="G14" s="479">
        <v>125</v>
      </c>
      <c r="H14" s="480">
        <v>0</v>
      </c>
      <c r="I14" s="481">
        <v>0.03</v>
      </c>
      <c r="J14" s="481">
        <v>1.81</v>
      </c>
    </row>
    <row r="15" spans="1:13">
      <c r="A15" s="735"/>
      <c r="B15" s="476" t="s">
        <v>1175</v>
      </c>
      <c r="C15" s="477"/>
      <c r="D15" s="478" t="s">
        <v>583</v>
      </c>
      <c r="E15" s="479">
        <v>35315.980000000003</v>
      </c>
      <c r="F15" s="479">
        <v>450</v>
      </c>
      <c r="G15" s="479">
        <v>225</v>
      </c>
      <c r="H15" s="480">
        <v>0</v>
      </c>
      <c r="I15" s="481">
        <v>0.03</v>
      </c>
      <c r="J15" s="481">
        <v>4.8899999999999997</v>
      </c>
    </row>
    <row r="16" spans="1:13">
      <c r="A16" s="161" t="s">
        <v>1163</v>
      </c>
      <c r="B16" s="387" t="s">
        <v>1176</v>
      </c>
      <c r="C16" s="441"/>
      <c r="D16" s="470" t="s">
        <v>584</v>
      </c>
      <c r="E16" s="471">
        <v>32668.83</v>
      </c>
      <c r="F16" s="471">
        <v>1001</v>
      </c>
      <c r="G16" s="471">
        <v>500.5</v>
      </c>
      <c r="H16" s="472">
        <v>0</v>
      </c>
      <c r="I16" s="437">
        <v>0.06</v>
      </c>
      <c r="J16" s="437">
        <v>1.08</v>
      </c>
    </row>
    <row r="17" spans="1:10">
      <c r="A17" s="733" t="s">
        <v>976</v>
      </c>
      <c r="B17" s="736" t="s">
        <v>1177</v>
      </c>
      <c r="C17" s="738" t="s">
        <v>581</v>
      </c>
      <c r="D17" s="482" t="s">
        <v>585</v>
      </c>
      <c r="E17" s="483">
        <v>33306.85</v>
      </c>
      <c r="F17" s="483">
        <v>52742</v>
      </c>
      <c r="G17" s="483">
        <v>26371</v>
      </c>
      <c r="H17" s="484">
        <v>19435.150000000001</v>
      </c>
      <c r="I17" s="730">
        <v>0.47</v>
      </c>
      <c r="J17" s="730">
        <v>4.22</v>
      </c>
    </row>
    <row r="18" spans="1:10">
      <c r="A18" s="734"/>
      <c r="B18" s="744"/>
      <c r="C18" s="745"/>
      <c r="D18" s="482" t="s">
        <v>579</v>
      </c>
      <c r="E18" s="483">
        <v>28.89</v>
      </c>
      <c r="F18" s="483">
        <v>52742</v>
      </c>
      <c r="G18" s="483">
        <v>26371</v>
      </c>
      <c r="H18" s="484">
        <v>52713.11</v>
      </c>
      <c r="I18" s="731"/>
      <c r="J18" s="731"/>
    </row>
    <row r="19" spans="1:10" ht="42.75">
      <c r="A19" s="734"/>
      <c r="B19" s="744"/>
      <c r="C19" s="745"/>
      <c r="D19" s="482" t="s">
        <v>586</v>
      </c>
      <c r="E19" s="483">
        <v>30224.49</v>
      </c>
      <c r="F19" s="483">
        <v>52742</v>
      </c>
      <c r="G19" s="483">
        <v>26371</v>
      </c>
      <c r="H19" s="484">
        <v>22517.51</v>
      </c>
      <c r="I19" s="731"/>
      <c r="J19" s="731"/>
    </row>
    <row r="20" spans="1:10" ht="42.75">
      <c r="A20" s="734"/>
      <c r="B20" s="744"/>
      <c r="C20" s="745"/>
      <c r="D20" s="482" t="s">
        <v>587</v>
      </c>
      <c r="E20" s="483">
        <v>13232.56</v>
      </c>
      <c r="F20" s="483">
        <v>52742</v>
      </c>
      <c r="G20" s="483">
        <v>26371</v>
      </c>
      <c r="H20" s="484">
        <v>39509.440000000002</v>
      </c>
      <c r="I20" s="731"/>
      <c r="J20" s="731"/>
    </row>
    <row r="21" spans="1:10" ht="42.75">
      <c r="A21" s="735"/>
      <c r="B21" s="737"/>
      <c r="C21" s="739"/>
      <c r="D21" s="482" t="s">
        <v>588</v>
      </c>
      <c r="E21" s="483">
        <v>19499.060000000001</v>
      </c>
      <c r="F21" s="483">
        <v>52742</v>
      </c>
      <c r="G21" s="483">
        <v>26371</v>
      </c>
      <c r="H21" s="484">
        <v>33242.94</v>
      </c>
      <c r="I21" s="732"/>
      <c r="J21" s="732"/>
    </row>
    <row r="22" spans="1:10">
      <c r="A22" s="161" t="s">
        <v>1164</v>
      </c>
      <c r="B22" s="387" t="s">
        <v>1178</v>
      </c>
      <c r="C22" s="441"/>
      <c r="D22" s="470" t="s">
        <v>589</v>
      </c>
      <c r="E22" s="471">
        <v>43198.25</v>
      </c>
      <c r="F22" s="471">
        <v>7408</v>
      </c>
      <c r="G22" s="471">
        <v>3704</v>
      </c>
      <c r="H22" s="472">
        <v>0</v>
      </c>
      <c r="I22" s="437">
        <v>0.26</v>
      </c>
      <c r="J22" s="437">
        <v>8.0500000000000007</v>
      </c>
    </row>
    <row r="23" spans="1:10">
      <c r="A23" s="733" t="s">
        <v>980</v>
      </c>
      <c r="B23" s="736" t="s">
        <v>1179</v>
      </c>
      <c r="C23" s="738" t="s">
        <v>581</v>
      </c>
      <c r="D23" s="478" t="s">
        <v>582</v>
      </c>
      <c r="E23" s="479">
        <v>41217.33</v>
      </c>
      <c r="F23" s="479">
        <v>10557</v>
      </c>
      <c r="G23" s="479">
        <v>5278.5</v>
      </c>
      <c r="H23" s="480">
        <v>0</v>
      </c>
      <c r="I23" s="730">
        <v>0.16</v>
      </c>
      <c r="J23" s="730">
        <v>11.04</v>
      </c>
    </row>
    <row r="24" spans="1:10">
      <c r="A24" s="735"/>
      <c r="B24" s="737"/>
      <c r="C24" s="739"/>
      <c r="D24" s="482" t="s">
        <v>579</v>
      </c>
      <c r="E24" s="483">
        <v>25.66</v>
      </c>
      <c r="F24" s="483">
        <v>10557</v>
      </c>
      <c r="G24" s="483">
        <v>5278.5</v>
      </c>
      <c r="H24" s="484">
        <v>10531.34</v>
      </c>
      <c r="I24" s="732"/>
      <c r="J24" s="732"/>
    </row>
    <row r="25" spans="1:10">
      <c r="A25" s="742" t="s">
        <v>983</v>
      </c>
      <c r="B25" s="746" t="s">
        <v>1180</v>
      </c>
      <c r="C25" s="748" t="s">
        <v>581</v>
      </c>
      <c r="D25" s="470" t="s">
        <v>584</v>
      </c>
      <c r="E25" s="471">
        <v>38061.879999999997</v>
      </c>
      <c r="F25" s="471">
        <v>10865</v>
      </c>
      <c r="G25" s="471">
        <v>5432.5</v>
      </c>
      <c r="H25" s="472">
        <v>0</v>
      </c>
      <c r="I25" s="750">
        <v>0.11</v>
      </c>
      <c r="J25" s="750">
        <v>3.22</v>
      </c>
    </row>
    <row r="26" spans="1:10">
      <c r="A26" s="743"/>
      <c r="B26" s="747"/>
      <c r="C26" s="749"/>
      <c r="D26" s="473" t="s">
        <v>579</v>
      </c>
      <c r="E26" s="474">
        <v>30.35</v>
      </c>
      <c r="F26" s="474">
        <v>10865</v>
      </c>
      <c r="G26" s="474">
        <v>5432.5</v>
      </c>
      <c r="H26" s="475">
        <v>10834.65</v>
      </c>
      <c r="I26" s="751"/>
      <c r="J26" s="751"/>
    </row>
    <row r="27" spans="1:10">
      <c r="A27" s="733" t="s">
        <v>1165</v>
      </c>
      <c r="B27" s="736" t="s">
        <v>1181</v>
      </c>
      <c r="C27" s="738"/>
      <c r="D27" s="478" t="s">
        <v>590</v>
      </c>
      <c r="E27" s="479">
        <v>43214.07</v>
      </c>
      <c r="F27" s="479">
        <v>10857</v>
      </c>
      <c r="G27" s="479">
        <v>5428.5</v>
      </c>
      <c r="H27" s="480">
        <v>0</v>
      </c>
      <c r="I27" s="730">
        <v>0.08</v>
      </c>
      <c r="J27" s="730">
        <v>2.12</v>
      </c>
    </row>
    <row r="28" spans="1:10" ht="28.5">
      <c r="A28" s="735"/>
      <c r="B28" s="737"/>
      <c r="C28" s="739"/>
      <c r="D28" s="478" t="s">
        <v>591</v>
      </c>
      <c r="E28" s="479">
        <v>15126.88</v>
      </c>
      <c r="F28" s="479">
        <v>10857</v>
      </c>
      <c r="G28" s="479">
        <v>5428.5</v>
      </c>
      <c r="H28" s="480">
        <v>0</v>
      </c>
      <c r="I28" s="732"/>
      <c r="J28" s="732"/>
    </row>
    <row r="29" spans="1:10">
      <c r="A29" s="161" t="s">
        <v>1166</v>
      </c>
      <c r="B29" s="387" t="s">
        <v>1182</v>
      </c>
      <c r="C29" s="441"/>
      <c r="D29" s="470" t="s">
        <v>583</v>
      </c>
      <c r="E29" s="471">
        <v>35059.269999999997</v>
      </c>
      <c r="F29" s="471">
        <v>2619</v>
      </c>
      <c r="G29" s="471">
        <v>1309.5</v>
      </c>
      <c r="H29" s="472">
        <v>0</v>
      </c>
      <c r="I29" s="437">
        <v>0.01</v>
      </c>
      <c r="J29" s="437">
        <v>4.95</v>
      </c>
    </row>
    <row r="30" spans="1:10">
      <c r="A30" s="485" t="s">
        <v>1167</v>
      </c>
      <c r="B30" s="476" t="s">
        <v>1183</v>
      </c>
      <c r="C30" s="477"/>
      <c r="D30" s="478" t="s">
        <v>582</v>
      </c>
      <c r="E30" s="479">
        <v>43809.86</v>
      </c>
      <c r="F30" s="479">
        <v>40</v>
      </c>
      <c r="G30" s="479">
        <v>20</v>
      </c>
      <c r="H30" s="480">
        <v>0</v>
      </c>
      <c r="I30" s="481">
        <v>0</v>
      </c>
      <c r="J30" s="481">
        <v>7.0000000000000007E-2</v>
      </c>
    </row>
    <row r="31" spans="1:10">
      <c r="A31" s="742" t="s">
        <v>1168</v>
      </c>
      <c r="B31" s="387" t="s">
        <v>1184</v>
      </c>
      <c r="C31" s="441"/>
      <c r="D31" s="470" t="s">
        <v>590</v>
      </c>
      <c r="E31" s="471">
        <v>46275.67</v>
      </c>
      <c r="F31" s="471">
        <v>450</v>
      </c>
      <c r="G31" s="471">
        <v>225</v>
      </c>
      <c r="H31" s="472">
        <v>0</v>
      </c>
      <c r="I31" s="437">
        <v>0.05</v>
      </c>
      <c r="J31" s="437">
        <v>0.88</v>
      </c>
    </row>
    <row r="32" spans="1:10">
      <c r="A32" s="743"/>
      <c r="B32" s="387" t="s">
        <v>1185</v>
      </c>
      <c r="C32" s="441"/>
      <c r="D32" s="470" t="s">
        <v>584</v>
      </c>
      <c r="E32" s="471">
        <v>31216.22</v>
      </c>
      <c r="F32" s="471">
        <v>7268</v>
      </c>
      <c r="G32" s="471">
        <v>3634</v>
      </c>
      <c r="H32" s="472">
        <v>0</v>
      </c>
      <c r="I32" s="437">
        <v>0.38</v>
      </c>
      <c r="J32" s="437">
        <v>11.05</v>
      </c>
    </row>
    <row r="33" spans="1:10">
      <c r="A33" s="485" t="s">
        <v>1169</v>
      </c>
      <c r="B33" s="476" t="s">
        <v>1186</v>
      </c>
      <c r="C33" s="477"/>
      <c r="D33" s="478" t="s">
        <v>592</v>
      </c>
      <c r="E33" s="479">
        <v>15241.98</v>
      </c>
      <c r="F33" s="479">
        <v>3322</v>
      </c>
      <c r="G33" s="479">
        <v>1661</v>
      </c>
      <c r="H33" s="480">
        <v>0</v>
      </c>
      <c r="I33" s="481">
        <v>26.28</v>
      </c>
      <c r="J33" s="481">
        <v>227.19</v>
      </c>
    </row>
    <row r="34" spans="1:10">
      <c r="A34" s="742" t="s">
        <v>989</v>
      </c>
      <c r="B34" s="746" t="s">
        <v>1187</v>
      </c>
      <c r="C34" s="748" t="s">
        <v>581</v>
      </c>
      <c r="D34" s="470" t="s">
        <v>590</v>
      </c>
      <c r="E34" s="471">
        <v>37910.879999999997</v>
      </c>
      <c r="F34" s="471">
        <v>200</v>
      </c>
      <c r="G34" s="471">
        <v>100</v>
      </c>
      <c r="H34" s="472">
        <v>0</v>
      </c>
      <c r="I34" s="750">
        <v>0.1</v>
      </c>
      <c r="J34" s="750">
        <v>3.38</v>
      </c>
    </row>
    <row r="35" spans="1:10">
      <c r="A35" s="743"/>
      <c r="B35" s="747"/>
      <c r="C35" s="749"/>
      <c r="D35" s="473" t="s">
        <v>579</v>
      </c>
      <c r="E35" s="474">
        <v>15.8</v>
      </c>
      <c r="F35" s="474">
        <v>200</v>
      </c>
      <c r="G35" s="474">
        <v>100</v>
      </c>
      <c r="H35" s="475">
        <v>184.2</v>
      </c>
      <c r="I35" s="751"/>
      <c r="J35" s="751"/>
    </row>
    <row r="36" spans="1:10">
      <c r="A36" s="190"/>
      <c r="B36" s="191"/>
      <c r="C36" s="191"/>
      <c r="D36" s="192"/>
      <c r="E36" s="193"/>
      <c r="F36" s="194"/>
      <c r="G36" s="194"/>
      <c r="H36" s="195"/>
      <c r="I36" s="438"/>
      <c r="J36" s="438"/>
    </row>
    <row r="37" spans="1:10">
      <c r="I37" s="370"/>
      <c r="J37" s="370"/>
    </row>
    <row r="38" spans="1:10">
      <c r="A38" s="740" t="s">
        <v>577</v>
      </c>
      <c r="B38" s="741"/>
      <c r="I38" s="370"/>
      <c r="J38" s="370"/>
    </row>
    <row r="39" spans="1:10" ht="28.5">
      <c r="A39" s="170" t="s">
        <v>593</v>
      </c>
      <c r="B39" s="439">
        <v>626</v>
      </c>
      <c r="I39" s="370"/>
      <c r="J39" s="370"/>
    </row>
    <row r="40" spans="1:10" ht="42.75">
      <c r="A40" s="170" t="s">
        <v>594</v>
      </c>
      <c r="B40" s="439">
        <v>626</v>
      </c>
      <c r="I40" s="370"/>
      <c r="J40" s="370"/>
    </row>
    <row r="41" spans="1:10" ht="42.75">
      <c r="A41" s="170" t="s">
        <v>595</v>
      </c>
      <c r="B41" s="439">
        <v>240.06</v>
      </c>
    </row>
    <row r="42" spans="1:10" ht="28.5">
      <c r="A42" s="170" t="s">
        <v>596</v>
      </c>
      <c r="B42" s="486">
        <v>1.6118055555555555</v>
      </c>
    </row>
    <row r="43" spans="1:10">
      <c r="A43" s="487"/>
      <c r="B43" s="488"/>
    </row>
    <row r="44" spans="1:10">
      <c r="A44" s="718" t="s">
        <v>597</v>
      </c>
      <c r="B44" s="719"/>
      <c r="C44" s="720"/>
      <c r="D44" s="166"/>
      <c r="E44" s="721" t="s">
        <v>430</v>
      </c>
      <c r="F44" s="721"/>
      <c r="G44" s="721"/>
      <c r="H44" s="722"/>
      <c r="I44" s="723" t="s">
        <v>429</v>
      </c>
      <c r="J44" s="724"/>
    </row>
    <row r="45" spans="1:10" ht="42.75">
      <c r="A45" s="168" t="s">
        <v>426</v>
      </c>
      <c r="B45" s="167" t="s">
        <v>557</v>
      </c>
      <c r="C45" s="168" t="s">
        <v>425</v>
      </c>
      <c r="D45" s="169" t="s">
        <v>556</v>
      </c>
      <c r="E45" s="169" t="s">
        <v>537</v>
      </c>
      <c r="F45" s="169" t="s">
        <v>512</v>
      </c>
      <c r="G45" s="169" t="s">
        <v>513</v>
      </c>
      <c r="H45" s="169" t="s">
        <v>514</v>
      </c>
      <c r="I45" s="169" t="s">
        <v>515</v>
      </c>
      <c r="J45" s="169" t="s">
        <v>516</v>
      </c>
    </row>
    <row r="46" spans="1:10">
      <c r="A46" s="742" t="s">
        <v>975</v>
      </c>
      <c r="B46" s="387" t="s">
        <v>1188</v>
      </c>
      <c r="C46" s="441"/>
      <c r="D46" s="470" t="s">
        <v>582</v>
      </c>
      <c r="E46" s="471">
        <v>38876.14</v>
      </c>
      <c r="F46" s="471">
        <v>392</v>
      </c>
      <c r="G46" s="471">
        <v>196</v>
      </c>
      <c r="H46" s="472">
        <v>0</v>
      </c>
      <c r="I46" s="437">
        <v>0.34</v>
      </c>
      <c r="J46" s="437">
        <v>4.6500000000000004</v>
      </c>
    </row>
    <row r="47" spans="1:10">
      <c r="A47" s="752"/>
      <c r="B47" s="746" t="s">
        <v>1189</v>
      </c>
      <c r="C47" s="748" t="s">
        <v>581</v>
      </c>
      <c r="D47" s="473" t="s">
        <v>578</v>
      </c>
      <c r="E47" s="474">
        <v>861.76</v>
      </c>
      <c r="F47" s="474">
        <v>1595</v>
      </c>
      <c r="G47" s="474">
        <v>797.5</v>
      </c>
      <c r="H47" s="475">
        <v>733.24</v>
      </c>
      <c r="I47" s="750">
        <v>0.06</v>
      </c>
      <c r="J47" s="750">
        <v>14.04</v>
      </c>
    </row>
    <row r="48" spans="1:10">
      <c r="A48" s="743"/>
      <c r="B48" s="747"/>
      <c r="C48" s="749"/>
      <c r="D48" s="470" t="s">
        <v>590</v>
      </c>
      <c r="E48" s="471">
        <v>23441.93</v>
      </c>
      <c r="F48" s="471">
        <v>1595</v>
      </c>
      <c r="G48" s="471">
        <v>797.5</v>
      </c>
      <c r="H48" s="472">
        <v>0</v>
      </c>
      <c r="I48" s="751"/>
      <c r="J48" s="751"/>
    </row>
    <row r="49" spans="1:10">
      <c r="A49" s="733" t="s">
        <v>1163</v>
      </c>
      <c r="B49" s="476" t="s">
        <v>1190</v>
      </c>
      <c r="C49" s="477"/>
      <c r="D49" s="478" t="s">
        <v>584</v>
      </c>
      <c r="E49" s="479">
        <v>32168.33</v>
      </c>
      <c r="F49" s="479">
        <v>450</v>
      </c>
      <c r="G49" s="479">
        <v>225</v>
      </c>
      <c r="H49" s="480">
        <v>0</v>
      </c>
      <c r="I49" s="481">
        <v>0.02</v>
      </c>
      <c r="J49" s="481">
        <v>1.91</v>
      </c>
    </row>
    <row r="50" spans="1:10">
      <c r="A50" s="735"/>
      <c r="B50" s="476" t="s">
        <v>1191</v>
      </c>
      <c r="C50" s="477"/>
      <c r="D50" s="478" t="s">
        <v>583</v>
      </c>
      <c r="E50" s="479">
        <v>35090.980000000003</v>
      </c>
      <c r="F50" s="479">
        <v>251</v>
      </c>
      <c r="G50" s="479">
        <v>125.5</v>
      </c>
      <c r="H50" s="480">
        <v>0</v>
      </c>
      <c r="I50" s="481">
        <v>0.16</v>
      </c>
      <c r="J50" s="481">
        <v>7.54</v>
      </c>
    </row>
    <row r="51" spans="1:10">
      <c r="A51" s="742" t="s">
        <v>976</v>
      </c>
      <c r="B51" s="746" t="s">
        <v>1202</v>
      </c>
      <c r="C51" s="748" t="s">
        <v>581</v>
      </c>
      <c r="D51" s="473" t="s">
        <v>585</v>
      </c>
      <c r="E51" s="474">
        <v>6935.85</v>
      </c>
      <c r="F51" s="474">
        <v>26273</v>
      </c>
      <c r="G51" s="474">
        <v>13136.5</v>
      </c>
      <c r="H51" s="475">
        <v>19337.150000000001</v>
      </c>
      <c r="I51" s="750">
        <v>0.43</v>
      </c>
      <c r="J51" s="750">
        <v>4.8899999999999997</v>
      </c>
    </row>
    <row r="52" spans="1:10">
      <c r="A52" s="752"/>
      <c r="B52" s="753"/>
      <c r="C52" s="754"/>
      <c r="D52" s="473" t="s">
        <v>579</v>
      </c>
      <c r="E52" s="474">
        <v>-26342.11</v>
      </c>
      <c r="F52" s="474">
        <v>26273</v>
      </c>
      <c r="G52" s="474">
        <v>13136.5</v>
      </c>
      <c r="H52" s="475">
        <v>52615.11</v>
      </c>
      <c r="I52" s="755"/>
      <c r="J52" s="755"/>
    </row>
    <row r="53" spans="1:10" ht="42.75">
      <c r="A53" s="743"/>
      <c r="B53" s="747"/>
      <c r="C53" s="749"/>
      <c r="D53" s="473" t="s">
        <v>588</v>
      </c>
      <c r="E53" s="474">
        <v>-6871.94</v>
      </c>
      <c r="F53" s="474">
        <v>26273</v>
      </c>
      <c r="G53" s="474">
        <v>13136.5</v>
      </c>
      <c r="H53" s="475">
        <v>33144.94</v>
      </c>
      <c r="I53" s="751"/>
      <c r="J53" s="751"/>
    </row>
    <row r="54" spans="1:10">
      <c r="A54" s="733" t="s">
        <v>983</v>
      </c>
      <c r="B54" s="736" t="s">
        <v>1203</v>
      </c>
      <c r="C54" s="738" t="s">
        <v>581</v>
      </c>
      <c r="D54" s="478" t="s">
        <v>589</v>
      </c>
      <c r="E54" s="479">
        <v>36878.18</v>
      </c>
      <c r="F54" s="479">
        <v>10864</v>
      </c>
      <c r="G54" s="479">
        <v>5432</v>
      </c>
      <c r="H54" s="480">
        <v>0</v>
      </c>
      <c r="I54" s="730">
        <v>0.09</v>
      </c>
      <c r="J54" s="730">
        <v>4.2</v>
      </c>
    </row>
    <row r="55" spans="1:10" ht="28.5">
      <c r="A55" s="735"/>
      <c r="B55" s="737"/>
      <c r="C55" s="739"/>
      <c r="D55" s="482" t="s">
        <v>591</v>
      </c>
      <c r="E55" s="483">
        <v>9698.3799999999992</v>
      </c>
      <c r="F55" s="483">
        <v>10864</v>
      </c>
      <c r="G55" s="483">
        <v>5432</v>
      </c>
      <c r="H55" s="484">
        <v>1165.6199999999999</v>
      </c>
      <c r="I55" s="732"/>
      <c r="J55" s="732"/>
    </row>
    <row r="56" spans="1:10">
      <c r="A56" s="161" t="s">
        <v>1171</v>
      </c>
      <c r="B56" s="387" t="s">
        <v>1194</v>
      </c>
      <c r="C56" s="441"/>
      <c r="D56" s="470" t="s">
        <v>582</v>
      </c>
      <c r="E56" s="471">
        <v>43789.86</v>
      </c>
      <c r="F56" s="471">
        <v>177</v>
      </c>
      <c r="G56" s="471">
        <v>88.5</v>
      </c>
      <c r="H56" s="472">
        <v>0</v>
      </c>
      <c r="I56" s="437">
        <v>0.02</v>
      </c>
      <c r="J56" s="437">
        <v>1.07</v>
      </c>
    </row>
    <row r="57" spans="1:10">
      <c r="A57" s="485" t="s">
        <v>1172</v>
      </c>
      <c r="B57" s="476" t="s">
        <v>1195</v>
      </c>
      <c r="C57" s="477"/>
      <c r="D57" s="478" t="s">
        <v>584</v>
      </c>
      <c r="E57" s="479">
        <v>27582.22</v>
      </c>
      <c r="F57" s="479">
        <v>5037</v>
      </c>
      <c r="G57" s="479">
        <v>2518.5</v>
      </c>
      <c r="H57" s="480">
        <v>0</v>
      </c>
      <c r="I57" s="481">
        <v>0.93</v>
      </c>
      <c r="J57" s="481">
        <v>17.510000000000002</v>
      </c>
    </row>
    <row r="58" spans="1:10">
      <c r="A58" s="161" t="s">
        <v>987</v>
      </c>
      <c r="B58" s="387" t="s">
        <v>1196</v>
      </c>
      <c r="C58" s="441"/>
      <c r="D58" s="470" t="s">
        <v>583</v>
      </c>
      <c r="E58" s="471">
        <v>33749.769999999997</v>
      </c>
      <c r="F58" s="471">
        <v>900</v>
      </c>
      <c r="G58" s="471">
        <v>450</v>
      </c>
      <c r="H58" s="472">
        <v>0</v>
      </c>
      <c r="I58" s="437">
        <v>0.03</v>
      </c>
      <c r="J58" s="437">
        <v>10.38</v>
      </c>
    </row>
    <row r="59" spans="1:10">
      <c r="A59" s="485" t="s">
        <v>1168</v>
      </c>
      <c r="B59" s="476" t="s">
        <v>1207</v>
      </c>
      <c r="C59" s="477"/>
      <c r="D59" s="478" t="s">
        <v>590</v>
      </c>
      <c r="E59" s="479">
        <v>46050.67</v>
      </c>
      <c r="F59" s="479">
        <v>903</v>
      </c>
      <c r="G59" s="479">
        <v>451.5</v>
      </c>
      <c r="H59" s="480">
        <v>0</v>
      </c>
      <c r="I59" s="481">
        <v>0.05</v>
      </c>
      <c r="J59" s="481">
        <v>1.1499999999999999</v>
      </c>
    </row>
    <row r="60" spans="1:10">
      <c r="A60" s="742" t="s">
        <v>1169</v>
      </c>
      <c r="B60" s="746" t="s">
        <v>1198</v>
      </c>
      <c r="C60" s="748"/>
      <c r="D60" s="470" t="s">
        <v>590</v>
      </c>
      <c r="E60" s="471">
        <v>37810.879999999997</v>
      </c>
      <c r="F60" s="471">
        <v>1450</v>
      </c>
      <c r="G60" s="471">
        <v>725</v>
      </c>
      <c r="H60" s="472">
        <v>0</v>
      </c>
      <c r="I60" s="750">
        <v>0.77</v>
      </c>
      <c r="J60" s="750">
        <v>15.14</v>
      </c>
    </row>
    <row r="61" spans="1:10">
      <c r="A61" s="743"/>
      <c r="B61" s="747"/>
      <c r="C61" s="749"/>
      <c r="D61" s="470" t="s">
        <v>583</v>
      </c>
      <c r="E61" s="471">
        <v>46057.9</v>
      </c>
      <c r="F61" s="471">
        <v>1450</v>
      </c>
      <c r="G61" s="471">
        <v>725</v>
      </c>
      <c r="H61" s="472">
        <v>0</v>
      </c>
      <c r="I61" s="751"/>
      <c r="J61" s="751"/>
    </row>
    <row r="62" spans="1:10">
      <c r="A62" s="190"/>
      <c r="B62" s="191"/>
      <c r="C62" s="191"/>
      <c r="D62" s="192"/>
      <c r="E62" s="193"/>
      <c r="F62" s="194"/>
      <c r="G62" s="194"/>
      <c r="H62" s="195"/>
      <c r="I62" s="438"/>
      <c r="J62" s="438"/>
    </row>
    <row r="63" spans="1:10">
      <c r="I63" s="370"/>
      <c r="J63" s="370"/>
    </row>
    <row r="64" spans="1:10">
      <c r="A64" s="740" t="s">
        <v>598</v>
      </c>
      <c r="B64" s="741"/>
      <c r="I64" s="370"/>
      <c r="J64" s="370"/>
    </row>
    <row r="65" spans="1:10" ht="28.5">
      <c r="A65" s="170" t="s">
        <v>599</v>
      </c>
      <c r="B65" s="439">
        <v>385.94</v>
      </c>
      <c r="I65" s="370"/>
      <c r="J65" s="370"/>
    </row>
    <row r="66" spans="1:10" ht="42.75">
      <c r="A66" s="170" t="s">
        <v>600</v>
      </c>
      <c r="B66" s="439">
        <v>385.94</v>
      </c>
      <c r="I66" s="370"/>
      <c r="J66" s="370"/>
    </row>
    <row r="67" spans="1:10" ht="42.75">
      <c r="A67" s="170" t="s">
        <v>601</v>
      </c>
      <c r="B67" s="439">
        <v>256.22000000000003</v>
      </c>
    </row>
    <row r="68" spans="1:10" ht="28.5">
      <c r="A68" s="170" t="s">
        <v>602</v>
      </c>
      <c r="B68" s="486">
        <v>1.0909722222222222</v>
      </c>
    </row>
    <row r="69" spans="1:10">
      <c r="A69" s="487"/>
      <c r="B69" s="488"/>
    </row>
    <row r="70" spans="1:10">
      <c r="A70" s="718" t="s">
        <v>603</v>
      </c>
      <c r="B70" s="719"/>
      <c r="C70" s="720"/>
      <c r="D70" s="166"/>
      <c r="E70" s="721" t="s">
        <v>430</v>
      </c>
      <c r="F70" s="721"/>
      <c r="G70" s="721"/>
      <c r="H70" s="722"/>
      <c r="I70" s="723" t="s">
        <v>429</v>
      </c>
      <c r="J70" s="724"/>
    </row>
    <row r="71" spans="1:10" ht="42.75">
      <c r="A71" s="168" t="s">
        <v>426</v>
      </c>
      <c r="B71" s="167" t="s">
        <v>557</v>
      </c>
      <c r="C71" s="168" t="s">
        <v>425</v>
      </c>
      <c r="D71" s="169" t="s">
        <v>556</v>
      </c>
      <c r="E71" s="169" t="s">
        <v>537</v>
      </c>
      <c r="F71" s="169" t="s">
        <v>512</v>
      </c>
      <c r="G71" s="169" t="s">
        <v>513</v>
      </c>
      <c r="H71" s="169" t="s">
        <v>514</v>
      </c>
      <c r="I71" s="169" t="s">
        <v>515</v>
      </c>
      <c r="J71" s="169" t="s">
        <v>516</v>
      </c>
    </row>
    <row r="72" spans="1:10">
      <c r="A72" s="161" t="s">
        <v>975</v>
      </c>
      <c r="B72" s="387" t="s">
        <v>1199</v>
      </c>
      <c r="C72" s="441"/>
      <c r="D72" s="470" t="s">
        <v>583</v>
      </c>
      <c r="E72" s="471">
        <v>34965.480000000003</v>
      </c>
      <c r="F72" s="471">
        <v>200</v>
      </c>
      <c r="G72" s="471">
        <v>100</v>
      </c>
      <c r="H72" s="472">
        <v>0</v>
      </c>
      <c r="I72" s="437">
        <v>1.1000000000000001</v>
      </c>
      <c r="J72" s="437">
        <v>11.22</v>
      </c>
    </row>
    <row r="73" spans="1:10">
      <c r="A73" s="733" t="s">
        <v>1163</v>
      </c>
      <c r="B73" s="476" t="s">
        <v>1200</v>
      </c>
      <c r="C73" s="477"/>
      <c r="D73" s="478" t="s">
        <v>584</v>
      </c>
      <c r="E73" s="479">
        <v>31943.33</v>
      </c>
      <c r="F73" s="479">
        <v>201</v>
      </c>
      <c r="G73" s="479">
        <v>100.5</v>
      </c>
      <c r="H73" s="480">
        <v>0</v>
      </c>
      <c r="I73" s="481">
        <v>0.13</v>
      </c>
      <c r="J73" s="481">
        <v>3.36</v>
      </c>
    </row>
    <row r="74" spans="1:10">
      <c r="A74" s="735"/>
      <c r="B74" s="476" t="s">
        <v>1201</v>
      </c>
      <c r="C74" s="477"/>
      <c r="D74" s="478" t="s">
        <v>582</v>
      </c>
      <c r="E74" s="479">
        <v>38680.14</v>
      </c>
      <c r="F74" s="479">
        <v>251</v>
      </c>
      <c r="G74" s="479">
        <v>125.5</v>
      </c>
      <c r="H74" s="480">
        <v>0</v>
      </c>
      <c r="I74" s="481">
        <v>0.14000000000000001</v>
      </c>
      <c r="J74" s="481">
        <v>6.83</v>
      </c>
    </row>
    <row r="75" spans="1:10">
      <c r="A75" s="742" t="s">
        <v>979</v>
      </c>
      <c r="B75" s="746" t="s">
        <v>1192</v>
      </c>
      <c r="C75" s="748" t="s">
        <v>581</v>
      </c>
      <c r="D75" s="473" t="s">
        <v>585</v>
      </c>
      <c r="E75" s="474">
        <v>-6200.65</v>
      </c>
      <c r="F75" s="474">
        <v>26273</v>
      </c>
      <c r="G75" s="474">
        <v>13136.5</v>
      </c>
      <c r="H75" s="475">
        <v>32473.65</v>
      </c>
      <c r="I75" s="750">
        <v>0.23</v>
      </c>
      <c r="J75" s="750">
        <v>5.43</v>
      </c>
    </row>
    <row r="76" spans="1:10">
      <c r="A76" s="752"/>
      <c r="B76" s="753"/>
      <c r="C76" s="754"/>
      <c r="D76" s="473" t="s">
        <v>579</v>
      </c>
      <c r="E76" s="474">
        <v>28.29</v>
      </c>
      <c r="F76" s="474">
        <v>26273</v>
      </c>
      <c r="G76" s="474">
        <v>13136.5</v>
      </c>
      <c r="H76" s="475">
        <v>26244.71</v>
      </c>
      <c r="I76" s="755"/>
      <c r="J76" s="755"/>
    </row>
    <row r="77" spans="1:10" ht="42.75">
      <c r="A77" s="743"/>
      <c r="B77" s="747"/>
      <c r="C77" s="749"/>
      <c r="D77" s="473" t="s">
        <v>588</v>
      </c>
      <c r="E77" s="474">
        <v>-20008.439999999999</v>
      </c>
      <c r="F77" s="474">
        <v>26273</v>
      </c>
      <c r="G77" s="474">
        <v>13136.5</v>
      </c>
      <c r="H77" s="475">
        <v>46281.440000000002</v>
      </c>
      <c r="I77" s="751"/>
      <c r="J77" s="751"/>
    </row>
    <row r="78" spans="1:10">
      <c r="A78" s="733" t="s">
        <v>1170</v>
      </c>
      <c r="B78" s="736" t="s">
        <v>1193</v>
      </c>
      <c r="C78" s="738" t="s">
        <v>581</v>
      </c>
      <c r="D78" s="478" t="s">
        <v>589</v>
      </c>
      <c r="E78" s="479">
        <v>31446.18</v>
      </c>
      <c r="F78" s="479">
        <v>10864</v>
      </c>
      <c r="G78" s="479">
        <v>5432</v>
      </c>
      <c r="H78" s="480">
        <v>0</v>
      </c>
      <c r="I78" s="730">
        <v>0.1</v>
      </c>
      <c r="J78" s="730">
        <v>4.2699999999999996</v>
      </c>
    </row>
    <row r="79" spans="1:10" ht="28.5">
      <c r="A79" s="735"/>
      <c r="B79" s="737"/>
      <c r="C79" s="739"/>
      <c r="D79" s="482" t="s">
        <v>591</v>
      </c>
      <c r="E79" s="483">
        <v>4266.38</v>
      </c>
      <c r="F79" s="483">
        <v>10864</v>
      </c>
      <c r="G79" s="483">
        <v>5432</v>
      </c>
      <c r="H79" s="484">
        <v>6597.62</v>
      </c>
      <c r="I79" s="732"/>
      <c r="J79" s="732"/>
    </row>
    <row r="80" spans="1:10">
      <c r="A80" s="161" t="s">
        <v>986</v>
      </c>
      <c r="B80" s="387" t="s">
        <v>1204</v>
      </c>
      <c r="C80" s="441"/>
      <c r="D80" s="470" t="s">
        <v>584</v>
      </c>
      <c r="E80" s="471">
        <v>25063.72</v>
      </c>
      <c r="F80" s="471">
        <v>7268</v>
      </c>
      <c r="G80" s="471">
        <v>3634</v>
      </c>
      <c r="H80" s="472">
        <v>0</v>
      </c>
      <c r="I80" s="437">
        <v>0.51</v>
      </c>
      <c r="J80" s="437">
        <v>26.26</v>
      </c>
    </row>
    <row r="81" spans="1:10">
      <c r="A81" s="733" t="s">
        <v>987</v>
      </c>
      <c r="B81" s="476" t="s">
        <v>1205</v>
      </c>
      <c r="C81" s="477"/>
      <c r="D81" s="478" t="s">
        <v>582</v>
      </c>
      <c r="E81" s="479">
        <v>43701.36</v>
      </c>
      <c r="F81" s="479">
        <v>250</v>
      </c>
      <c r="G81" s="479">
        <v>125</v>
      </c>
      <c r="H81" s="480">
        <v>0</v>
      </c>
      <c r="I81" s="481">
        <v>0.04</v>
      </c>
      <c r="J81" s="481">
        <v>2.38</v>
      </c>
    </row>
    <row r="82" spans="1:10">
      <c r="A82" s="735"/>
      <c r="B82" s="476" t="s">
        <v>1206</v>
      </c>
      <c r="C82" s="477"/>
      <c r="D82" s="478" t="s">
        <v>583</v>
      </c>
      <c r="E82" s="479">
        <v>33299.769999999997</v>
      </c>
      <c r="F82" s="479">
        <v>150</v>
      </c>
      <c r="G82" s="479">
        <v>75</v>
      </c>
      <c r="H82" s="480">
        <v>0</v>
      </c>
      <c r="I82" s="481">
        <v>0.85</v>
      </c>
      <c r="J82" s="481">
        <v>34.69</v>
      </c>
    </row>
    <row r="83" spans="1:10">
      <c r="A83" s="161" t="s">
        <v>1167</v>
      </c>
      <c r="B83" s="387" t="s">
        <v>1214</v>
      </c>
      <c r="C83" s="441"/>
      <c r="D83" s="470" t="s">
        <v>590</v>
      </c>
      <c r="E83" s="471">
        <v>45599.17</v>
      </c>
      <c r="F83" s="471">
        <v>903</v>
      </c>
      <c r="G83" s="471">
        <v>451.5</v>
      </c>
      <c r="H83" s="472">
        <v>0</v>
      </c>
      <c r="I83" s="437">
        <v>7.0000000000000007E-2</v>
      </c>
      <c r="J83" s="437">
        <v>1.38</v>
      </c>
    </row>
    <row r="84" spans="1:10">
      <c r="A84" s="485" t="s">
        <v>1169</v>
      </c>
      <c r="B84" s="476" t="s">
        <v>1208</v>
      </c>
      <c r="C84" s="477"/>
      <c r="D84" s="478" t="s">
        <v>590</v>
      </c>
      <c r="E84" s="479">
        <v>37085.879999999997</v>
      </c>
      <c r="F84" s="479">
        <v>9405</v>
      </c>
      <c r="G84" s="479">
        <v>4702.5</v>
      </c>
      <c r="H84" s="480">
        <v>0</v>
      </c>
      <c r="I84" s="481">
        <v>0.67</v>
      </c>
      <c r="J84" s="481">
        <v>24.05</v>
      </c>
    </row>
    <row r="85" spans="1:10">
      <c r="A85" s="190"/>
      <c r="B85" s="191"/>
      <c r="C85" s="191"/>
      <c r="D85" s="192"/>
      <c r="E85" s="193"/>
      <c r="F85" s="194"/>
      <c r="G85" s="194"/>
      <c r="H85" s="195"/>
      <c r="I85" s="438"/>
      <c r="J85" s="438"/>
    </row>
    <row r="86" spans="1:10">
      <c r="I86" s="370"/>
      <c r="J86" s="370"/>
    </row>
    <row r="87" spans="1:10">
      <c r="A87" s="740" t="s">
        <v>604</v>
      </c>
      <c r="B87" s="741"/>
      <c r="I87" s="370"/>
      <c r="J87" s="370"/>
    </row>
    <row r="88" spans="1:10" ht="28.5">
      <c r="A88" s="170" t="s">
        <v>605</v>
      </c>
      <c r="B88" s="439">
        <v>369.78</v>
      </c>
      <c r="I88" s="370"/>
      <c r="J88" s="370"/>
    </row>
    <row r="89" spans="1:10" ht="42.75">
      <c r="A89" s="170" t="s">
        <v>606</v>
      </c>
      <c r="B89" s="439">
        <v>369.78</v>
      </c>
      <c r="I89" s="370"/>
      <c r="J89" s="370"/>
    </row>
    <row r="90" spans="1:10" ht="42.75">
      <c r="A90" s="170" t="s">
        <v>607</v>
      </c>
      <c r="B90" s="439">
        <v>279.76</v>
      </c>
    </row>
    <row r="91" spans="1:10" ht="28.5">
      <c r="A91" s="170" t="s">
        <v>608</v>
      </c>
      <c r="B91" s="486">
        <v>1.4638888888888888</v>
      </c>
    </row>
    <row r="92" spans="1:10">
      <c r="A92" s="487"/>
      <c r="B92" s="488"/>
    </row>
    <row r="93" spans="1:10">
      <c r="A93" s="718" t="s">
        <v>609</v>
      </c>
      <c r="B93" s="719"/>
      <c r="C93" s="720"/>
      <c r="D93" s="166"/>
      <c r="E93" s="721" t="s">
        <v>430</v>
      </c>
      <c r="F93" s="721"/>
      <c r="G93" s="721"/>
      <c r="H93" s="722"/>
      <c r="I93" s="723" t="s">
        <v>429</v>
      </c>
      <c r="J93" s="724"/>
    </row>
    <row r="94" spans="1:10" ht="42.75">
      <c r="A94" s="168" t="s">
        <v>426</v>
      </c>
      <c r="B94" s="167" t="s">
        <v>557</v>
      </c>
      <c r="C94" s="168" t="s">
        <v>425</v>
      </c>
      <c r="D94" s="169" t="s">
        <v>556</v>
      </c>
      <c r="E94" s="169" t="s">
        <v>537</v>
      </c>
      <c r="F94" s="169" t="s">
        <v>512</v>
      </c>
      <c r="G94" s="169" t="s">
        <v>513</v>
      </c>
      <c r="H94" s="169" t="s">
        <v>514</v>
      </c>
      <c r="I94" s="169" t="s">
        <v>515</v>
      </c>
      <c r="J94" s="169" t="s">
        <v>516</v>
      </c>
    </row>
    <row r="95" spans="1:10">
      <c r="A95" s="161" t="s">
        <v>975</v>
      </c>
      <c r="B95" s="387" t="s">
        <v>1209</v>
      </c>
      <c r="C95" s="441"/>
      <c r="D95" s="470" t="s">
        <v>583</v>
      </c>
      <c r="E95" s="471">
        <v>34865.480000000003</v>
      </c>
      <c r="F95" s="471">
        <v>200</v>
      </c>
      <c r="G95" s="471">
        <v>100</v>
      </c>
      <c r="H95" s="472">
        <v>0</v>
      </c>
      <c r="I95" s="437">
        <v>1.1000000000000001</v>
      </c>
      <c r="J95" s="437">
        <v>11.91</v>
      </c>
    </row>
    <row r="96" spans="1:10">
      <c r="A96" s="485" t="s">
        <v>1162</v>
      </c>
      <c r="B96" s="476" t="s">
        <v>1210</v>
      </c>
      <c r="C96" s="477"/>
      <c r="D96" s="478" t="s">
        <v>584</v>
      </c>
      <c r="E96" s="479">
        <v>31842.83</v>
      </c>
      <c r="F96" s="479">
        <v>221</v>
      </c>
      <c r="G96" s="479">
        <v>110.5</v>
      </c>
      <c r="H96" s="480">
        <v>0</v>
      </c>
      <c r="I96" s="481">
        <v>0.13</v>
      </c>
      <c r="J96" s="481">
        <v>6.8</v>
      </c>
    </row>
    <row r="97" spans="1:10">
      <c r="A97" s="742" t="s">
        <v>978</v>
      </c>
      <c r="B97" s="746" t="s">
        <v>1211</v>
      </c>
      <c r="C97" s="748" t="s">
        <v>581</v>
      </c>
      <c r="D97" s="473" t="s">
        <v>582</v>
      </c>
      <c r="E97" s="474">
        <v>11486.19</v>
      </c>
      <c r="F97" s="474">
        <v>52742</v>
      </c>
      <c r="G97" s="474">
        <v>26371</v>
      </c>
      <c r="H97" s="475">
        <v>41255.81</v>
      </c>
      <c r="I97" s="750">
        <v>0.82</v>
      </c>
      <c r="J97" s="750">
        <v>9.59</v>
      </c>
    </row>
    <row r="98" spans="1:10" ht="42.75">
      <c r="A98" s="752"/>
      <c r="B98" s="753"/>
      <c r="C98" s="754"/>
      <c r="D98" s="473" t="s">
        <v>586</v>
      </c>
      <c r="E98" s="474">
        <v>3853.49</v>
      </c>
      <c r="F98" s="474">
        <v>52742</v>
      </c>
      <c r="G98" s="474">
        <v>26371</v>
      </c>
      <c r="H98" s="475">
        <v>48888.51</v>
      </c>
      <c r="I98" s="755"/>
      <c r="J98" s="755"/>
    </row>
    <row r="99" spans="1:10" ht="42.75">
      <c r="A99" s="752"/>
      <c r="B99" s="753"/>
      <c r="C99" s="754"/>
      <c r="D99" s="473" t="s">
        <v>588</v>
      </c>
      <c r="E99" s="474">
        <v>-33144.94</v>
      </c>
      <c r="F99" s="474">
        <v>52742</v>
      </c>
      <c r="G99" s="474">
        <v>26371</v>
      </c>
      <c r="H99" s="475">
        <v>85886.94</v>
      </c>
      <c r="I99" s="755"/>
      <c r="J99" s="755"/>
    </row>
    <row r="100" spans="1:10">
      <c r="A100" s="752"/>
      <c r="B100" s="753"/>
      <c r="C100" s="754"/>
      <c r="D100" s="473" t="s">
        <v>579</v>
      </c>
      <c r="E100" s="474">
        <v>18.22</v>
      </c>
      <c r="F100" s="474">
        <v>52742</v>
      </c>
      <c r="G100" s="474">
        <v>26371</v>
      </c>
      <c r="H100" s="475">
        <v>52723.78</v>
      </c>
      <c r="I100" s="755"/>
      <c r="J100" s="755"/>
    </row>
    <row r="101" spans="1:10" ht="42.75">
      <c r="A101" s="752"/>
      <c r="B101" s="753"/>
      <c r="C101" s="754"/>
      <c r="D101" s="473" t="s">
        <v>587</v>
      </c>
      <c r="E101" s="474">
        <v>-13138.44</v>
      </c>
      <c r="F101" s="474">
        <v>52742</v>
      </c>
      <c r="G101" s="474">
        <v>26371</v>
      </c>
      <c r="H101" s="475">
        <v>65880.44</v>
      </c>
      <c r="I101" s="755"/>
      <c r="J101" s="755"/>
    </row>
    <row r="102" spans="1:10">
      <c r="A102" s="743"/>
      <c r="B102" s="747"/>
      <c r="C102" s="749"/>
      <c r="D102" s="473" t="s">
        <v>585</v>
      </c>
      <c r="E102" s="474">
        <v>-19337.150000000001</v>
      </c>
      <c r="F102" s="474">
        <v>52742</v>
      </c>
      <c r="G102" s="474">
        <v>26371</v>
      </c>
      <c r="H102" s="475">
        <v>72079.149999999994</v>
      </c>
      <c r="I102" s="751"/>
      <c r="J102" s="751"/>
    </row>
    <row r="103" spans="1:10">
      <c r="A103" s="733" t="s">
        <v>980</v>
      </c>
      <c r="B103" s="736" t="s">
        <v>1212</v>
      </c>
      <c r="C103" s="738" t="s">
        <v>581</v>
      </c>
      <c r="D103" s="478" t="s">
        <v>584</v>
      </c>
      <c r="E103" s="479">
        <v>32629.38</v>
      </c>
      <c r="F103" s="479">
        <v>10865</v>
      </c>
      <c r="G103" s="479">
        <v>5432.5</v>
      </c>
      <c r="H103" s="480">
        <v>0</v>
      </c>
      <c r="I103" s="730">
        <v>0.09</v>
      </c>
      <c r="J103" s="730">
        <v>4.33</v>
      </c>
    </row>
    <row r="104" spans="1:10" ht="28.5">
      <c r="A104" s="735"/>
      <c r="B104" s="737"/>
      <c r="C104" s="739"/>
      <c r="D104" s="482" t="s">
        <v>591</v>
      </c>
      <c r="E104" s="483">
        <v>-1165.6199999999999</v>
      </c>
      <c r="F104" s="483">
        <v>10865</v>
      </c>
      <c r="G104" s="483">
        <v>5432.5</v>
      </c>
      <c r="H104" s="484">
        <v>12030.62</v>
      </c>
      <c r="I104" s="732"/>
      <c r="J104" s="732"/>
    </row>
    <row r="105" spans="1:10">
      <c r="A105" s="161" t="s">
        <v>1166</v>
      </c>
      <c r="B105" s="387" t="s">
        <v>1219</v>
      </c>
      <c r="C105" s="441"/>
      <c r="D105" s="470" t="s">
        <v>582</v>
      </c>
      <c r="E105" s="471">
        <v>43576.36</v>
      </c>
      <c r="F105" s="471">
        <v>150</v>
      </c>
      <c r="G105" s="471">
        <v>75</v>
      </c>
      <c r="H105" s="472">
        <v>0</v>
      </c>
      <c r="I105" s="437">
        <v>0.09</v>
      </c>
      <c r="J105" s="437">
        <v>2.5099999999999998</v>
      </c>
    </row>
    <row r="106" spans="1:10">
      <c r="A106" s="485" t="s">
        <v>1167</v>
      </c>
      <c r="B106" s="476" t="s">
        <v>1197</v>
      </c>
      <c r="C106" s="477"/>
      <c r="D106" s="478" t="s">
        <v>590</v>
      </c>
      <c r="E106" s="479">
        <v>45147.67</v>
      </c>
      <c r="F106" s="479">
        <v>150</v>
      </c>
      <c r="G106" s="479">
        <v>75</v>
      </c>
      <c r="H106" s="480">
        <v>0</v>
      </c>
      <c r="I106" s="481">
        <v>0.05</v>
      </c>
      <c r="J106" s="481">
        <v>1.5</v>
      </c>
    </row>
    <row r="107" spans="1:10">
      <c r="A107" s="161" t="s">
        <v>1168</v>
      </c>
      <c r="B107" s="387" t="s">
        <v>1215</v>
      </c>
      <c r="C107" s="441"/>
      <c r="D107" s="470" t="s">
        <v>583</v>
      </c>
      <c r="E107" s="471">
        <v>33224.769999999997</v>
      </c>
      <c r="F107" s="471">
        <v>3586</v>
      </c>
      <c r="G107" s="471">
        <v>1793</v>
      </c>
      <c r="H107" s="472">
        <v>0</v>
      </c>
      <c r="I107" s="437">
        <v>15.94</v>
      </c>
      <c r="J107" s="437">
        <v>281.02</v>
      </c>
    </row>
    <row r="108" spans="1:10">
      <c r="A108" s="190"/>
      <c r="B108" s="191"/>
      <c r="C108" s="191"/>
      <c r="D108" s="192"/>
      <c r="E108" s="193"/>
      <c r="F108" s="194"/>
      <c r="G108" s="194"/>
      <c r="H108" s="195"/>
      <c r="I108" s="438"/>
      <c r="J108" s="438"/>
    </row>
    <row r="109" spans="1:10">
      <c r="I109" s="370"/>
      <c r="J109" s="370"/>
    </row>
    <row r="110" spans="1:10">
      <c r="A110" s="740" t="s">
        <v>610</v>
      </c>
      <c r="B110" s="741"/>
      <c r="I110" s="370"/>
      <c r="J110" s="370"/>
    </row>
    <row r="111" spans="1:10" ht="28.5">
      <c r="A111" s="170" t="s">
        <v>611</v>
      </c>
      <c r="B111" s="439">
        <v>346.24</v>
      </c>
      <c r="I111" s="370"/>
      <c r="J111" s="370"/>
    </row>
    <row r="112" spans="1:10" ht="42.75">
      <c r="A112" s="170" t="s">
        <v>612</v>
      </c>
      <c r="B112" s="439">
        <v>346.24</v>
      </c>
      <c r="I112" s="370"/>
      <c r="J112" s="370"/>
    </row>
    <row r="113" spans="1:10" ht="42.75">
      <c r="A113" s="170" t="s">
        <v>613</v>
      </c>
      <c r="B113" s="439">
        <v>437.13</v>
      </c>
    </row>
    <row r="114" spans="1:10" ht="28.5">
      <c r="A114" s="170" t="s">
        <v>614</v>
      </c>
      <c r="B114" s="486">
        <v>1.8756944444444443</v>
      </c>
    </row>
    <row r="115" spans="1:10">
      <c r="A115" s="487"/>
      <c r="B115" s="488"/>
    </row>
    <row r="116" spans="1:10">
      <c r="A116" s="718" t="s">
        <v>615</v>
      </c>
      <c r="B116" s="719"/>
      <c r="C116" s="720"/>
      <c r="D116" s="166"/>
      <c r="E116" s="721" t="s">
        <v>430</v>
      </c>
      <c r="F116" s="721"/>
      <c r="G116" s="721"/>
      <c r="H116" s="722"/>
      <c r="I116" s="723" t="s">
        <v>429</v>
      </c>
      <c r="J116" s="724"/>
    </row>
    <row r="117" spans="1:10" ht="42.75">
      <c r="A117" s="168" t="s">
        <v>426</v>
      </c>
      <c r="B117" s="167" t="s">
        <v>557</v>
      </c>
      <c r="C117" s="168" t="s">
        <v>425</v>
      </c>
      <c r="D117" s="169" t="s">
        <v>556</v>
      </c>
      <c r="E117" s="169" t="s">
        <v>537</v>
      </c>
      <c r="F117" s="169" t="s">
        <v>512</v>
      </c>
      <c r="G117" s="169" t="s">
        <v>513</v>
      </c>
      <c r="H117" s="169" t="s">
        <v>514</v>
      </c>
      <c r="I117" s="169" t="s">
        <v>515</v>
      </c>
      <c r="J117" s="169" t="s">
        <v>516</v>
      </c>
    </row>
    <row r="118" spans="1:10">
      <c r="A118" s="742" t="s">
        <v>1162</v>
      </c>
      <c r="B118" s="387" t="s">
        <v>1221</v>
      </c>
      <c r="C118" s="441"/>
      <c r="D118" s="470" t="s">
        <v>584</v>
      </c>
      <c r="E118" s="471">
        <v>31732.33</v>
      </c>
      <c r="F118" s="471">
        <v>250</v>
      </c>
      <c r="G118" s="471">
        <v>125</v>
      </c>
      <c r="H118" s="472">
        <v>0</v>
      </c>
      <c r="I118" s="437">
        <v>0.09</v>
      </c>
      <c r="J118" s="437">
        <v>10.220000000000001</v>
      </c>
    </row>
    <row r="119" spans="1:10">
      <c r="A119" s="743"/>
      <c r="B119" s="387" t="s">
        <v>1217</v>
      </c>
      <c r="C119" s="441"/>
      <c r="D119" s="470" t="s">
        <v>583</v>
      </c>
      <c r="E119" s="471">
        <v>34765.480000000003</v>
      </c>
      <c r="F119" s="471">
        <v>5405</v>
      </c>
      <c r="G119" s="471">
        <v>2702.5</v>
      </c>
      <c r="H119" s="472">
        <v>0</v>
      </c>
      <c r="I119" s="437">
        <v>0.42</v>
      </c>
      <c r="J119" s="437">
        <v>16.8</v>
      </c>
    </row>
    <row r="120" spans="1:10" ht="28.5">
      <c r="A120" s="733" t="s">
        <v>982</v>
      </c>
      <c r="B120" s="736" t="s">
        <v>1218</v>
      </c>
      <c r="C120" s="738" t="s">
        <v>581</v>
      </c>
      <c r="D120" s="482" t="s">
        <v>591</v>
      </c>
      <c r="E120" s="483">
        <v>-6598.12</v>
      </c>
      <c r="F120" s="483">
        <v>10557</v>
      </c>
      <c r="G120" s="483">
        <v>5278.5</v>
      </c>
      <c r="H120" s="484">
        <v>17155.12</v>
      </c>
      <c r="I120" s="730">
        <v>7.0000000000000007E-2</v>
      </c>
      <c r="J120" s="730">
        <v>6.37</v>
      </c>
    </row>
    <row r="121" spans="1:10">
      <c r="A121" s="735"/>
      <c r="B121" s="737"/>
      <c r="C121" s="739"/>
      <c r="D121" s="482" t="s">
        <v>579</v>
      </c>
      <c r="E121" s="483">
        <v>18.45</v>
      </c>
      <c r="F121" s="483">
        <v>10557</v>
      </c>
      <c r="G121" s="483">
        <v>5278.5</v>
      </c>
      <c r="H121" s="484">
        <v>10538.55</v>
      </c>
      <c r="I121" s="732"/>
      <c r="J121" s="732"/>
    </row>
    <row r="122" spans="1:10">
      <c r="A122" s="161" t="s">
        <v>1166</v>
      </c>
      <c r="B122" s="387" t="s">
        <v>1213</v>
      </c>
      <c r="C122" s="441"/>
      <c r="D122" s="470" t="s">
        <v>582</v>
      </c>
      <c r="E122" s="471">
        <v>43501.36</v>
      </c>
      <c r="F122" s="471">
        <v>150</v>
      </c>
      <c r="G122" s="471">
        <v>75</v>
      </c>
      <c r="H122" s="472">
        <v>0</v>
      </c>
      <c r="I122" s="437">
        <v>0.11</v>
      </c>
      <c r="J122" s="437">
        <v>2.91</v>
      </c>
    </row>
    <row r="123" spans="1:10">
      <c r="A123" s="485" t="s">
        <v>986</v>
      </c>
      <c r="B123" s="476" t="s">
        <v>1220</v>
      </c>
      <c r="C123" s="477"/>
      <c r="D123" s="478" t="s">
        <v>590</v>
      </c>
      <c r="E123" s="479">
        <v>45072.67</v>
      </c>
      <c r="F123" s="479">
        <v>250</v>
      </c>
      <c r="G123" s="479">
        <v>125</v>
      </c>
      <c r="H123" s="480">
        <v>0</v>
      </c>
      <c r="I123" s="481">
        <v>0.03</v>
      </c>
      <c r="J123" s="481">
        <v>2.16</v>
      </c>
    </row>
    <row r="124" spans="1:10">
      <c r="A124" s="190"/>
      <c r="B124" s="191"/>
      <c r="C124" s="191"/>
      <c r="D124" s="192"/>
      <c r="E124" s="193"/>
      <c r="F124" s="194"/>
      <c r="G124" s="194"/>
      <c r="H124" s="195"/>
      <c r="I124" s="438"/>
      <c r="J124" s="438"/>
    </row>
    <row r="125" spans="1:10">
      <c r="I125" s="370"/>
      <c r="J125" s="370"/>
    </row>
    <row r="126" spans="1:10">
      <c r="A126" s="740" t="s">
        <v>616</v>
      </c>
      <c r="B126" s="741"/>
      <c r="I126" s="370"/>
      <c r="J126" s="370"/>
    </row>
    <row r="127" spans="1:10" ht="28.5">
      <c r="A127" s="170" t="s">
        <v>617</v>
      </c>
      <c r="B127" s="439">
        <v>188.87</v>
      </c>
      <c r="I127" s="370"/>
      <c r="J127" s="370"/>
    </row>
    <row r="128" spans="1:10" ht="42.75">
      <c r="A128" s="170" t="s">
        <v>618</v>
      </c>
      <c r="B128" s="439">
        <v>188.87</v>
      </c>
      <c r="I128" s="370"/>
      <c r="J128" s="370"/>
    </row>
    <row r="129" spans="1:10" ht="42.75">
      <c r="A129" s="170" t="s">
        <v>619</v>
      </c>
      <c r="B129" s="439">
        <v>445.89</v>
      </c>
    </row>
    <row r="130" spans="1:10" ht="28.5">
      <c r="A130" s="170" t="s">
        <v>620</v>
      </c>
      <c r="B130" s="489">
        <v>0.72499999999999998</v>
      </c>
    </row>
    <row r="131" spans="1:10">
      <c r="A131" s="487"/>
      <c r="B131" s="490"/>
    </row>
    <row r="132" spans="1:10">
      <c r="A132" s="718" t="s">
        <v>621</v>
      </c>
      <c r="B132" s="719"/>
      <c r="C132" s="720"/>
      <c r="D132" s="166"/>
      <c r="E132" s="721" t="s">
        <v>430</v>
      </c>
      <c r="F132" s="721"/>
      <c r="G132" s="721"/>
      <c r="H132" s="722"/>
      <c r="I132" s="723" t="s">
        <v>429</v>
      </c>
      <c r="J132" s="724"/>
    </row>
    <row r="133" spans="1:10" ht="42.75">
      <c r="A133" s="168" t="s">
        <v>426</v>
      </c>
      <c r="B133" s="167" t="s">
        <v>557</v>
      </c>
      <c r="C133" s="168" t="s">
        <v>425</v>
      </c>
      <c r="D133" s="169" t="s">
        <v>556</v>
      </c>
      <c r="E133" s="169" t="s">
        <v>537</v>
      </c>
      <c r="F133" s="169" t="s">
        <v>512</v>
      </c>
      <c r="G133" s="169" t="s">
        <v>513</v>
      </c>
      <c r="H133" s="169" t="s">
        <v>514</v>
      </c>
      <c r="I133" s="169" t="s">
        <v>515</v>
      </c>
      <c r="J133" s="169" t="s">
        <v>516</v>
      </c>
    </row>
    <row r="134" spans="1:10">
      <c r="A134" s="161" t="s">
        <v>1162</v>
      </c>
      <c r="B134" s="387" t="s">
        <v>1216</v>
      </c>
      <c r="C134" s="441"/>
      <c r="D134" s="470" t="s">
        <v>584</v>
      </c>
      <c r="E134" s="471">
        <v>31607.33</v>
      </c>
      <c r="F134" s="471">
        <v>5400</v>
      </c>
      <c r="G134" s="471">
        <v>2700</v>
      </c>
      <c r="H134" s="472">
        <v>0</v>
      </c>
      <c r="I134" s="437">
        <v>0.4</v>
      </c>
      <c r="J134" s="437">
        <v>10.81</v>
      </c>
    </row>
    <row r="135" spans="1:10">
      <c r="A135" s="485" t="s">
        <v>1163</v>
      </c>
      <c r="B135" s="476" t="s">
        <v>1222</v>
      </c>
      <c r="C135" s="477"/>
      <c r="D135" s="478" t="s">
        <v>583</v>
      </c>
      <c r="E135" s="479">
        <v>32062.98</v>
      </c>
      <c r="F135" s="479">
        <v>200</v>
      </c>
      <c r="G135" s="479">
        <v>100</v>
      </c>
      <c r="H135" s="480">
        <v>0</v>
      </c>
      <c r="I135" s="481">
        <v>0.12</v>
      </c>
      <c r="J135" s="481">
        <v>37.770000000000003</v>
      </c>
    </row>
    <row r="136" spans="1:10">
      <c r="A136" s="742" t="s">
        <v>982</v>
      </c>
      <c r="B136" s="746" t="s">
        <v>1223</v>
      </c>
      <c r="C136" s="748" t="s">
        <v>581</v>
      </c>
      <c r="D136" s="470" t="s">
        <v>590</v>
      </c>
      <c r="E136" s="471">
        <v>37785.57</v>
      </c>
      <c r="F136" s="471">
        <v>10857</v>
      </c>
      <c r="G136" s="471">
        <v>5428.5</v>
      </c>
      <c r="H136" s="472">
        <v>0</v>
      </c>
      <c r="I136" s="750">
        <v>0.1</v>
      </c>
      <c r="J136" s="750">
        <v>8.4</v>
      </c>
    </row>
    <row r="137" spans="1:10" ht="28.5">
      <c r="A137" s="743"/>
      <c r="B137" s="747"/>
      <c r="C137" s="749"/>
      <c r="D137" s="473" t="s">
        <v>591</v>
      </c>
      <c r="E137" s="474">
        <v>-11876.62</v>
      </c>
      <c r="F137" s="474">
        <v>10857</v>
      </c>
      <c r="G137" s="474">
        <v>5428.5</v>
      </c>
      <c r="H137" s="475">
        <v>22733.62</v>
      </c>
      <c r="I137" s="751"/>
      <c r="J137" s="751"/>
    </row>
    <row r="138" spans="1:10">
      <c r="A138" s="485" t="s">
        <v>987</v>
      </c>
      <c r="B138" s="476" t="s">
        <v>1225</v>
      </c>
      <c r="C138" s="477"/>
      <c r="D138" s="478" t="s">
        <v>582</v>
      </c>
      <c r="E138" s="479">
        <v>43426.36</v>
      </c>
      <c r="F138" s="479">
        <v>4494</v>
      </c>
      <c r="G138" s="479">
        <v>2247</v>
      </c>
      <c r="H138" s="480">
        <v>0</v>
      </c>
      <c r="I138" s="481">
        <v>0.01</v>
      </c>
      <c r="J138" s="481">
        <v>4.37</v>
      </c>
    </row>
    <row r="139" spans="1:10">
      <c r="A139" s="161" t="s">
        <v>1167</v>
      </c>
      <c r="B139" s="387" t="s">
        <v>1229</v>
      </c>
      <c r="C139" s="441"/>
      <c r="D139" s="470" t="s">
        <v>590</v>
      </c>
      <c r="E139" s="471">
        <v>44947.67</v>
      </c>
      <c r="F139" s="471">
        <v>450</v>
      </c>
      <c r="G139" s="471">
        <v>225</v>
      </c>
      <c r="H139" s="472">
        <v>0</v>
      </c>
      <c r="I139" s="437">
        <v>0.13</v>
      </c>
      <c r="J139" s="437">
        <v>3.27</v>
      </c>
    </row>
    <row r="140" spans="1:10">
      <c r="A140" s="190"/>
      <c r="B140" s="191"/>
      <c r="C140" s="191"/>
      <c r="D140" s="192"/>
      <c r="E140" s="193"/>
      <c r="F140" s="194"/>
      <c r="G140" s="194"/>
      <c r="H140" s="195"/>
      <c r="I140" s="438"/>
      <c r="J140" s="438"/>
    </row>
    <row r="141" spans="1:10">
      <c r="I141" s="370"/>
      <c r="J141" s="370"/>
    </row>
    <row r="142" spans="1:10">
      <c r="A142" s="740" t="s">
        <v>622</v>
      </c>
      <c r="B142" s="741"/>
      <c r="I142" s="370"/>
      <c r="J142" s="370"/>
    </row>
    <row r="143" spans="1:10" ht="28.5">
      <c r="A143" s="170" t="s">
        <v>623</v>
      </c>
      <c r="B143" s="439">
        <v>180.11</v>
      </c>
      <c r="I143" s="370"/>
      <c r="J143" s="370"/>
    </row>
    <row r="144" spans="1:10" ht="42.75">
      <c r="A144" s="170" t="s">
        <v>624</v>
      </c>
      <c r="B144" s="439">
        <v>180.11</v>
      </c>
      <c r="I144" s="370"/>
      <c r="J144" s="370"/>
    </row>
    <row r="145" spans="1:10" ht="42.75">
      <c r="A145" s="170" t="s">
        <v>625</v>
      </c>
      <c r="B145" s="439">
        <v>451.79</v>
      </c>
    </row>
    <row r="146" spans="1:10" ht="28.5">
      <c r="A146" s="170" t="s">
        <v>626</v>
      </c>
      <c r="B146" s="489">
        <v>0.79652777777777783</v>
      </c>
    </row>
    <row r="147" spans="1:10">
      <c r="A147" s="487"/>
      <c r="B147" s="490"/>
    </row>
    <row r="148" spans="1:10">
      <c r="A148" s="718" t="s">
        <v>627</v>
      </c>
      <c r="B148" s="719"/>
      <c r="C148" s="720"/>
      <c r="D148" s="166"/>
      <c r="E148" s="721" t="s">
        <v>430</v>
      </c>
      <c r="F148" s="721"/>
      <c r="G148" s="721"/>
      <c r="H148" s="722"/>
      <c r="I148" s="723" t="s">
        <v>429</v>
      </c>
      <c r="J148" s="724"/>
    </row>
    <row r="149" spans="1:10" ht="42.75">
      <c r="A149" s="168" t="s">
        <v>426</v>
      </c>
      <c r="B149" s="167" t="s">
        <v>557</v>
      </c>
      <c r="C149" s="168" t="s">
        <v>425</v>
      </c>
      <c r="D149" s="169" t="s">
        <v>556</v>
      </c>
      <c r="E149" s="169" t="s">
        <v>537</v>
      </c>
      <c r="F149" s="169" t="s">
        <v>512</v>
      </c>
      <c r="G149" s="169" t="s">
        <v>513</v>
      </c>
      <c r="H149" s="169" t="s">
        <v>514</v>
      </c>
      <c r="I149" s="169" t="s">
        <v>515</v>
      </c>
      <c r="J149" s="169" t="s">
        <v>516</v>
      </c>
    </row>
    <row r="150" spans="1:10">
      <c r="A150" s="161" t="s">
        <v>1163</v>
      </c>
      <c r="B150" s="387" t="s">
        <v>1226</v>
      </c>
      <c r="C150" s="441"/>
      <c r="D150" s="470" t="s">
        <v>584</v>
      </c>
      <c r="E150" s="471">
        <v>28907.33</v>
      </c>
      <c r="F150" s="471">
        <v>200</v>
      </c>
      <c r="G150" s="471">
        <v>100</v>
      </c>
      <c r="H150" s="472">
        <v>0</v>
      </c>
      <c r="I150" s="437">
        <v>0.08</v>
      </c>
      <c r="J150" s="437">
        <v>11.32</v>
      </c>
    </row>
    <row r="151" spans="1:10">
      <c r="A151" s="733" t="s">
        <v>1170</v>
      </c>
      <c r="B151" s="736" t="s">
        <v>1227</v>
      </c>
      <c r="C151" s="738" t="s">
        <v>581</v>
      </c>
      <c r="D151" s="478" t="s">
        <v>582</v>
      </c>
      <c r="E151" s="479">
        <v>35938.83</v>
      </c>
      <c r="F151" s="479">
        <v>2403</v>
      </c>
      <c r="G151" s="479">
        <v>1201.5</v>
      </c>
      <c r="H151" s="480">
        <v>0</v>
      </c>
      <c r="I151" s="730">
        <v>7.0000000000000007E-2</v>
      </c>
      <c r="J151" s="730">
        <v>10.24</v>
      </c>
    </row>
    <row r="152" spans="1:10" ht="28.5">
      <c r="A152" s="735"/>
      <c r="B152" s="737"/>
      <c r="C152" s="739"/>
      <c r="D152" s="482" t="s">
        <v>591</v>
      </c>
      <c r="E152" s="483">
        <v>-17305.12</v>
      </c>
      <c r="F152" s="483">
        <v>2403</v>
      </c>
      <c r="G152" s="483">
        <v>1201.5</v>
      </c>
      <c r="H152" s="484">
        <v>19708.12</v>
      </c>
      <c r="I152" s="732"/>
      <c r="J152" s="732"/>
    </row>
    <row r="153" spans="1:10">
      <c r="A153" s="161" t="s">
        <v>1171</v>
      </c>
      <c r="B153" s="387" t="s">
        <v>1228</v>
      </c>
      <c r="C153" s="441"/>
      <c r="D153" s="470" t="s">
        <v>582</v>
      </c>
      <c r="E153" s="471">
        <v>41179.360000000001</v>
      </c>
      <c r="F153" s="471">
        <v>601</v>
      </c>
      <c r="G153" s="471">
        <v>300.5</v>
      </c>
      <c r="H153" s="472">
        <v>0</v>
      </c>
      <c r="I153" s="437">
        <v>0.38</v>
      </c>
      <c r="J153" s="437">
        <v>4.54</v>
      </c>
    </row>
    <row r="154" spans="1:10">
      <c r="A154" s="485" t="s">
        <v>1172</v>
      </c>
      <c r="B154" s="476" t="s">
        <v>1224</v>
      </c>
      <c r="C154" s="477"/>
      <c r="D154" s="478" t="s">
        <v>590</v>
      </c>
      <c r="E154" s="479">
        <v>44722.67</v>
      </c>
      <c r="F154" s="479">
        <v>600</v>
      </c>
      <c r="G154" s="479">
        <v>300</v>
      </c>
      <c r="H154" s="480">
        <v>0</v>
      </c>
      <c r="I154" s="481">
        <v>0.03</v>
      </c>
      <c r="J154" s="481">
        <v>3.42</v>
      </c>
    </row>
    <row r="155" spans="1:10">
      <c r="A155" s="190"/>
      <c r="B155" s="191"/>
      <c r="C155" s="191"/>
      <c r="D155" s="192"/>
      <c r="E155" s="193"/>
      <c r="F155" s="194"/>
      <c r="G155" s="194"/>
      <c r="H155" s="195"/>
      <c r="I155" s="438"/>
      <c r="J155" s="438"/>
    </row>
    <row r="156" spans="1:10">
      <c r="I156" s="370"/>
      <c r="J156" s="370"/>
    </row>
    <row r="157" spans="1:10">
      <c r="A157" s="740" t="s">
        <v>628</v>
      </c>
      <c r="B157" s="741"/>
      <c r="I157" s="370"/>
      <c r="J157" s="370"/>
    </row>
    <row r="158" spans="1:10" ht="28.5">
      <c r="A158" s="170" t="s">
        <v>629</v>
      </c>
      <c r="B158" s="439">
        <v>174.21</v>
      </c>
      <c r="I158" s="370"/>
      <c r="J158" s="370"/>
    </row>
    <row r="159" spans="1:10" ht="42.75">
      <c r="A159" s="170" t="s">
        <v>630</v>
      </c>
      <c r="B159" s="439">
        <v>174.21</v>
      </c>
      <c r="I159" s="370"/>
      <c r="J159" s="370"/>
    </row>
    <row r="160" spans="1:10" ht="42.75">
      <c r="A160" s="170" t="s">
        <v>631</v>
      </c>
      <c r="B160" s="439">
        <v>455.28</v>
      </c>
    </row>
    <row r="161" spans="1:10" ht="28.5">
      <c r="A161" s="170" t="s">
        <v>632</v>
      </c>
      <c r="B161" s="489">
        <v>0.10972222222222222</v>
      </c>
    </row>
    <row r="162" spans="1:10">
      <c r="A162" s="487"/>
      <c r="B162" s="490"/>
    </row>
    <row r="163" spans="1:10">
      <c r="A163" s="718" t="s">
        <v>633</v>
      </c>
      <c r="B163" s="719"/>
      <c r="C163" s="720"/>
      <c r="D163" s="166"/>
      <c r="E163" s="721" t="s">
        <v>430</v>
      </c>
      <c r="F163" s="721"/>
      <c r="G163" s="721"/>
      <c r="H163" s="722"/>
      <c r="I163" s="723" t="s">
        <v>429</v>
      </c>
      <c r="J163" s="724"/>
    </row>
    <row r="164" spans="1:10" ht="42.75">
      <c r="A164" s="168" t="s">
        <v>426</v>
      </c>
      <c r="B164" s="167" t="s">
        <v>557</v>
      </c>
      <c r="C164" s="168" t="s">
        <v>425</v>
      </c>
      <c r="D164" s="169" t="s">
        <v>556</v>
      </c>
      <c r="E164" s="169" t="s">
        <v>537</v>
      </c>
      <c r="F164" s="169" t="s">
        <v>512</v>
      </c>
      <c r="G164" s="169" t="s">
        <v>513</v>
      </c>
      <c r="H164" s="169" t="s">
        <v>514</v>
      </c>
      <c r="I164" s="169" t="s">
        <v>515</v>
      </c>
      <c r="J164" s="169" t="s">
        <v>516</v>
      </c>
    </row>
    <row r="165" spans="1:10">
      <c r="A165" s="161" t="s">
        <v>975</v>
      </c>
      <c r="B165" s="387" t="s">
        <v>1234</v>
      </c>
      <c r="C165" s="441"/>
      <c r="D165" s="470" t="s">
        <v>584</v>
      </c>
      <c r="E165" s="471">
        <v>28807.33</v>
      </c>
      <c r="F165" s="471">
        <v>251</v>
      </c>
      <c r="G165" s="471">
        <v>125.5</v>
      </c>
      <c r="H165" s="472">
        <v>0</v>
      </c>
      <c r="I165" s="437">
        <v>0.4</v>
      </c>
      <c r="J165" s="437">
        <v>16.36</v>
      </c>
    </row>
    <row r="166" spans="1:10" ht="28.5">
      <c r="A166" s="485" t="s">
        <v>1165</v>
      </c>
      <c r="B166" s="476" t="s">
        <v>1231</v>
      </c>
      <c r="C166" s="477" t="s">
        <v>581</v>
      </c>
      <c r="D166" s="482" t="s">
        <v>591</v>
      </c>
      <c r="E166" s="483">
        <v>-18506.62</v>
      </c>
      <c r="F166" s="483">
        <v>2403</v>
      </c>
      <c r="G166" s="483">
        <v>1201.5</v>
      </c>
      <c r="H166" s="484">
        <v>20909.62</v>
      </c>
      <c r="I166" s="481">
        <v>0.33</v>
      </c>
      <c r="J166" s="481">
        <v>34.090000000000003</v>
      </c>
    </row>
    <row r="167" spans="1:10">
      <c r="A167" s="161" t="s">
        <v>987</v>
      </c>
      <c r="B167" s="387" t="s">
        <v>1232</v>
      </c>
      <c r="C167" s="441"/>
      <c r="D167" s="470" t="s">
        <v>582</v>
      </c>
      <c r="E167" s="471">
        <v>40878.86</v>
      </c>
      <c r="F167" s="471">
        <v>500</v>
      </c>
      <c r="G167" s="471">
        <v>250</v>
      </c>
      <c r="H167" s="472">
        <v>0</v>
      </c>
      <c r="I167" s="437">
        <v>0.03</v>
      </c>
      <c r="J167" s="437">
        <v>4.8600000000000003</v>
      </c>
    </row>
    <row r="168" spans="1:10">
      <c r="A168" s="485" t="s">
        <v>1167</v>
      </c>
      <c r="B168" s="476" t="s">
        <v>1233</v>
      </c>
      <c r="C168" s="477"/>
      <c r="D168" s="478" t="s">
        <v>590</v>
      </c>
      <c r="E168" s="479">
        <v>44422.67</v>
      </c>
      <c r="F168" s="479">
        <v>251</v>
      </c>
      <c r="G168" s="479">
        <v>125.5</v>
      </c>
      <c r="H168" s="480">
        <v>0</v>
      </c>
      <c r="I168" s="481">
        <v>0.08</v>
      </c>
      <c r="J168" s="481">
        <v>4.2300000000000004</v>
      </c>
    </row>
    <row r="169" spans="1:10">
      <c r="A169" s="190"/>
      <c r="B169" s="191"/>
      <c r="C169" s="191"/>
      <c r="D169" s="192"/>
      <c r="E169" s="193"/>
      <c r="F169" s="194"/>
      <c r="G169" s="194"/>
      <c r="H169" s="195"/>
      <c r="I169" s="438"/>
      <c r="J169" s="438"/>
    </row>
    <row r="170" spans="1:10">
      <c r="I170" s="370"/>
      <c r="J170" s="370"/>
    </row>
    <row r="171" spans="1:10">
      <c r="A171" s="740" t="s">
        <v>634</v>
      </c>
      <c r="B171" s="741"/>
      <c r="I171" s="370"/>
      <c r="J171" s="370"/>
    </row>
    <row r="172" spans="1:10" ht="28.5">
      <c r="A172" s="170" t="s">
        <v>635</v>
      </c>
      <c r="B172" s="439">
        <v>170.72</v>
      </c>
      <c r="I172" s="370"/>
      <c r="J172" s="370"/>
    </row>
    <row r="173" spans="1:10" ht="42.75">
      <c r="A173" s="170" t="s">
        <v>636</v>
      </c>
      <c r="B173" s="439">
        <v>170.72</v>
      </c>
      <c r="I173" s="370"/>
      <c r="J173" s="370"/>
    </row>
    <row r="174" spans="1:10" ht="42.75">
      <c r="A174" s="170" t="s">
        <v>637</v>
      </c>
      <c r="B174" s="439">
        <v>459.85</v>
      </c>
    </row>
    <row r="175" spans="1:10" ht="28.5">
      <c r="A175" s="170" t="s">
        <v>638</v>
      </c>
      <c r="B175" s="489">
        <v>8.4027777777777771E-2</v>
      </c>
    </row>
    <row r="176" spans="1:10">
      <c r="A176" s="487"/>
      <c r="B176" s="490"/>
    </row>
    <row r="177" spans="1:10">
      <c r="A177" s="718" t="s">
        <v>639</v>
      </c>
      <c r="B177" s="719"/>
      <c r="C177" s="720"/>
      <c r="D177" s="166"/>
      <c r="E177" s="721" t="s">
        <v>430</v>
      </c>
      <c r="F177" s="721"/>
      <c r="G177" s="721"/>
      <c r="H177" s="722"/>
      <c r="I177" s="723" t="s">
        <v>429</v>
      </c>
      <c r="J177" s="724"/>
    </row>
    <row r="178" spans="1:10" ht="42.75">
      <c r="A178" s="168" t="s">
        <v>426</v>
      </c>
      <c r="B178" s="167" t="s">
        <v>557</v>
      </c>
      <c r="C178" s="168" t="s">
        <v>425</v>
      </c>
      <c r="D178" s="169" t="s">
        <v>556</v>
      </c>
      <c r="E178" s="169" t="s">
        <v>537</v>
      </c>
      <c r="F178" s="169" t="s">
        <v>512</v>
      </c>
      <c r="G178" s="169" t="s">
        <v>513</v>
      </c>
      <c r="H178" s="169" t="s">
        <v>514</v>
      </c>
      <c r="I178" s="169" t="s">
        <v>515</v>
      </c>
      <c r="J178" s="169" t="s">
        <v>516</v>
      </c>
    </row>
    <row r="179" spans="1:10">
      <c r="A179" s="161" t="s">
        <v>1162</v>
      </c>
      <c r="B179" s="387" t="s">
        <v>1230</v>
      </c>
      <c r="C179" s="441"/>
      <c r="D179" s="470" t="s">
        <v>584</v>
      </c>
      <c r="E179" s="471">
        <v>28681.83</v>
      </c>
      <c r="F179" s="471">
        <v>450</v>
      </c>
      <c r="G179" s="471">
        <v>225</v>
      </c>
      <c r="H179" s="472">
        <v>0</v>
      </c>
      <c r="I179" s="437">
        <v>0.11</v>
      </c>
      <c r="J179" s="437">
        <v>19.96</v>
      </c>
    </row>
    <row r="180" spans="1:10">
      <c r="A180" s="485" t="s">
        <v>1171</v>
      </c>
      <c r="B180" s="476" t="s">
        <v>1236</v>
      </c>
      <c r="C180" s="477"/>
      <c r="D180" s="478" t="s">
        <v>582</v>
      </c>
      <c r="E180" s="479">
        <v>40628.86</v>
      </c>
      <c r="F180" s="479">
        <v>900</v>
      </c>
      <c r="G180" s="479">
        <v>450</v>
      </c>
      <c r="H180" s="480">
        <v>0</v>
      </c>
      <c r="I180" s="481">
        <v>0.01</v>
      </c>
      <c r="J180" s="481">
        <v>6.48</v>
      </c>
    </row>
    <row r="181" spans="1:10">
      <c r="A181" s="161" t="s">
        <v>1166</v>
      </c>
      <c r="B181" s="387" t="s">
        <v>1238</v>
      </c>
      <c r="C181" s="441"/>
      <c r="D181" s="470" t="s">
        <v>590</v>
      </c>
      <c r="E181" s="471">
        <v>44297.17</v>
      </c>
      <c r="F181" s="471">
        <v>150</v>
      </c>
      <c r="G181" s="471">
        <v>75</v>
      </c>
      <c r="H181" s="472">
        <v>0</v>
      </c>
      <c r="I181" s="437">
        <v>0.05</v>
      </c>
      <c r="J181" s="437">
        <v>5.18</v>
      </c>
    </row>
    <row r="182" spans="1:10">
      <c r="A182" s="190"/>
      <c r="B182" s="191"/>
      <c r="C182" s="191"/>
      <c r="D182" s="192"/>
      <c r="E182" s="193"/>
      <c r="F182" s="194"/>
      <c r="G182" s="194"/>
      <c r="H182" s="195"/>
      <c r="I182" s="438"/>
      <c r="J182" s="438"/>
    </row>
    <row r="183" spans="1:10">
      <c r="I183" s="370"/>
      <c r="J183" s="370"/>
    </row>
    <row r="184" spans="1:10">
      <c r="A184" s="740" t="s">
        <v>640</v>
      </c>
      <c r="B184" s="741"/>
      <c r="I184" s="370"/>
      <c r="J184" s="370"/>
    </row>
    <row r="185" spans="1:10" ht="28.5">
      <c r="A185" s="170" t="s">
        <v>641</v>
      </c>
      <c r="B185" s="439">
        <v>166.15</v>
      </c>
      <c r="I185" s="370"/>
      <c r="J185" s="370"/>
    </row>
    <row r="186" spans="1:10" ht="42.75">
      <c r="A186" s="170" t="s">
        <v>642</v>
      </c>
      <c r="B186" s="439">
        <v>166.15</v>
      </c>
      <c r="I186" s="370"/>
      <c r="J186" s="370"/>
    </row>
    <row r="187" spans="1:10" ht="42.75">
      <c r="A187" s="170" t="s">
        <v>643</v>
      </c>
      <c r="B187" s="439">
        <v>467.94</v>
      </c>
    </row>
    <row r="188" spans="1:10" ht="28.5">
      <c r="A188" s="170" t="s">
        <v>644</v>
      </c>
      <c r="B188" s="489">
        <v>1.8749999999999999E-2</v>
      </c>
    </row>
    <row r="189" spans="1:10">
      <c r="A189" s="487"/>
      <c r="B189" s="490"/>
    </row>
    <row r="190" spans="1:10">
      <c r="A190" s="718" t="s">
        <v>645</v>
      </c>
      <c r="B190" s="719"/>
      <c r="C190" s="720"/>
      <c r="D190" s="166"/>
      <c r="E190" s="721" t="s">
        <v>430</v>
      </c>
      <c r="F190" s="721"/>
      <c r="G190" s="721"/>
      <c r="H190" s="722"/>
      <c r="I190" s="723" t="s">
        <v>429</v>
      </c>
      <c r="J190" s="724"/>
    </row>
    <row r="191" spans="1:10" ht="42.75">
      <c r="A191" s="168" t="s">
        <v>426</v>
      </c>
      <c r="B191" s="167" t="s">
        <v>557</v>
      </c>
      <c r="C191" s="168" t="s">
        <v>425</v>
      </c>
      <c r="D191" s="169" t="s">
        <v>556</v>
      </c>
      <c r="E191" s="169" t="s">
        <v>537</v>
      </c>
      <c r="F191" s="169" t="s">
        <v>512</v>
      </c>
      <c r="G191" s="169" t="s">
        <v>513</v>
      </c>
      <c r="H191" s="169" t="s">
        <v>514</v>
      </c>
      <c r="I191" s="169" t="s">
        <v>515</v>
      </c>
      <c r="J191" s="169" t="s">
        <v>516</v>
      </c>
    </row>
    <row r="192" spans="1:10">
      <c r="A192" s="161" t="s">
        <v>1162</v>
      </c>
      <c r="B192" s="387" t="s">
        <v>1237</v>
      </c>
      <c r="C192" s="441"/>
      <c r="D192" s="470" t="s">
        <v>584</v>
      </c>
      <c r="E192" s="471">
        <v>28456.83</v>
      </c>
      <c r="F192" s="471">
        <v>251</v>
      </c>
      <c r="G192" s="471">
        <v>125.5</v>
      </c>
      <c r="H192" s="472">
        <v>0</v>
      </c>
      <c r="I192" s="437">
        <v>0.28999999999999998</v>
      </c>
      <c r="J192" s="437">
        <v>28.4</v>
      </c>
    </row>
    <row r="193" spans="1:10">
      <c r="A193" s="485" t="s">
        <v>1171</v>
      </c>
      <c r="B193" s="476" t="s">
        <v>1235</v>
      </c>
      <c r="C193" s="477"/>
      <c r="D193" s="478" t="s">
        <v>590</v>
      </c>
      <c r="E193" s="479">
        <v>44222.17</v>
      </c>
      <c r="F193" s="479">
        <v>450</v>
      </c>
      <c r="G193" s="479">
        <v>225</v>
      </c>
      <c r="H193" s="480">
        <v>0</v>
      </c>
      <c r="I193" s="481">
        <v>0.04</v>
      </c>
      <c r="J193" s="481">
        <v>5.53</v>
      </c>
    </row>
    <row r="194" spans="1:10">
      <c r="A194" s="161" t="s">
        <v>1168</v>
      </c>
      <c r="B194" s="387" t="s">
        <v>1242</v>
      </c>
      <c r="C194" s="441"/>
      <c r="D194" s="470" t="s">
        <v>582</v>
      </c>
      <c r="E194" s="471">
        <v>40178.86</v>
      </c>
      <c r="F194" s="471">
        <v>450</v>
      </c>
      <c r="G194" s="471">
        <v>225</v>
      </c>
      <c r="H194" s="472">
        <v>0</v>
      </c>
      <c r="I194" s="437">
        <v>0.13</v>
      </c>
      <c r="J194" s="437">
        <v>8.2200000000000006</v>
      </c>
    </row>
    <row r="195" spans="1:10">
      <c r="A195" s="190"/>
      <c r="B195" s="191"/>
      <c r="C195" s="191"/>
      <c r="D195" s="192"/>
      <c r="E195" s="193"/>
      <c r="F195" s="194"/>
      <c r="G195" s="194"/>
      <c r="H195" s="195"/>
      <c r="I195" s="438"/>
      <c r="J195" s="438"/>
    </row>
    <row r="196" spans="1:10">
      <c r="I196" s="370"/>
      <c r="J196" s="370"/>
    </row>
    <row r="197" spans="1:10">
      <c r="A197" s="740" t="s">
        <v>646</v>
      </c>
      <c r="B197" s="741"/>
      <c r="I197" s="370"/>
      <c r="J197" s="370"/>
    </row>
    <row r="198" spans="1:10" ht="28.5">
      <c r="A198" s="170" t="s">
        <v>647</v>
      </c>
      <c r="B198" s="439">
        <v>158.06</v>
      </c>
      <c r="I198" s="370"/>
      <c r="J198" s="370"/>
    </row>
    <row r="199" spans="1:10" ht="42.75">
      <c r="A199" s="170" t="s">
        <v>648</v>
      </c>
      <c r="B199" s="439">
        <v>158.06</v>
      </c>
      <c r="I199" s="370"/>
      <c r="J199" s="370"/>
    </row>
    <row r="200" spans="1:10" ht="42.75">
      <c r="A200" s="170" t="s">
        <v>649</v>
      </c>
      <c r="B200" s="439">
        <v>475.43</v>
      </c>
    </row>
    <row r="201" spans="1:10" ht="28.5">
      <c r="A201" s="170" t="s">
        <v>650</v>
      </c>
      <c r="B201" s="489">
        <v>3.888888888888889E-2</v>
      </c>
    </row>
    <row r="202" spans="1:10">
      <c r="A202" s="487"/>
      <c r="B202" s="490"/>
    </row>
    <row r="203" spans="1:10">
      <c r="A203" s="718" t="s">
        <v>651</v>
      </c>
      <c r="B203" s="719"/>
      <c r="C203" s="720"/>
      <c r="D203" s="166"/>
      <c r="E203" s="721" t="s">
        <v>430</v>
      </c>
      <c r="F203" s="721"/>
      <c r="G203" s="721"/>
      <c r="H203" s="722"/>
      <c r="I203" s="723" t="s">
        <v>429</v>
      </c>
      <c r="J203" s="724"/>
    </row>
    <row r="204" spans="1:10" ht="42.75">
      <c r="A204" s="168" t="s">
        <v>426</v>
      </c>
      <c r="B204" s="167" t="s">
        <v>557</v>
      </c>
      <c r="C204" s="168" t="s">
        <v>425</v>
      </c>
      <c r="D204" s="169" t="s">
        <v>556</v>
      </c>
      <c r="E204" s="169" t="s">
        <v>537</v>
      </c>
      <c r="F204" s="169" t="s">
        <v>512</v>
      </c>
      <c r="G204" s="169" t="s">
        <v>513</v>
      </c>
      <c r="H204" s="169" t="s">
        <v>514</v>
      </c>
      <c r="I204" s="169" t="s">
        <v>515</v>
      </c>
      <c r="J204" s="169" t="s">
        <v>516</v>
      </c>
    </row>
    <row r="205" spans="1:10">
      <c r="A205" s="742" t="s">
        <v>975</v>
      </c>
      <c r="B205" s="746" t="s">
        <v>1240</v>
      </c>
      <c r="C205" s="748" t="s">
        <v>581</v>
      </c>
      <c r="D205" s="473" t="s">
        <v>578</v>
      </c>
      <c r="E205" s="474">
        <v>64.260000000000005</v>
      </c>
      <c r="F205" s="474">
        <v>190</v>
      </c>
      <c r="G205" s="474">
        <v>95</v>
      </c>
      <c r="H205" s="475">
        <v>125.74</v>
      </c>
      <c r="I205" s="750">
        <v>0.22</v>
      </c>
      <c r="J205" s="750">
        <v>31.38</v>
      </c>
    </row>
    <row r="206" spans="1:10">
      <c r="A206" s="743"/>
      <c r="B206" s="747"/>
      <c r="C206" s="749"/>
      <c r="D206" s="470" t="s">
        <v>584</v>
      </c>
      <c r="E206" s="471">
        <v>28331.33</v>
      </c>
      <c r="F206" s="471">
        <v>190</v>
      </c>
      <c r="G206" s="471">
        <v>95</v>
      </c>
      <c r="H206" s="472">
        <v>0</v>
      </c>
      <c r="I206" s="751"/>
      <c r="J206" s="751"/>
    </row>
    <row r="207" spans="1:10">
      <c r="A207" s="485" t="s">
        <v>987</v>
      </c>
      <c r="B207" s="476" t="s">
        <v>1239</v>
      </c>
      <c r="C207" s="477"/>
      <c r="D207" s="478" t="s">
        <v>582</v>
      </c>
      <c r="E207" s="479">
        <v>39953.86</v>
      </c>
      <c r="F207" s="479">
        <v>70</v>
      </c>
      <c r="G207" s="479">
        <v>35</v>
      </c>
      <c r="H207" s="480">
        <v>0</v>
      </c>
      <c r="I207" s="481">
        <v>0.17</v>
      </c>
      <c r="J207" s="481">
        <v>9.58</v>
      </c>
    </row>
    <row r="208" spans="1:10">
      <c r="A208" s="161" t="s">
        <v>1167</v>
      </c>
      <c r="B208" s="387" t="s">
        <v>1241</v>
      </c>
      <c r="C208" s="441"/>
      <c r="D208" s="470" t="s">
        <v>590</v>
      </c>
      <c r="E208" s="471">
        <v>43997.17</v>
      </c>
      <c r="F208" s="471">
        <v>251</v>
      </c>
      <c r="G208" s="471">
        <v>125.5</v>
      </c>
      <c r="H208" s="472">
        <v>0</v>
      </c>
      <c r="I208" s="437">
        <v>0.21</v>
      </c>
      <c r="J208" s="437">
        <v>5.84</v>
      </c>
    </row>
    <row r="209" spans="1:10">
      <c r="A209" s="190"/>
      <c r="B209" s="191"/>
      <c r="C209" s="191"/>
      <c r="D209" s="192"/>
      <c r="E209" s="193"/>
      <c r="F209" s="194"/>
      <c r="G209" s="194"/>
      <c r="H209" s="195"/>
      <c r="I209" s="438"/>
      <c r="J209" s="438"/>
    </row>
    <row r="210" spans="1:10">
      <c r="I210" s="370"/>
      <c r="J210" s="370"/>
    </row>
    <row r="211" spans="1:10">
      <c r="A211" s="740" t="s">
        <v>652</v>
      </c>
      <c r="B211" s="741"/>
      <c r="I211" s="370"/>
      <c r="J211" s="370"/>
    </row>
    <row r="212" spans="1:10" ht="28.5">
      <c r="A212" s="170" t="s">
        <v>653</v>
      </c>
      <c r="B212" s="439">
        <v>150.57</v>
      </c>
      <c r="I212" s="370"/>
      <c r="J212" s="370"/>
    </row>
    <row r="213" spans="1:10" ht="42.75">
      <c r="A213" s="170" t="s">
        <v>654</v>
      </c>
      <c r="B213" s="439">
        <v>150.57</v>
      </c>
      <c r="I213" s="370"/>
      <c r="J213" s="370"/>
    </row>
    <row r="214" spans="1:10" ht="42.75">
      <c r="A214" s="170" t="s">
        <v>655</v>
      </c>
      <c r="B214" s="439">
        <v>475.95</v>
      </c>
    </row>
    <row r="215" spans="1:10" ht="28.5">
      <c r="A215" s="170" t="s">
        <v>656</v>
      </c>
      <c r="B215" s="489">
        <v>2.5694444444444447E-2</v>
      </c>
    </row>
    <row r="216" spans="1:10">
      <c r="A216" s="487"/>
      <c r="B216" s="490"/>
    </row>
    <row r="217" spans="1:10">
      <c r="A217" s="718" t="s">
        <v>657</v>
      </c>
      <c r="B217" s="719"/>
      <c r="C217" s="720"/>
      <c r="D217" s="166"/>
      <c r="E217" s="721" t="s">
        <v>430</v>
      </c>
      <c r="F217" s="721"/>
      <c r="G217" s="721"/>
      <c r="H217" s="722"/>
      <c r="I217" s="723" t="s">
        <v>429</v>
      </c>
      <c r="J217" s="724"/>
    </row>
    <row r="218" spans="1:10" ht="42.75">
      <c r="A218" s="168" t="s">
        <v>426</v>
      </c>
      <c r="B218" s="167" t="s">
        <v>557</v>
      </c>
      <c r="C218" s="168" t="s">
        <v>425</v>
      </c>
      <c r="D218" s="169" t="s">
        <v>556</v>
      </c>
      <c r="E218" s="169" t="s">
        <v>537</v>
      </c>
      <c r="F218" s="169" t="s">
        <v>512</v>
      </c>
      <c r="G218" s="169" t="s">
        <v>513</v>
      </c>
      <c r="H218" s="169" t="s">
        <v>514</v>
      </c>
      <c r="I218" s="169" t="s">
        <v>515</v>
      </c>
      <c r="J218" s="169" t="s">
        <v>516</v>
      </c>
    </row>
    <row r="219" spans="1:10">
      <c r="A219" s="161" t="s">
        <v>1163</v>
      </c>
      <c r="B219" s="387" t="s">
        <v>1243</v>
      </c>
      <c r="C219" s="441"/>
      <c r="D219" s="470" t="s">
        <v>584</v>
      </c>
      <c r="E219" s="471">
        <v>28236.33</v>
      </c>
      <c r="F219" s="471">
        <v>2474</v>
      </c>
      <c r="G219" s="471">
        <v>1237</v>
      </c>
      <c r="H219" s="472">
        <v>0</v>
      </c>
      <c r="I219" s="437">
        <v>2.08</v>
      </c>
      <c r="J219" s="437">
        <v>268.82</v>
      </c>
    </row>
    <row r="220" spans="1:10">
      <c r="A220" s="485" t="s">
        <v>1166</v>
      </c>
      <c r="B220" s="476" t="s">
        <v>1246</v>
      </c>
      <c r="C220" s="477"/>
      <c r="D220" s="478" t="s">
        <v>590</v>
      </c>
      <c r="E220" s="479">
        <v>43871.67</v>
      </c>
      <c r="F220" s="479">
        <v>200</v>
      </c>
      <c r="G220" s="479">
        <v>100</v>
      </c>
      <c r="H220" s="480">
        <v>0</v>
      </c>
      <c r="I220" s="481">
        <v>7.0000000000000007E-2</v>
      </c>
      <c r="J220" s="481">
        <v>7.48</v>
      </c>
    </row>
    <row r="221" spans="1:10">
      <c r="A221" s="161" t="s">
        <v>1167</v>
      </c>
      <c r="B221" s="387" t="s">
        <v>1247</v>
      </c>
      <c r="C221" s="441"/>
      <c r="D221" s="470" t="s">
        <v>582</v>
      </c>
      <c r="E221" s="471">
        <v>39918.86</v>
      </c>
      <c r="F221" s="471">
        <v>1451</v>
      </c>
      <c r="G221" s="471">
        <v>725.5</v>
      </c>
      <c r="H221" s="472">
        <v>0</v>
      </c>
      <c r="I221" s="437">
        <v>0.25</v>
      </c>
      <c r="J221" s="437">
        <v>9.67</v>
      </c>
    </row>
    <row r="222" spans="1:10">
      <c r="A222" s="190"/>
      <c r="B222" s="191"/>
      <c r="C222" s="191"/>
      <c r="D222" s="192"/>
      <c r="E222" s="193"/>
      <c r="F222" s="194"/>
      <c r="G222" s="194"/>
      <c r="H222" s="195"/>
      <c r="I222" s="438"/>
      <c r="J222" s="438"/>
    </row>
    <row r="223" spans="1:10">
      <c r="I223" s="370"/>
      <c r="J223" s="370"/>
    </row>
    <row r="224" spans="1:10">
      <c r="A224" s="740" t="s">
        <v>658</v>
      </c>
      <c r="B224" s="741"/>
      <c r="I224" s="370"/>
      <c r="J224" s="370"/>
    </row>
    <row r="225" spans="1:10" ht="28.5">
      <c r="A225" s="170" t="s">
        <v>659</v>
      </c>
      <c r="B225" s="439">
        <v>150.05000000000001</v>
      </c>
      <c r="I225" s="370"/>
      <c r="J225" s="370"/>
    </row>
    <row r="226" spans="1:10" ht="42.75">
      <c r="A226" s="170" t="s">
        <v>660</v>
      </c>
      <c r="B226" s="439">
        <v>150.05000000000001</v>
      </c>
      <c r="I226" s="370"/>
      <c r="J226" s="370"/>
    </row>
    <row r="227" spans="1:10" ht="42.75">
      <c r="A227" s="170" t="s">
        <v>661</v>
      </c>
      <c r="B227" s="439">
        <v>538.04</v>
      </c>
    </row>
    <row r="228" spans="1:10" ht="28.5">
      <c r="A228" s="170" t="s">
        <v>662</v>
      </c>
      <c r="B228" s="489">
        <v>0.16597222222222222</v>
      </c>
    </row>
    <row r="229" spans="1:10">
      <c r="A229" s="487"/>
      <c r="B229" s="490"/>
    </row>
    <row r="230" spans="1:10">
      <c r="A230" s="718" t="s">
        <v>663</v>
      </c>
      <c r="B230" s="719"/>
      <c r="C230" s="720"/>
      <c r="D230" s="166"/>
      <c r="E230" s="721" t="s">
        <v>430</v>
      </c>
      <c r="F230" s="721"/>
      <c r="G230" s="721"/>
      <c r="H230" s="722"/>
      <c r="I230" s="723" t="s">
        <v>429</v>
      </c>
      <c r="J230" s="724"/>
    </row>
    <row r="231" spans="1:10" ht="42.75">
      <c r="A231" s="168" t="s">
        <v>426</v>
      </c>
      <c r="B231" s="167" t="s">
        <v>557</v>
      </c>
      <c r="C231" s="168" t="s">
        <v>425</v>
      </c>
      <c r="D231" s="169" t="s">
        <v>556</v>
      </c>
      <c r="E231" s="169" t="s">
        <v>537</v>
      </c>
      <c r="F231" s="169" t="s">
        <v>512</v>
      </c>
      <c r="G231" s="169" t="s">
        <v>513</v>
      </c>
      <c r="H231" s="169" t="s">
        <v>514</v>
      </c>
      <c r="I231" s="169" t="s">
        <v>515</v>
      </c>
      <c r="J231" s="169" t="s">
        <v>516</v>
      </c>
    </row>
    <row r="232" spans="1:10">
      <c r="A232" s="161" t="s">
        <v>1166</v>
      </c>
      <c r="B232" s="387" t="s">
        <v>1244</v>
      </c>
      <c r="C232" s="441"/>
      <c r="D232" s="470" t="s">
        <v>590</v>
      </c>
      <c r="E232" s="471">
        <v>43771.67</v>
      </c>
      <c r="F232" s="471">
        <v>200</v>
      </c>
      <c r="G232" s="471">
        <v>100</v>
      </c>
      <c r="H232" s="472">
        <v>0</v>
      </c>
      <c r="I232" s="437">
        <v>7.0000000000000007E-2</v>
      </c>
      <c r="J232" s="437">
        <v>7.6</v>
      </c>
    </row>
    <row r="233" spans="1:10">
      <c r="A233" s="485" t="s">
        <v>987</v>
      </c>
      <c r="B233" s="476" t="s">
        <v>1245</v>
      </c>
      <c r="C233" s="477"/>
      <c r="D233" s="478" t="s">
        <v>582</v>
      </c>
      <c r="E233" s="479">
        <v>39193.360000000001</v>
      </c>
      <c r="F233" s="479">
        <v>450</v>
      </c>
      <c r="G233" s="479">
        <v>225</v>
      </c>
      <c r="H233" s="480">
        <v>0</v>
      </c>
      <c r="I233" s="481">
        <v>0.17</v>
      </c>
      <c r="J233" s="481">
        <v>10.51</v>
      </c>
    </row>
    <row r="234" spans="1:10">
      <c r="A234" s="190"/>
      <c r="B234" s="191"/>
      <c r="C234" s="191"/>
      <c r="D234" s="192"/>
      <c r="E234" s="193"/>
      <c r="F234" s="194"/>
      <c r="G234" s="194"/>
      <c r="H234" s="195"/>
      <c r="I234" s="438"/>
      <c r="J234" s="438"/>
    </row>
    <row r="235" spans="1:10">
      <c r="I235" s="370"/>
      <c r="J235" s="370"/>
    </row>
    <row r="236" spans="1:10">
      <c r="A236" s="740" t="s">
        <v>664</v>
      </c>
      <c r="B236" s="741"/>
      <c r="I236" s="370"/>
      <c r="J236" s="370"/>
    </row>
    <row r="237" spans="1:10" ht="28.5">
      <c r="A237" s="170" t="s">
        <v>665</v>
      </c>
      <c r="B237" s="439">
        <v>87.96</v>
      </c>
      <c r="I237" s="370"/>
      <c r="J237" s="370"/>
    </row>
    <row r="238" spans="1:10" ht="42.75">
      <c r="A238" s="170" t="s">
        <v>666</v>
      </c>
      <c r="B238" s="439">
        <v>87.96</v>
      </c>
      <c r="I238" s="370"/>
      <c r="J238" s="370"/>
    </row>
    <row r="239" spans="1:10" ht="42.75">
      <c r="A239" s="170" t="s">
        <v>667</v>
      </c>
      <c r="B239" s="439">
        <v>540.13</v>
      </c>
    </row>
    <row r="240" spans="1:10" ht="28.5">
      <c r="A240" s="170" t="s">
        <v>668</v>
      </c>
      <c r="B240" s="489">
        <v>4.2361111111111106E-2</v>
      </c>
    </row>
    <row r="241" spans="1:10">
      <c r="A241" s="487"/>
      <c r="B241" s="490"/>
    </row>
    <row r="242" spans="1:10">
      <c r="A242" s="718" t="s">
        <v>669</v>
      </c>
      <c r="B242" s="719"/>
      <c r="C242" s="720"/>
      <c r="D242" s="166"/>
      <c r="E242" s="721" t="s">
        <v>430</v>
      </c>
      <c r="F242" s="721"/>
      <c r="G242" s="721"/>
      <c r="H242" s="722"/>
      <c r="I242" s="723" t="s">
        <v>429</v>
      </c>
      <c r="J242" s="724"/>
    </row>
    <row r="243" spans="1:10" ht="42.75">
      <c r="A243" s="168" t="s">
        <v>426</v>
      </c>
      <c r="B243" s="167" t="s">
        <v>557</v>
      </c>
      <c r="C243" s="168" t="s">
        <v>425</v>
      </c>
      <c r="D243" s="169" t="s">
        <v>556</v>
      </c>
      <c r="E243" s="169" t="s">
        <v>537</v>
      </c>
      <c r="F243" s="169" t="s">
        <v>512</v>
      </c>
      <c r="G243" s="169" t="s">
        <v>513</v>
      </c>
      <c r="H243" s="169" t="s">
        <v>514</v>
      </c>
      <c r="I243" s="169" t="s">
        <v>515</v>
      </c>
      <c r="J243" s="169" t="s">
        <v>516</v>
      </c>
    </row>
    <row r="244" spans="1:10">
      <c r="A244" s="161" t="s">
        <v>1171</v>
      </c>
      <c r="B244" s="387" t="s">
        <v>1248</v>
      </c>
      <c r="C244" s="441"/>
      <c r="D244" s="470" t="s">
        <v>590</v>
      </c>
      <c r="E244" s="471">
        <v>43671.67</v>
      </c>
      <c r="F244" s="471">
        <v>200</v>
      </c>
      <c r="G244" s="471">
        <v>100</v>
      </c>
      <c r="H244" s="472">
        <v>0</v>
      </c>
      <c r="I244" s="437">
        <v>0.08</v>
      </c>
      <c r="J244" s="437">
        <v>8.5</v>
      </c>
    </row>
    <row r="245" spans="1:10">
      <c r="A245" s="733" t="s">
        <v>987</v>
      </c>
      <c r="B245" s="736" t="s">
        <v>1249</v>
      </c>
      <c r="C245" s="738" t="s">
        <v>581</v>
      </c>
      <c r="D245" s="482" t="s">
        <v>579</v>
      </c>
      <c r="E245" s="483">
        <v>29.62</v>
      </c>
      <c r="F245" s="483">
        <v>200</v>
      </c>
      <c r="G245" s="483">
        <v>100</v>
      </c>
      <c r="H245" s="484">
        <v>170.38</v>
      </c>
      <c r="I245" s="730">
        <v>7.0000000000000007E-2</v>
      </c>
      <c r="J245" s="730">
        <v>12.08</v>
      </c>
    </row>
    <row r="246" spans="1:10">
      <c r="A246" s="735"/>
      <c r="B246" s="737"/>
      <c r="C246" s="739"/>
      <c r="D246" s="478" t="s">
        <v>582</v>
      </c>
      <c r="E246" s="479">
        <v>38968.36</v>
      </c>
      <c r="F246" s="479">
        <v>200</v>
      </c>
      <c r="G246" s="479">
        <v>100</v>
      </c>
      <c r="H246" s="480">
        <v>0</v>
      </c>
      <c r="I246" s="732"/>
      <c r="J246" s="732"/>
    </row>
    <row r="247" spans="1:10">
      <c r="A247" s="190"/>
      <c r="B247" s="191"/>
      <c r="C247" s="191"/>
      <c r="D247" s="192"/>
      <c r="E247" s="193"/>
      <c r="F247" s="194"/>
      <c r="G247" s="194"/>
      <c r="H247" s="195"/>
      <c r="I247" s="438"/>
      <c r="J247" s="438"/>
    </row>
    <row r="248" spans="1:10">
      <c r="I248" s="370"/>
      <c r="J248" s="370"/>
    </row>
    <row r="249" spans="1:10">
      <c r="A249" s="740" t="s">
        <v>670</v>
      </c>
      <c r="B249" s="741"/>
      <c r="I249" s="370"/>
      <c r="J249" s="370"/>
    </row>
    <row r="250" spans="1:10" ht="28.5">
      <c r="A250" s="170" t="s">
        <v>671</v>
      </c>
      <c r="B250" s="439">
        <v>85.87</v>
      </c>
      <c r="I250" s="370"/>
      <c r="J250" s="370"/>
    </row>
    <row r="251" spans="1:10" ht="42.75">
      <c r="A251" s="170" t="s">
        <v>672</v>
      </c>
      <c r="B251" s="439">
        <v>85.87</v>
      </c>
      <c r="I251" s="370"/>
      <c r="J251" s="370"/>
    </row>
    <row r="252" spans="1:10" ht="42.75">
      <c r="A252" s="170" t="s">
        <v>673</v>
      </c>
      <c r="B252" s="439">
        <v>547.61</v>
      </c>
    </row>
    <row r="253" spans="1:10" ht="28.5">
      <c r="A253" s="170" t="s">
        <v>674</v>
      </c>
      <c r="B253" s="489">
        <v>1.5972222222222224E-2</v>
      </c>
    </row>
    <row r="254" spans="1:10">
      <c r="A254" s="487"/>
      <c r="B254" s="490"/>
    </row>
    <row r="255" spans="1:10">
      <c r="A255" s="718" t="s">
        <v>675</v>
      </c>
      <c r="B255" s="719"/>
      <c r="C255" s="720"/>
      <c r="D255" s="166"/>
      <c r="E255" s="721" t="s">
        <v>430</v>
      </c>
      <c r="F255" s="721"/>
      <c r="G255" s="721"/>
      <c r="H255" s="722"/>
      <c r="I255" s="723" t="s">
        <v>429</v>
      </c>
      <c r="J255" s="724"/>
    </row>
    <row r="256" spans="1:10" ht="42.75">
      <c r="A256" s="168" t="s">
        <v>426</v>
      </c>
      <c r="B256" s="167" t="s">
        <v>557</v>
      </c>
      <c r="C256" s="168" t="s">
        <v>425</v>
      </c>
      <c r="D256" s="169" t="s">
        <v>556</v>
      </c>
      <c r="E256" s="169" t="s">
        <v>537</v>
      </c>
      <c r="F256" s="169" t="s">
        <v>512</v>
      </c>
      <c r="G256" s="169" t="s">
        <v>513</v>
      </c>
      <c r="H256" s="169" t="s">
        <v>514</v>
      </c>
      <c r="I256" s="169" t="s">
        <v>515</v>
      </c>
      <c r="J256" s="169" t="s">
        <v>516</v>
      </c>
    </row>
    <row r="257" spans="1:10">
      <c r="A257" s="742" t="s">
        <v>984</v>
      </c>
      <c r="B257" s="746" t="s">
        <v>1250</v>
      </c>
      <c r="C257" s="748" t="s">
        <v>581</v>
      </c>
      <c r="D257" s="473" t="s">
        <v>579</v>
      </c>
      <c r="E257" s="474">
        <v>31.76</v>
      </c>
      <c r="F257" s="474">
        <v>2949</v>
      </c>
      <c r="G257" s="474">
        <v>1474.5</v>
      </c>
      <c r="H257" s="475">
        <v>2917.24</v>
      </c>
      <c r="I257" s="750">
        <v>4.5199999999999996</v>
      </c>
      <c r="J257" s="750">
        <v>139.04</v>
      </c>
    </row>
    <row r="258" spans="1:10">
      <c r="A258" s="743"/>
      <c r="B258" s="747"/>
      <c r="C258" s="749"/>
      <c r="D258" s="470" t="s">
        <v>582</v>
      </c>
      <c r="E258" s="471">
        <v>38868.36</v>
      </c>
      <c r="F258" s="471">
        <v>2949</v>
      </c>
      <c r="G258" s="471">
        <v>1474.5</v>
      </c>
      <c r="H258" s="472">
        <v>0</v>
      </c>
      <c r="I258" s="751"/>
      <c r="J258" s="751"/>
    </row>
    <row r="259" spans="1:10">
      <c r="A259" s="485" t="s">
        <v>1168</v>
      </c>
      <c r="B259" s="476" t="s">
        <v>1251</v>
      </c>
      <c r="C259" s="477"/>
      <c r="D259" s="478" t="s">
        <v>590</v>
      </c>
      <c r="E259" s="479">
        <v>43571.67</v>
      </c>
      <c r="F259" s="479">
        <v>251</v>
      </c>
      <c r="G259" s="479">
        <v>125.5</v>
      </c>
      <c r="H259" s="480">
        <v>0</v>
      </c>
      <c r="I259" s="481">
        <v>0.24</v>
      </c>
      <c r="J259" s="481">
        <v>10.52</v>
      </c>
    </row>
    <row r="260" spans="1:10">
      <c r="A260" s="190"/>
      <c r="B260" s="191"/>
      <c r="C260" s="191"/>
      <c r="D260" s="192"/>
      <c r="E260" s="193"/>
      <c r="F260" s="194"/>
      <c r="G260" s="194"/>
      <c r="H260" s="195"/>
      <c r="I260" s="438"/>
      <c r="J260" s="438"/>
    </row>
    <row r="261" spans="1:10">
      <c r="I261" s="370"/>
      <c r="J261" s="370"/>
    </row>
    <row r="262" spans="1:10">
      <c r="A262" s="740" t="s">
        <v>676</v>
      </c>
      <c r="B262" s="741"/>
      <c r="I262" s="370"/>
      <c r="J262" s="370"/>
    </row>
    <row r="263" spans="1:10" ht="28.5">
      <c r="A263" s="170" t="s">
        <v>677</v>
      </c>
      <c r="B263" s="439">
        <v>78.39</v>
      </c>
      <c r="I263" s="370"/>
      <c r="J263" s="370"/>
    </row>
    <row r="264" spans="1:10" ht="42.75">
      <c r="A264" s="170" t="s">
        <v>678</v>
      </c>
      <c r="B264" s="439">
        <v>78.39</v>
      </c>
      <c r="I264" s="370"/>
      <c r="J264" s="370"/>
    </row>
    <row r="265" spans="1:10" ht="42.75">
      <c r="A265" s="170" t="s">
        <v>679</v>
      </c>
      <c r="B265" s="439">
        <v>581.66999999999996</v>
      </c>
    </row>
    <row r="266" spans="1:10" ht="28.5">
      <c r="A266" s="170" t="s">
        <v>680</v>
      </c>
      <c r="B266" s="489">
        <v>0.45347222222222222</v>
      </c>
    </row>
    <row r="267" spans="1:10">
      <c r="A267" s="487"/>
      <c r="B267" s="490"/>
    </row>
    <row r="268" spans="1:10">
      <c r="A268" s="718" t="s">
        <v>681</v>
      </c>
      <c r="B268" s="719"/>
      <c r="C268" s="720"/>
      <c r="D268" s="166"/>
      <c r="E268" s="721" t="s">
        <v>430</v>
      </c>
      <c r="F268" s="721"/>
      <c r="G268" s="721"/>
      <c r="H268" s="722"/>
      <c r="I268" s="723" t="s">
        <v>429</v>
      </c>
      <c r="J268" s="724"/>
    </row>
    <row r="269" spans="1:10" ht="42.75">
      <c r="A269" s="168" t="s">
        <v>426</v>
      </c>
      <c r="B269" s="167" t="s">
        <v>557</v>
      </c>
      <c r="C269" s="168" t="s">
        <v>425</v>
      </c>
      <c r="D269" s="169" t="s">
        <v>556</v>
      </c>
      <c r="E269" s="169" t="s">
        <v>537</v>
      </c>
      <c r="F269" s="169" t="s">
        <v>512</v>
      </c>
      <c r="G269" s="169" t="s">
        <v>513</v>
      </c>
      <c r="H269" s="169" t="s">
        <v>514</v>
      </c>
      <c r="I269" s="169" t="s">
        <v>515</v>
      </c>
      <c r="J269" s="169" t="s">
        <v>516</v>
      </c>
    </row>
    <row r="270" spans="1:10">
      <c r="A270" s="161" t="s">
        <v>1167</v>
      </c>
      <c r="B270" s="387" t="s">
        <v>1252</v>
      </c>
      <c r="C270" s="441"/>
      <c r="D270" s="470" t="s">
        <v>590</v>
      </c>
      <c r="E270" s="471">
        <v>43446.17</v>
      </c>
      <c r="F270" s="471">
        <v>300</v>
      </c>
      <c r="G270" s="471">
        <v>150</v>
      </c>
      <c r="H270" s="472">
        <v>0</v>
      </c>
      <c r="I270" s="437">
        <v>0.14000000000000001</v>
      </c>
      <c r="J270" s="437">
        <v>10.54</v>
      </c>
    </row>
    <row r="271" spans="1:10">
      <c r="A271" s="190"/>
      <c r="B271" s="191"/>
      <c r="C271" s="191"/>
      <c r="D271" s="192"/>
      <c r="E271" s="193"/>
      <c r="F271" s="194"/>
      <c r="G271" s="194"/>
      <c r="H271" s="195"/>
      <c r="I271" s="438"/>
      <c r="J271" s="438"/>
    </row>
    <row r="272" spans="1:10">
      <c r="I272" s="370"/>
      <c r="J272" s="370"/>
    </row>
    <row r="273" spans="1:10">
      <c r="A273" s="740" t="s">
        <v>682</v>
      </c>
      <c r="B273" s="741"/>
      <c r="I273" s="370"/>
      <c r="J273" s="370"/>
    </row>
    <row r="274" spans="1:10" ht="28.5">
      <c r="A274" s="170" t="s">
        <v>683</v>
      </c>
      <c r="B274" s="439">
        <v>44.33</v>
      </c>
      <c r="I274" s="370"/>
      <c r="J274" s="370"/>
    </row>
    <row r="275" spans="1:10" ht="42.75">
      <c r="A275" s="170" t="s">
        <v>684</v>
      </c>
      <c r="B275" s="439">
        <v>44.33</v>
      </c>
      <c r="I275" s="370"/>
      <c r="J275" s="370"/>
    </row>
    <row r="276" spans="1:10" ht="42.75">
      <c r="A276" s="170" t="s">
        <v>685</v>
      </c>
      <c r="B276" s="439">
        <v>582.23</v>
      </c>
    </row>
    <row r="277" spans="1:10" ht="28.5">
      <c r="A277" s="170" t="s">
        <v>686</v>
      </c>
      <c r="B277" s="489">
        <v>4.5833333333333337E-2</v>
      </c>
    </row>
    <row r="278" spans="1:10">
      <c r="A278" s="487"/>
      <c r="B278" s="490"/>
    </row>
    <row r="279" spans="1:10">
      <c r="A279" s="718" t="s">
        <v>687</v>
      </c>
      <c r="B279" s="719"/>
      <c r="C279" s="720"/>
      <c r="D279" s="166"/>
      <c r="E279" s="721" t="s">
        <v>430</v>
      </c>
      <c r="F279" s="721"/>
      <c r="G279" s="721"/>
      <c r="H279" s="722"/>
      <c r="I279" s="723" t="s">
        <v>429</v>
      </c>
      <c r="J279" s="724"/>
    </row>
    <row r="280" spans="1:10" ht="42.75">
      <c r="A280" s="168" t="s">
        <v>426</v>
      </c>
      <c r="B280" s="167" t="s">
        <v>557</v>
      </c>
      <c r="C280" s="168" t="s">
        <v>425</v>
      </c>
      <c r="D280" s="169" t="s">
        <v>556</v>
      </c>
      <c r="E280" s="169" t="s">
        <v>537</v>
      </c>
      <c r="F280" s="169" t="s">
        <v>512</v>
      </c>
      <c r="G280" s="169" t="s">
        <v>513</v>
      </c>
      <c r="H280" s="169" t="s">
        <v>514</v>
      </c>
      <c r="I280" s="169" t="s">
        <v>515</v>
      </c>
      <c r="J280" s="169" t="s">
        <v>516</v>
      </c>
    </row>
    <row r="281" spans="1:10">
      <c r="A281" s="742" t="s">
        <v>986</v>
      </c>
      <c r="B281" s="746" t="s">
        <v>1253</v>
      </c>
      <c r="C281" s="748" t="s">
        <v>581</v>
      </c>
      <c r="D281" s="470" t="s">
        <v>590</v>
      </c>
      <c r="E281" s="471">
        <v>43296.17</v>
      </c>
      <c r="F281" s="471">
        <v>1781</v>
      </c>
      <c r="G281" s="471">
        <v>890.5</v>
      </c>
      <c r="H281" s="472">
        <v>0</v>
      </c>
      <c r="I281" s="750">
        <v>0.28000000000000003</v>
      </c>
      <c r="J281" s="750">
        <v>18.420000000000002</v>
      </c>
    </row>
    <row r="282" spans="1:10">
      <c r="A282" s="743"/>
      <c r="B282" s="747"/>
      <c r="C282" s="749"/>
      <c r="D282" s="473" t="s">
        <v>579</v>
      </c>
      <c r="E282" s="474">
        <v>32.950000000000003</v>
      </c>
      <c r="F282" s="474">
        <v>1781</v>
      </c>
      <c r="G282" s="474">
        <v>890.5</v>
      </c>
      <c r="H282" s="475">
        <v>1748.05</v>
      </c>
      <c r="I282" s="751"/>
      <c r="J282" s="751"/>
    </row>
    <row r="283" spans="1:10">
      <c r="A283" s="190"/>
      <c r="B283" s="191"/>
      <c r="C283" s="191"/>
      <c r="D283" s="192"/>
      <c r="E283" s="193"/>
      <c r="F283" s="194"/>
      <c r="G283" s="194"/>
      <c r="H283" s="195"/>
      <c r="I283" s="438"/>
      <c r="J283" s="438"/>
    </row>
    <row r="284" spans="1:10">
      <c r="I284" s="370"/>
      <c r="J284" s="370"/>
    </row>
    <row r="285" spans="1:10">
      <c r="A285" s="740" t="s">
        <v>688</v>
      </c>
      <c r="B285" s="741"/>
      <c r="I285" s="370"/>
      <c r="J285" s="370"/>
    </row>
    <row r="286" spans="1:10" ht="28.5">
      <c r="A286" s="170" t="s">
        <v>689</v>
      </c>
      <c r="B286" s="439">
        <v>43.77</v>
      </c>
      <c r="I286" s="370"/>
      <c r="J286" s="370"/>
    </row>
    <row r="287" spans="1:10" ht="42.75">
      <c r="A287" s="170" t="s">
        <v>690</v>
      </c>
      <c r="B287" s="439">
        <v>43.77</v>
      </c>
      <c r="I287" s="370"/>
      <c r="J287" s="370"/>
    </row>
    <row r="288" spans="1:10" ht="42.75">
      <c r="A288" s="170" t="s">
        <v>691</v>
      </c>
      <c r="B288" s="439">
        <v>589.95000000000005</v>
      </c>
    </row>
    <row r="289" spans="1:10" ht="28.5">
      <c r="A289" s="170" t="s">
        <v>692</v>
      </c>
      <c r="B289" s="489">
        <v>0.19027777777777777</v>
      </c>
    </row>
    <row r="290" spans="1:10">
      <c r="A290" s="487"/>
      <c r="B290" s="490"/>
    </row>
    <row r="291" spans="1:10">
      <c r="A291" s="718" t="s">
        <v>693</v>
      </c>
      <c r="B291" s="719"/>
      <c r="C291" s="720"/>
      <c r="D291" s="166"/>
      <c r="E291" s="721" t="s">
        <v>430</v>
      </c>
      <c r="F291" s="721"/>
      <c r="G291" s="721"/>
      <c r="H291" s="722"/>
      <c r="I291" s="723" t="s">
        <v>429</v>
      </c>
      <c r="J291" s="724"/>
    </row>
    <row r="292" spans="1:10" ht="42.75">
      <c r="A292" s="168" t="s">
        <v>426</v>
      </c>
      <c r="B292" s="167" t="s">
        <v>557</v>
      </c>
      <c r="C292" s="168" t="s">
        <v>425</v>
      </c>
      <c r="D292" s="169" t="s">
        <v>556</v>
      </c>
      <c r="E292" s="169" t="s">
        <v>537</v>
      </c>
      <c r="F292" s="169" t="s">
        <v>512</v>
      </c>
      <c r="G292" s="169" t="s">
        <v>513</v>
      </c>
      <c r="H292" s="169" t="s">
        <v>514</v>
      </c>
      <c r="I292" s="169" t="s">
        <v>515</v>
      </c>
      <c r="J292" s="169" t="s">
        <v>516</v>
      </c>
    </row>
    <row r="293" spans="1:10">
      <c r="A293" s="742" t="s">
        <v>986</v>
      </c>
      <c r="B293" s="746" t="s">
        <v>1254</v>
      </c>
      <c r="C293" s="748" t="s">
        <v>581</v>
      </c>
      <c r="D293" s="470" t="s">
        <v>590</v>
      </c>
      <c r="E293" s="471">
        <v>42405.67</v>
      </c>
      <c r="F293" s="471">
        <v>1801</v>
      </c>
      <c r="G293" s="471">
        <v>900.5</v>
      </c>
      <c r="H293" s="472">
        <v>0</v>
      </c>
      <c r="I293" s="750">
        <v>0.14000000000000001</v>
      </c>
      <c r="J293" s="750">
        <v>19.7</v>
      </c>
    </row>
    <row r="294" spans="1:10">
      <c r="A294" s="743"/>
      <c r="B294" s="747"/>
      <c r="C294" s="749"/>
      <c r="D294" s="473" t="s">
        <v>579</v>
      </c>
      <c r="E294" s="474">
        <v>-857.55</v>
      </c>
      <c r="F294" s="474">
        <v>1801</v>
      </c>
      <c r="G294" s="474">
        <v>900.5</v>
      </c>
      <c r="H294" s="475">
        <v>2658.55</v>
      </c>
      <c r="I294" s="751"/>
      <c r="J294" s="751"/>
    </row>
    <row r="295" spans="1:10">
      <c r="A295" s="190"/>
      <c r="B295" s="191"/>
      <c r="C295" s="191"/>
      <c r="D295" s="192"/>
      <c r="E295" s="193"/>
      <c r="F295" s="194"/>
      <c r="G295" s="194"/>
      <c r="H295" s="195"/>
      <c r="I295" s="438"/>
      <c r="J295" s="438"/>
    </row>
    <row r="296" spans="1:10">
      <c r="I296" s="370"/>
      <c r="J296" s="370"/>
    </row>
    <row r="297" spans="1:10">
      <c r="A297" s="740" t="s">
        <v>694</v>
      </c>
      <c r="B297" s="741"/>
      <c r="I297" s="370"/>
      <c r="J297" s="370"/>
    </row>
    <row r="298" spans="1:10" ht="28.5">
      <c r="A298" s="170" t="s">
        <v>695</v>
      </c>
      <c r="B298" s="439">
        <v>36.049999999999997</v>
      </c>
      <c r="I298" s="370"/>
      <c r="J298" s="370"/>
    </row>
    <row r="299" spans="1:10" ht="42.75">
      <c r="A299" s="170" t="s">
        <v>696</v>
      </c>
      <c r="B299" s="439">
        <v>36.049999999999997</v>
      </c>
      <c r="I299" s="370"/>
      <c r="J299" s="370"/>
    </row>
    <row r="300" spans="1:10" ht="42.75">
      <c r="A300" s="170" t="s">
        <v>697</v>
      </c>
      <c r="B300" s="439">
        <v>590.19000000000005</v>
      </c>
    </row>
    <row r="301" spans="1:10" ht="28.5">
      <c r="A301" s="170" t="s">
        <v>698</v>
      </c>
      <c r="B301" s="489">
        <v>0.23750000000000002</v>
      </c>
    </row>
    <row r="302" spans="1:10">
      <c r="A302" s="487"/>
      <c r="B302" s="490"/>
    </row>
    <row r="303" spans="1:10">
      <c r="A303" s="718" t="s">
        <v>699</v>
      </c>
      <c r="B303" s="719"/>
      <c r="C303" s="720"/>
      <c r="D303" s="166"/>
      <c r="E303" s="721" t="s">
        <v>430</v>
      </c>
      <c r="F303" s="721"/>
      <c r="G303" s="721"/>
      <c r="H303" s="722"/>
      <c r="I303" s="723" t="s">
        <v>429</v>
      </c>
      <c r="J303" s="724"/>
    </row>
    <row r="304" spans="1:10" ht="42.75">
      <c r="A304" s="168" t="s">
        <v>426</v>
      </c>
      <c r="B304" s="167" t="s">
        <v>557</v>
      </c>
      <c r="C304" s="168" t="s">
        <v>425</v>
      </c>
      <c r="D304" s="169" t="s">
        <v>556</v>
      </c>
      <c r="E304" s="169" t="s">
        <v>537</v>
      </c>
      <c r="F304" s="169" t="s">
        <v>512</v>
      </c>
      <c r="G304" s="169" t="s">
        <v>513</v>
      </c>
      <c r="H304" s="169" t="s">
        <v>514</v>
      </c>
      <c r="I304" s="169" t="s">
        <v>515</v>
      </c>
      <c r="J304" s="169" t="s">
        <v>516</v>
      </c>
    </row>
    <row r="305" spans="1:10">
      <c r="A305" s="161" t="s">
        <v>1172</v>
      </c>
      <c r="B305" s="387" t="s">
        <v>1255</v>
      </c>
      <c r="C305" s="441"/>
      <c r="D305" s="470" t="s">
        <v>590</v>
      </c>
      <c r="E305" s="471">
        <v>41505.17</v>
      </c>
      <c r="F305" s="471">
        <v>1896</v>
      </c>
      <c r="G305" s="471">
        <v>948</v>
      </c>
      <c r="H305" s="472">
        <v>0</v>
      </c>
      <c r="I305" s="437">
        <v>0.38</v>
      </c>
      <c r="J305" s="437">
        <v>46.5</v>
      </c>
    </row>
    <row r="306" spans="1:10">
      <c r="A306" s="190"/>
      <c r="B306" s="191"/>
      <c r="C306" s="191"/>
      <c r="D306" s="192"/>
      <c r="E306" s="193"/>
      <c r="F306" s="194"/>
      <c r="G306" s="194"/>
      <c r="H306" s="195"/>
      <c r="I306" s="438"/>
      <c r="J306" s="438"/>
    </row>
    <row r="307" spans="1:10">
      <c r="I307" s="370"/>
      <c r="J307" s="370"/>
    </row>
    <row r="308" spans="1:10">
      <c r="A308" s="740" t="s">
        <v>700</v>
      </c>
      <c r="B308" s="741"/>
      <c r="I308" s="370"/>
      <c r="J308" s="370"/>
    </row>
    <row r="309" spans="1:10" ht="28.5">
      <c r="A309" s="170" t="s">
        <v>701</v>
      </c>
      <c r="B309" s="439">
        <v>35.81</v>
      </c>
      <c r="I309" s="370"/>
      <c r="J309" s="370"/>
    </row>
    <row r="310" spans="1:10" ht="42.75">
      <c r="A310" s="170" t="s">
        <v>702</v>
      </c>
      <c r="B310" s="439">
        <v>35.81</v>
      </c>
      <c r="I310" s="370"/>
      <c r="J310" s="370"/>
    </row>
    <row r="311" spans="1:10" ht="42.75">
      <c r="A311" s="170" t="s">
        <v>703</v>
      </c>
      <c r="B311" s="439">
        <v>625.46</v>
      </c>
    </row>
    <row r="312" spans="1:10" ht="28.5">
      <c r="A312" s="170" t="s">
        <v>704</v>
      </c>
      <c r="B312" s="489">
        <v>0.1423611111111111</v>
      </c>
    </row>
    <row r="313" spans="1:10">
      <c r="A313" s="487"/>
      <c r="B313" s="490"/>
    </row>
    <row r="314" spans="1:10">
      <c r="A314" s="487"/>
      <c r="B314" s="490"/>
    </row>
  </sheetData>
  <mergeCells count="194">
    <mergeCell ref="A303:C303"/>
    <mergeCell ref="E303:H303"/>
    <mergeCell ref="I303:J303"/>
    <mergeCell ref="A308:B308"/>
    <mergeCell ref="A291:C291"/>
    <mergeCell ref="E291:H291"/>
    <mergeCell ref="I291:J291"/>
    <mergeCell ref="A297:B297"/>
    <mergeCell ref="B293:B294"/>
    <mergeCell ref="C293:C294"/>
    <mergeCell ref="I293:I294"/>
    <mergeCell ref="J293:J294"/>
    <mergeCell ref="A293:A294"/>
    <mergeCell ref="A285:B285"/>
    <mergeCell ref="B281:B282"/>
    <mergeCell ref="C281:C282"/>
    <mergeCell ref="I281:I282"/>
    <mergeCell ref="J281:J282"/>
    <mergeCell ref="A281:A282"/>
    <mergeCell ref="A268:C268"/>
    <mergeCell ref="E268:H268"/>
    <mergeCell ref="I268:J268"/>
    <mergeCell ref="A273:B273"/>
    <mergeCell ref="A279:C279"/>
    <mergeCell ref="E279:H279"/>
    <mergeCell ref="I279:J279"/>
    <mergeCell ref="A255:C255"/>
    <mergeCell ref="E255:H255"/>
    <mergeCell ref="I255:J255"/>
    <mergeCell ref="A262:B262"/>
    <mergeCell ref="B257:B258"/>
    <mergeCell ref="C257:C258"/>
    <mergeCell ref="I257:I258"/>
    <mergeCell ref="J257:J258"/>
    <mergeCell ref="A257:A258"/>
    <mergeCell ref="A236:B236"/>
    <mergeCell ref="A242:C242"/>
    <mergeCell ref="E242:H242"/>
    <mergeCell ref="I242:J242"/>
    <mergeCell ref="A249:B249"/>
    <mergeCell ref="B245:B246"/>
    <mergeCell ref="C245:C246"/>
    <mergeCell ref="I245:I246"/>
    <mergeCell ref="J245:J246"/>
    <mergeCell ref="A245:A246"/>
    <mergeCell ref="A217:C217"/>
    <mergeCell ref="E217:H217"/>
    <mergeCell ref="I217:J217"/>
    <mergeCell ref="A224:B224"/>
    <mergeCell ref="A230:C230"/>
    <mergeCell ref="E230:H230"/>
    <mergeCell ref="I230:J230"/>
    <mergeCell ref="A211:B211"/>
    <mergeCell ref="B205:B206"/>
    <mergeCell ref="C205:C206"/>
    <mergeCell ref="I205:I206"/>
    <mergeCell ref="J205:J206"/>
    <mergeCell ref="A205:A206"/>
    <mergeCell ref="A184:B184"/>
    <mergeCell ref="A190:C190"/>
    <mergeCell ref="E190:H190"/>
    <mergeCell ref="I190:J190"/>
    <mergeCell ref="A197:B197"/>
    <mergeCell ref="A203:C203"/>
    <mergeCell ref="E203:H203"/>
    <mergeCell ref="I203:J203"/>
    <mergeCell ref="A163:C163"/>
    <mergeCell ref="E163:H163"/>
    <mergeCell ref="I163:J163"/>
    <mergeCell ref="A171:B171"/>
    <mergeCell ref="A177:C177"/>
    <mergeCell ref="E177:H177"/>
    <mergeCell ref="I177:J177"/>
    <mergeCell ref="A148:C148"/>
    <mergeCell ref="E148:H148"/>
    <mergeCell ref="I148:J148"/>
    <mergeCell ref="A157:B157"/>
    <mergeCell ref="B151:B152"/>
    <mergeCell ref="C151:C152"/>
    <mergeCell ref="I151:I152"/>
    <mergeCell ref="J151:J152"/>
    <mergeCell ref="A151:A152"/>
    <mergeCell ref="A110:B110"/>
    <mergeCell ref="A120:A121"/>
    <mergeCell ref="A132:C132"/>
    <mergeCell ref="E132:H132"/>
    <mergeCell ref="I132:J132"/>
    <mergeCell ref="A142:B142"/>
    <mergeCell ref="B136:B137"/>
    <mergeCell ref="C136:C137"/>
    <mergeCell ref="I136:I137"/>
    <mergeCell ref="J136:J137"/>
    <mergeCell ref="A136:A137"/>
    <mergeCell ref="A116:C116"/>
    <mergeCell ref="E116:H116"/>
    <mergeCell ref="I116:J116"/>
    <mergeCell ref="A126:B126"/>
    <mergeCell ref="A118:A119"/>
    <mergeCell ref="B120:B121"/>
    <mergeCell ref="C120:C121"/>
    <mergeCell ref="I120:I121"/>
    <mergeCell ref="J120:J121"/>
    <mergeCell ref="B97:B102"/>
    <mergeCell ref="C97:C102"/>
    <mergeCell ref="I97:I102"/>
    <mergeCell ref="J97:J102"/>
    <mergeCell ref="A97:A102"/>
    <mergeCell ref="B103:B104"/>
    <mergeCell ref="C103:C104"/>
    <mergeCell ref="I103:I104"/>
    <mergeCell ref="J103:J104"/>
    <mergeCell ref="A103:A104"/>
    <mergeCell ref="J78:J79"/>
    <mergeCell ref="A78:A79"/>
    <mergeCell ref="A81:A82"/>
    <mergeCell ref="A93:C93"/>
    <mergeCell ref="E93:H93"/>
    <mergeCell ref="I93:J93"/>
    <mergeCell ref="A87:B87"/>
    <mergeCell ref="A73:A74"/>
    <mergeCell ref="B75:B77"/>
    <mergeCell ref="C75:C77"/>
    <mergeCell ref="I75:I77"/>
    <mergeCell ref="J75:J77"/>
    <mergeCell ref="A75:A77"/>
    <mergeCell ref="B78:B79"/>
    <mergeCell ref="C78:C79"/>
    <mergeCell ref="I78:I79"/>
    <mergeCell ref="B60:B61"/>
    <mergeCell ref="C60:C61"/>
    <mergeCell ref="I60:I61"/>
    <mergeCell ref="J60:J61"/>
    <mergeCell ref="A60:A61"/>
    <mergeCell ref="A70:C70"/>
    <mergeCell ref="E70:H70"/>
    <mergeCell ref="I70:J70"/>
    <mergeCell ref="J51:J53"/>
    <mergeCell ref="A51:A53"/>
    <mergeCell ref="B54:B55"/>
    <mergeCell ref="C54:C55"/>
    <mergeCell ref="I54:I55"/>
    <mergeCell ref="J54:J55"/>
    <mergeCell ref="A54:A55"/>
    <mergeCell ref="A64:B64"/>
    <mergeCell ref="B47:B48"/>
    <mergeCell ref="C47:C48"/>
    <mergeCell ref="I47:I48"/>
    <mergeCell ref="J47:J48"/>
    <mergeCell ref="A46:A48"/>
    <mergeCell ref="A49:A50"/>
    <mergeCell ref="B51:B53"/>
    <mergeCell ref="C51:C53"/>
    <mergeCell ref="I51:I53"/>
    <mergeCell ref="A44:C44"/>
    <mergeCell ref="E44:H44"/>
    <mergeCell ref="I44:J44"/>
    <mergeCell ref="J25:J26"/>
    <mergeCell ref="A25:A26"/>
    <mergeCell ref="B27:B28"/>
    <mergeCell ref="C27:C28"/>
    <mergeCell ref="I27:I28"/>
    <mergeCell ref="J27:J28"/>
    <mergeCell ref="A27:A28"/>
    <mergeCell ref="J17:J21"/>
    <mergeCell ref="A17:A21"/>
    <mergeCell ref="B23:B24"/>
    <mergeCell ref="C23:C24"/>
    <mergeCell ref="I23:I24"/>
    <mergeCell ref="J23:J24"/>
    <mergeCell ref="A23:A24"/>
    <mergeCell ref="A38:B38"/>
    <mergeCell ref="A12:A13"/>
    <mergeCell ref="A14:A15"/>
    <mergeCell ref="B17:B21"/>
    <mergeCell ref="C17:C21"/>
    <mergeCell ref="I17:I21"/>
    <mergeCell ref="B25:B26"/>
    <mergeCell ref="C25:C26"/>
    <mergeCell ref="I25:I26"/>
    <mergeCell ref="A31:A32"/>
    <mergeCell ref="B34:B35"/>
    <mergeCell ref="C34:C35"/>
    <mergeCell ref="I34:I35"/>
    <mergeCell ref="J34:J35"/>
    <mergeCell ref="A34:A35"/>
    <mergeCell ref="A10:C10"/>
    <mergeCell ref="E10:H10"/>
    <mergeCell ref="I10:J10"/>
    <mergeCell ref="A1:F1"/>
    <mergeCell ref="A2:F2"/>
    <mergeCell ref="A3:F3"/>
    <mergeCell ref="A5:F5"/>
    <mergeCell ref="A6:E6"/>
    <mergeCell ref="A7:E7"/>
  </mergeCells>
  <hyperlinks>
    <hyperlink ref="A3:F3" r:id="rId1" display="Learn more about initial replication batching for Hyper-V to Azure" xr:uid="{00000000-0004-0000-0900-000000000000}"/>
  </hyperlinks>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M314"/>
  <sheetViews>
    <sheetView zoomScale="85" zoomScaleNormal="85" workbookViewId="0">
      <selection activeCell="A2" sqref="A2:F2"/>
    </sheetView>
  </sheetViews>
  <sheetFormatPr defaultColWidth="9" defaultRowHeight="14.25"/>
  <cols>
    <col min="1" max="2" width="29.73046875" style="162" customWidth="1"/>
    <col min="3" max="3" width="36.265625" style="162" customWidth="1"/>
    <col min="4" max="5" width="30.59765625" style="162" customWidth="1"/>
    <col min="6" max="6" width="27.3984375" style="162" customWidth="1"/>
    <col min="7" max="7" width="24.59765625" style="162" customWidth="1"/>
    <col min="8" max="8" width="38" style="162" customWidth="1"/>
    <col min="9" max="9" width="27.86328125" style="162" customWidth="1"/>
    <col min="10" max="10" width="27.265625" style="162" customWidth="1"/>
    <col min="11" max="16384" width="9" style="162"/>
  </cols>
  <sheetData>
    <row r="1" spans="1:13" ht="51" customHeight="1">
      <c r="A1" s="725" t="s">
        <v>563</v>
      </c>
      <c r="B1" s="725"/>
      <c r="C1" s="725"/>
      <c r="D1" s="725"/>
      <c r="E1" s="725"/>
      <c r="F1" s="725"/>
    </row>
    <row r="2" spans="1:13" ht="41.25" customHeight="1">
      <c r="A2" s="707" t="s">
        <v>564</v>
      </c>
      <c r="B2" s="707"/>
      <c r="C2" s="707"/>
      <c r="D2" s="707"/>
      <c r="E2" s="707"/>
      <c r="F2" s="707"/>
      <c r="M2" s="163"/>
    </row>
    <row r="3" spans="1:13" ht="15.75">
      <c r="A3" s="706" t="s">
        <v>527</v>
      </c>
      <c r="B3" s="706"/>
      <c r="C3" s="706"/>
      <c r="D3" s="706"/>
      <c r="E3" s="706"/>
      <c r="F3" s="706"/>
      <c r="M3" s="163"/>
    </row>
    <row r="4" spans="1:13" ht="15.75">
      <c r="A4" s="164"/>
      <c r="B4" s="164"/>
      <c r="C4" s="165"/>
      <c r="D4" s="165"/>
      <c r="E4" s="165"/>
      <c r="F4" s="165"/>
      <c r="G4" s="165"/>
      <c r="H4" s="165"/>
      <c r="I4" s="165"/>
      <c r="J4" s="165"/>
      <c r="K4" s="165"/>
      <c r="L4" s="165"/>
      <c r="M4" s="165"/>
    </row>
    <row r="5" spans="1:13" ht="15.75">
      <c r="A5" s="726" t="s">
        <v>428</v>
      </c>
      <c r="B5" s="726"/>
      <c r="C5" s="726"/>
      <c r="D5" s="726"/>
      <c r="E5" s="726"/>
      <c r="F5" s="726"/>
      <c r="G5" s="165"/>
      <c r="H5" s="165"/>
      <c r="I5" s="165"/>
      <c r="J5" s="165"/>
      <c r="K5" s="165"/>
      <c r="L5" s="165"/>
      <c r="M5" s="165"/>
    </row>
    <row r="6" spans="1:13" ht="15.75">
      <c r="A6" s="727" t="s">
        <v>510</v>
      </c>
      <c r="B6" s="728"/>
      <c r="C6" s="728"/>
      <c r="D6" s="728"/>
      <c r="E6" s="729"/>
      <c r="F6" s="467">
        <v>739</v>
      </c>
      <c r="G6" s="165"/>
      <c r="H6" s="165"/>
      <c r="I6" s="165"/>
      <c r="J6" s="165"/>
      <c r="K6" s="165"/>
      <c r="L6" s="165"/>
      <c r="M6" s="165"/>
    </row>
    <row r="7" spans="1:13" ht="15.75">
      <c r="A7" s="727" t="s">
        <v>439</v>
      </c>
      <c r="B7" s="728"/>
      <c r="C7" s="728"/>
      <c r="D7" s="728"/>
      <c r="E7" s="729"/>
      <c r="F7" s="467">
        <v>19</v>
      </c>
      <c r="G7" s="165"/>
      <c r="H7" s="165"/>
      <c r="I7" s="165"/>
      <c r="J7" s="165"/>
      <c r="K7" s="165"/>
      <c r="L7" s="165"/>
      <c r="M7" s="165"/>
    </row>
    <row r="8" spans="1:13" ht="15.75">
      <c r="A8" s="165"/>
      <c r="B8" s="165"/>
      <c r="C8" s="165"/>
      <c r="D8" s="165"/>
      <c r="E8" s="165"/>
      <c r="F8" s="165"/>
      <c r="G8" s="165"/>
      <c r="H8" s="165"/>
      <c r="I8" s="165"/>
      <c r="J8" s="165"/>
      <c r="K8" s="165"/>
      <c r="L8" s="165"/>
      <c r="M8" s="165"/>
    </row>
    <row r="10" spans="1:13">
      <c r="A10" s="718" t="s">
        <v>576</v>
      </c>
      <c r="B10" s="719"/>
      <c r="C10" s="720"/>
      <c r="D10" s="166"/>
      <c r="E10" s="721" t="s">
        <v>430</v>
      </c>
      <c r="F10" s="721"/>
      <c r="G10" s="721"/>
      <c r="H10" s="722"/>
      <c r="I10" s="723" t="s">
        <v>429</v>
      </c>
      <c r="J10" s="724"/>
    </row>
    <row r="11" spans="1:13" ht="42.75">
      <c r="A11" s="168" t="s">
        <v>426</v>
      </c>
      <c r="B11" s="167" t="s">
        <v>557</v>
      </c>
      <c r="C11" s="168" t="s">
        <v>425</v>
      </c>
      <c r="D11" s="169" t="s">
        <v>556</v>
      </c>
      <c r="E11" s="169" t="s">
        <v>537</v>
      </c>
      <c r="F11" s="169" t="s">
        <v>512</v>
      </c>
      <c r="G11" s="169" t="s">
        <v>513</v>
      </c>
      <c r="H11" s="169" t="s">
        <v>514</v>
      </c>
      <c r="I11" s="169" t="s">
        <v>515</v>
      </c>
      <c r="J11" s="169" t="s">
        <v>516</v>
      </c>
    </row>
    <row r="12" spans="1:13">
      <c r="A12" s="742" t="s">
        <v>975</v>
      </c>
      <c r="B12" s="387" t="s">
        <v>1173</v>
      </c>
      <c r="C12" s="441"/>
      <c r="D12" s="470" t="s">
        <v>578</v>
      </c>
      <c r="E12" s="471">
        <v>922.26</v>
      </c>
      <c r="F12" s="471">
        <v>121</v>
      </c>
      <c r="G12" s="471">
        <v>60.5</v>
      </c>
      <c r="H12" s="472">
        <v>0</v>
      </c>
      <c r="I12" s="437">
        <v>0.3</v>
      </c>
      <c r="J12" s="437">
        <v>9.73</v>
      </c>
    </row>
    <row r="13" spans="1:13">
      <c r="A13" s="743"/>
      <c r="B13" s="387" t="s">
        <v>580</v>
      </c>
      <c r="C13" s="441" t="s">
        <v>581</v>
      </c>
      <c r="D13" s="473" t="s">
        <v>579</v>
      </c>
      <c r="E13" s="474">
        <v>31.69</v>
      </c>
      <c r="F13" s="474">
        <v>4299</v>
      </c>
      <c r="G13" s="474">
        <v>2149.5</v>
      </c>
      <c r="H13" s="475">
        <v>4267.3100000000004</v>
      </c>
      <c r="I13" s="437">
        <v>0.23</v>
      </c>
      <c r="J13" s="437">
        <v>38.04</v>
      </c>
    </row>
    <row r="14" spans="1:13" ht="15" customHeight="1">
      <c r="A14" s="733" t="s">
        <v>1162</v>
      </c>
      <c r="B14" s="476" t="s">
        <v>1174</v>
      </c>
      <c r="C14" s="477"/>
      <c r="D14" s="478" t="s">
        <v>582</v>
      </c>
      <c r="E14" s="479">
        <v>39001.14</v>
      </c>
      <c r="F14" s="479">
        <v>250</v>
      </c>
      <c r="G14" s="479">
        <v>125</v>
      </c>
      <c r="H14" s="480">
        <v>0</v>
      </c>
      <c r="I14" s="481">
        <v>0.03</v>
      </c>
      <c r="J14" s="481">
        <v>2.98</v>
      </c>
    </row>
    <row r="15" spans="1:13">
      <c r="A15" s="735"/>
      <c r="B15" s="476" t="s">
        <v>1175</v>
      </c>
      <c r="C15" s="477"/>
      <c r="D15" s="478" t="s">
        <v>583</v>
      </c>
      <c r="E15" s="479">
        <v>35315.980000000003</v>
      </c>
      <c r="F15" s="479">
        <v>450</v>
      </c>
      <c r="G15" s="479">
        <v>225</v>
      </c>
      <c r="H15" s="480">
        <v>0</v>
      </c>
      <c r="I15" s="481">
        <v>0.03</v>
      </c>
      <c r="J15" s="481">
        <v>7.97</v>
      </c>
    </row>
    <row r="16" spans="1:13">
      <c r="A16" s="161" t="s">
        <v>1163</v>
      </c>
      <c r="B16" s="387" t="s">
        <v>1176</v>
      </c>
      <c r="C16" s="441"/>
      <c r="D16" s="470" t="s">
        <v>584</v>
      </c>
      <c r="E16" s="471">
        <v>32668.83</v>
      </c>
      <c r="F16" s="471">
        <v>1001</v>
      </c>
      <c r="G16" s="471">
        <v>500.5</v>
      </c>
      <c r="H16" s="472">
        <v>0</v>
      </c>
      <c r="I16" s="437">
        <v>0.06</v>
      </c>
      <c r="J16" s="437">
        <v>1.91</v>
      </c>
    </row>
    <row r="17" spans="1:10">
      <c r="A17" s="733" t="s">
        <v>976</v>
      </c>
      <c r="B17" s="736" t="s">
        <v>1177</v>
      </c>
      <c r="C17" s="738" t="s">
        <v>581</v>
      </c>
      <c r="D17" s="482" t="s">
        <v>585</v>
      </c>
      <c r="E17" s="483">
        <v>33306.85</v>
      </c>
      <c r="F17" s="483">
        <v>52742</v>
      </c>
      <c r="G17" s="483">
        <v>26371</v>
      </c>
      <c r="H17" s="484">
        <v>19435.150000000001</v>
      </c>
      <c r="I17" s="730">
        <v>0.47</v>
      </c>
      <c r="J17" s="730">
        <v>7.34</v>
      </c>
    </row>
    <row r="18" spans="1:10">
      <c r="A18" s="734"/>
      <c r="B18" s="744"/>
      <c r="C18" s="745"/>
      <c r="D18" s="482" t="s">
        <v>579</v>
      </c>
      <c r="E18" s="483">
        <v>28.89</v>
      </c>
      <c r="F18" s="483">
        <v>52742</v>
      </c>
      <c r="G18" s="483">
        <v>26371</v>
      </c>
      <c r="H18" s="484">
        <v>52713.11</v>
      </c>
      <c r="I18" s="731"/>
      <c r="J18" s="731"/>
    </row>
    <row r="19" spans="1:10" ht="42.75">
      <c r="A19" s="734"/>
      <c r="B19" s="744"/>
      <c r="C19" s="745"/>
      <c r="D19" s="482" t="s">
        <v>586</v>
      </c>
      <c r="E19" s="483">
        <v>30224.49</v>
      </c>
      <c r="F19" s="483">
        <v>52742</v>
      </c>
      <c r="G19" s="483">
        <v>26371</v>
      </c>
      <c r="H19" s="484">
        <v>22517.51</v>
      </c>
      <c r="I19" s="731"/>
      <c r="J19" s="731"/>
    </row>
    <row r="20" spans="1:10" ht="42.75">
      <c r="A20" s="734"/>
      <c r="B20" s="744"/>
      <c r="C20" s="745"/>
      <c r="D20" s="482" t="s">
        <v>587</v>
      </c>
      <c r="E20" s="483">
        <v>13232.56</v>
      </c>
      <c r="F20" s="483">
        <v>52742</v>
      </c>
      <c r="G20" s="483">
        <v>26371</v>
      </c>
      <c r="H20" s="484">
        <v>39509.440000000002</v>
      </c>
      <c r="I20" s="731"/>
      <c r="J20" s="731"/>
    </row>
    <row r="21" spans="1:10" ht="42.75">
      <c r="A21" s="735"/>
      <c r="B21" s="737"/>
      <c r="C21" s="739"/>
      <c r="D21" s="482" t="s">
        <v>588</v>
      </c>
      <c r="E21" s="483">
        <v>19499.060000000001</v>
      </c>
      <c r="F21" s="483">
        <v>52742</v>
      </c>
      <c r="G21" s="483">
        <v>26371</v>
      </c>
      <c r="H21" s="484">
        <v>33242.94</v>
      </c>
      <c r="I21" s="732"/>
      <c r="J21" s="732"/>
    </row>
    <row r="22" spans="1:10">
      <c r="A22" s="161" t="s">
        <v>1164</v>
      </c>
      <c r="B22" s="387" t="s">
        <v>1178</v>
      </c>
      <c r="C22" s="441"/>
      <c r="D22" s="470" t="s">
        <v>589</v>
      </c>
      <c r="E22" s="471">
        <v>43198.25</v>
      </c>
      <c r="F22" s="471">
        <v>7408</v>
      </c>
      <c r="G22" s="471">
        <v>3704</v>
      </c>
      <c r="H22" s="472">
        <v>0</v>
      </c>
      <c r="I22" s="437">
        <v>0.26</v>
      </c>
      <c r="J22" s="437">
        <v>15.23</v>
      </c>
    </row>
    <row r="23" spans="1:10">
      <c r="A23" s="733" t="s">
        <v>980</v>
      </c>
      <c r="B23" s="736" t="s">
        <v>1179</v>
      </c>
      <c r="C23" s="738" t="s">
        <v>581</v>
      </c>
      <c r="D23" s="478" t="s">
        <v>582</v>
      </c>
      <c r="E23" s="479">
        <v>41217.33</v>
      </c>
      <c r="F23" s="479">
        <v>10557</v>
      </c>
      <c r="G23" s="479">
        <v>5278.5</v>
      </c>
      <c r="H23" s="480">
        <v>0</v>
      </c>
      <c r="I23" s="730">
        <v>0.16</v>
      </c>
      <c r="J23" s="730">
        <v>20.6</v>
      </c>
    </row>
    <row r="24" spans="1:10">
      <c r="A24" s="735"/>
      <c r="B24" s="737"/>
      <c r="C24" s="739"/>
      <c r="D24" s="482" t="s">
        <v>579</v>
      </c>
      <c r="E24" s="483">
        <v>25.66</v>
      </c>
      <c r="F24" s="483">
        <v>10557</v>
      </c>
      <c r="G24" s="483">
        <v>5278.5</v>
      </c>
      <c r="H24" s="484">
        <v>10531.34</v>
      </c>
      <c r="I24" s="732"/>
      <c r="J24" s="732"/>
    </row>
    <row r="25" spans="1:10">
      <c r="A25" s="742" t="s">
        <v>983</v>
      </c>
      <c r="B25" s="746" t="s">
        <v>1180</v>
      </c>
      <c r="C25" s="748" t="s">
        <v>581</v>
      </c>
      <c r="D25" s="470" t="s">
        <v>584</v>
      </c>
      <c r="E25" s="471">
        <v>38061.879999999997</v>
      </c>
      <c r="F25" s="471">
        <v>10865</v>
      </c>
      <c r="G25" s="471">
        <v>5432.5</v>
      </c>
      <c r="H25" s="472">
        <v>0</v>
      </c>
      <c r="I25" s="750">
        <v>0.11</v>
      </c>
      <c r="J25" s="750">
        <v>6.08</v>
      </c>
    </row>
    <row r="26" spans="1:10">
      <c r="A26" s="743"/>
      <c r="B26" s="747"/>
      <c r="C26" s="749"/>
      <c r="D26" s="473" t="s">
        <v>579</v>
      </c>
      <c r="E26" s="474">
        <v>30.35</v>
      </c>
      <c r="F26" s="474">
        <v>10865</v>
      </c>
      <c r="G26" s="474">
        <v>5432.5</v>
      </c>
      <c r="H26" s="475">
        <v>10834.65</v>
      </c>
      <c r="I26" s="751"/>
      <c r="J26" s="751"/>
    </row>
    <row r="27" spans="1:10">
      <c r="A27" s="733" t="s">
        <v>1165</v>
      </c>
      <c r="B27" s="736" t="s">
        <v>1181</v>
      </c>
      <c r="C27" s="738"/>
      <c r="D27" s="478" t="s">
        <v>590</v>
      </c>
      <c r="E27" s="479">
        <v>43214.07</v>
      </c>
      <c r="F27" s="479">
        <v>10857</v>
      </c>
      <c r="G27" s="479">
        <v>5428.5</v>
      </c>
      <c r="H27" s="480">
        <v>0</v>
      </c>
      <c r="I27" s="730">
        <v>0.08</v>
      </c>
      <c r="J27" s="730">
        <v>3.26</v>
      </c>
    </row>
    <row r="28" spans="1:10" ht="28.5">
      <c r="A28" s="735"/>
      <c r="B28" s="737"/>
      <c r="C28" s="739"/>
      <c r="D28" s="478" t="s">
        <v>591</v>
      </c>
      <c r="E28" s="479">
        <v>15126.88</v>
      </c>
      <c r="F28" s="479">
        <v>10857</v>
      </c>
      <c r="G28" s="479">
        <v>5428.5</v>
      </c>
      <c r="H28" s="480">
        <v>0</v>
      </c>
      <c r="I28" s="732"/>
      <c r="J28" s="732"/>
    </row>
    <row r="29" spans="1:10">
      <c r="A29" s="161" t="s">
        <v>1166</v>
      </c>
      <c r="B29" s="387" t="s">
        <v>1182</v>
      </c>
      <c r="C29" s="441"/>
      <c r="D29" s="470" t="s">
        <v>583</v>
      </c>
      <c r="E29" s="471">
        <v>35059.269999999997</v>
      </c>
      <c r="F29" s="471">
        <v>2619</v>
      </c>
      <c r="G29" s="471">
        <v>1309.5</v>
      </c>
      <c r="H29" s="472">
        <v>0</v>
      </c>
      <c r="I29" s="437">
        <v>0.01</v>
      </c>
      <c r="J29" s="437">
        <v>9</v>
      </c>
    </row>
    <row r="30" spans="1:10">
      <c r="A30" s="485" t="s">
        <v>1167</v>
      </c>
      <c r="B30" s="476" t="s">
        <v>1183</v>
      </c>
      <c r="C30" s="477"/>
      <c r="D30" s="478" t="s">
        <v>582</v>
      </c>
      <c r="E30" s="479">
        <v>43809.86</v>
      </c>
      <c r="F30" s="479">
        <v>40</v>
      </c>
      <c r="G30" s="479">
        <v>20</v>
      </c>
      <c r="H30" s="480">
        <v>0</v>
      </c>
      <c r="I30" s="481">
        <v>0</v>
      </c>
      <c r="J30" s="481">
        <v>0.11</v>
      </c>
    </row>
    <row r="31" spans="1:10">
      <c r="A31" s="742" t="s">
        <v>1168</v>
      </c>
      <c r="B31" s="387" t="s">
        <v>1184</v>
      </c>
      <c r="C31" s="441"/>
      <c r="D31" s="470" t="s">
        <v>590</v>
      </c>
      <c r="E31" s="471">
        <v>46275.67</v>
      </c>
      <c r="F31" s="471">
        <v>450</v>
      </c>
      <c r="G31" s="471">
        <v>225</v>
      </c>
      <c r="H31" s="472">
        <v>0</v>
      </c>
      <c r="I31" s="437">
        <v>0.05</v>
      </c>
      <c r="J31" s="437">
        <v>1.38</v>
      </c>
    </row>
    <row r="32" spans="1:10">
      <c r="A32" s="743"/>
      <c r="B32" s="387" t="s">
        <v>1185</v>
      </c>
      <c r="C32" s="441"/>
      <c r="D32" s="470" t="s">
        <v>584</v>
      </c>
      <c r="E32" s="471">
        <v>31216.22</v>
      </c>
      <c r="F32" s="471">
        <v>7268</v>
      </c>
      <c r="G32" s="471">
        <v>3634</v>
      </c>
      <c r="H32" s="472">
        <v>0</v>
      </c>
      <c r="I32" s="437">
        <v>0.38</v>
      </c>
      <c r="J32" s="437">
        <v>20.68</v>
      </c>
    </row>
    <row r="33" spans="1:10">
      <c r="A33" s="485" t="s">
        <v>1169</v>
      </c>
      <c r="B33" s="476" t="s">
        <v>1186</v>
      </c>
      <c r="C33" s="477"/>
      <c r="D33" s="478" t="s">
        <v>592</v>
      </c>
      <c r="E33" s="479">
        <v>15241.98</v>
      </c>
      <c r="F33" s="479">
        <v>3322</v>
      </c>
      <c r="G33" s="479">
        <v>1661</v>
      </c>
      <c r="H33" s="480">
        <v>0</v>
      </c>
      <c r="I33" s="481">
        <v>26.28</v>
      </c>
      <c r="J33" s="481">
        <v>263.2</v>
      </c>
    </row>
    <row r="34" spans="1:10">
      <c r="A34" s="742" t="s">
        <v>989</v>
      </c>
      <c r="B34" s="746" t="s">
        <v>1187</v>
      </c>
      <c r="C34" s="748" t="s">
        <v>581</v>
      </c>
      <c r="D34" s="470" t="s">
        <v>590</v>
      </c>
      <c r="E34" s="471">
        <v>37910.879999999997</v>
      </c>
      <c r="F34" s="471">
        <v>200</v>
      </c>
      <c r="G34" s="471">
        <v>100</v>
      </c>
      <c r="H34" s="472">
        <v>0</v>
      </c>
      <c r="I34" s="750">
        <v>0.1</v>
      </c>
      <c r="J34" s="750">
        <v>5.12</v>
      </c>
    </row>
    <row r="35" spans="1:10">
      <c r="A35" s="743"/>
      <c r="B35" s="747"/>
      <c r="C35" s="749"/>
      <c r="D35" s="473" t="s">
        <v>579</v>
      </c>
      <c r="E35" s="474">
        <v>15.8</v>
      </c>
      <c r="F35" s="474">
        <v>200</v>
      </c>
      <c r="G35" s="474">
        <v>100</v>
      </c>
      <c r="H35" s="475">
        <v>184.2</v>
      </c>
      <c r="I35" s="751"/>
      <c r="J35" s="751"/>
    </row>
    <row r="36" spans="1:10">
      <c r="A36" s="190"/>
      <c r="B36" s="191"/>
      <c r="C36" s="191"/>
      <c r="D36" s="192"/>
      <c r="E36" s="193"/>
      <c r="F36" s="194"/>
      <c r="G36" s="194"/>
      <c r="H36" s="195"/>
      <c r="I36" s="438"/>
      <c r="J36" s="438"/>
    </row>
    <row r="37" spans="1:10">
      <c r="I37" s="370"/>
      <c r="J37" s="370"/>
    </row>
    <row r="38" spans="1:10">
      <c r="A38" s="740" t="s">
        <v>577</v>
      </c>
      <c r="B38" s="741"/>
      <c r="I38" s="370"/>
      <c r="J38" s="370"/>
    </row>
    <row r="39" spans="1:10" ht="28.5">
      <c r="A39" s="170" t="s">
        <v>593</v>
      </c>
      <c r="B39" s="439">
        <v>739</v>
      </c>
      <c r="I39" s="370"/>
      <c r="J39" s="370"/>
    </row>
    <row r="40" spans="1:10" ht="42.75">
      <c r="A40" s="170" t="s">
        <v>594</v>
      </c>
      <c r="B40" s="439">
        <v>739</v>
      </c>
      <c r="I40" s="370"/>
      <c r="J40" s="370"/>
    </row>
    <row r="41" spans="1:10" ht="42.75">
      <c r="A41" s="170" t="s">
        <v>595</v>
      </c>
      <c r="B41" s="439">
        <v>279.3</v>
      </c>
    </row>
    <row r="42" spans="1:10" ht="28.5">
      <c r="A42" s="170" t="s">
        <v>596</v>
      </c>
      <c r="B42" s="486">
        <v>1.3652777777777778</v>
      </c>
    </row>
    <row r="43" spans="1:10">
      <c r="A43" s="487"/>
      <c r="B43" s="488"/>
    </row>
    <row r="44" spans="1:10">
      <c r="A44" s="718" t="s">
        <v>597</v>
      </c>
      <c r="B44" s="719"/>
      <c r="C44" s="720"/>
      <c r="D44" s="166"/>
      <c r="E44" s="721" t="s">
        <v>430</v>
      </c>
      <c r="F44" s="721"/>
      <c r="G44" s="721"/>
      <c r="H44" s="722"/>
      <c r="I44" s="723" t="s">
        <v>429</v>
      </c>
      <c r="J44" s="724"/>
    </row>
    <row r="45" spans="1:10" ht="42.75">
      <c r="A45" s="168" t="s">
        <v>426</v>
      </c>
      <c r="B45" s="167" t="s">
        <v>557</v>
      </c>
      <c r="C45" s="168" t="s">
        <v>425</v>
      </c>
      <c r="D45" s="169" t="s">
        <v>556</v>
      </c>
      <c r="E45" s="169" t="s">
        <v>537</v>
      </c>
      <c r="F45" s="169" t="s">
        <v>512</v>
      </c>
      <c r="G45" s="169" t="s">
        <v>513</v>
      </c>
      <c r="H45" s="169" t="s">
        <v>514</v>
      </c>
      <c r="I45" s="169" t="s">
        <v>515</v>
      </c>
      <c r="J45" s="169" t="s">
        <v>516</v>
      </c>
    </row>
    <row r="46" spans="1:10">
      <c r="A46" s="742" t="s">
        <v>975</v>
      </c>
      <c r="B46" s="387" t="s">
        <v>1188</v>
      </c>
      <c r="C46" s="441"/>
      <c r="D46" s="470" t="s">
        <v>582</v>
      </c>
      <c r="E46" s="471">
        <v>38876.14</v>
      </c>
      <c r="F46" s="471">
        <v>392</v>
      </c>
      <c r="G46" s="471">
        <v>196</v>
      </c>
      <c r="H46" s="472">
        <v>0</v>
      </c>
      <c r="I46" s="437">
        <v>0.34</v>
      </c>
      <c r="J46" s="437">
        <v>5.53</v>
      </c>
    </row>
    <row r="47" spans="1:10">
      <c r="A47" s="752"/>
      <c r="B47" s="746" t="s">
        <v>1189</v>
      </c>
      <c r="C47" s="748" t="s">
        <v>581</v>
      </c>
      <c r="D47" s="473" t="s">
        <v>578</v>
      </c>
      <c r="E47" s="474">
        <v>861.76</v>
      </c>
      <c r="F47" s="474">
        <v>1595</v>
      </c>
      <c r="G47" s="474">
        <v>797.5</v>
      </c>
      <c r="H47" s="475">
        <v>733.24</v>
      </c>
      <c r="I47" s="750">
        <v>0.06</v>
      </c>
      <c r="J47" s="750">
        <v>26.41</v>
      </c>
    </row>
    <row r="48" spans="1:10">
      <c r="A48" s="743"/>
      <c r="B48" s="747"/>
      <c r="C48" s="749"/>
      <c r="D48" s="470" t="s">
        <v>590</v>
      </c>
      <c r="E48" s="471">
        <v>23441.93</v>
      </c>
      <c r="F48" s="471">
        <v>1595</v>
      </c>
      <c r="G48" s="471">
        <v>797.5</v>
      </c>
      <c r="H48" s="472">
        <v>0</v>
      </c>
      <c r="I48" s="751"/>
      <c r="J48" s="751"/>
    </row>
    <row r="49" spans="1:10">
      <c r="A49" s="733" t="s">
        <v>1163</v>
      </c>
      <c r="B49" s="476" t="s">
        <v>1190</v>
      </c>
      <c r="C49" s="477"/>
      <c r="D49" s="478" t="s">
        <v>584</v>
      </c>
      <c r="E49" s="479">
        <v>32168.33</v>
      </c>
      <c r="F49" s="479">
        <v>450</v>
      </c>
      <c r="G49" s="479">
        <v>225</v>
      </c>
      <c r="H49" s="480">
        <v>0</v>
      </c>
      <c r="I49" s="481">
        <v>0.02</v>
      </c>
      <c r="J49" s="481">
        <v>3.51</v>
      </c>
    </row>
    <row r="50" spans="1:10">
      <c r="A50" s="735"/>
      <c r="B50" s="476" t="s">
        <v>1191</v>
      </c>
      <c r="C50" s="477"/>
      <c r="D50" s="478" t="s">
        <v>583</v>
      </c>
      <c r="E50" s="479">
        <v>35090.980000000003</v>
      </c>
      <c r="F50" s="479">
        <v>251</v>
      </c>
      <c r="G50" s="479">
        <v>125.5</v>
      </c>
      <c r="H50" s="480">
        <v>0</v>
      </c>
      <c r="I50" s="481">
        <v>0.16</v>
      </c>
      <c r="J50" s="481">
        <v>13.94</v>
      </c>
    </row>
    <row r="51" spans="1:10">
      <c r="A51" s="742" t="s">
        <v>976</v>
      </c>
      <c r="B51" s="746" t="s">
        <v>1202</v>
      </c>
      <c r="C51" s="748" t="s">
        <v>581</v>
      </c>
      <c r="D51" s="473" t="s">
        <v>585</v>
      </c>
      <c r="E51" s="474">
        <v>6935.85</v>
      </c>
      <c r="F51" s="474">
        <v>26273</v>
      </c>
      <c r="G51" s="474">
        <v>13136.5</v>
      </c>
      <c r="H51" s="475">
        <v>19337.150000000001</v>
      </c>
      <c r="I51" s="750">
        <v>0.43</v>
      </c>
      <c r="J51" s="750">
        <v>9.1199999999999992</v>
      </c>
    </row>
    <row r="52" spans="1:10">
      <c r="A52" s="752"/>
      <c r="B52" s="753"/>
      <c r="C52" s="754"/>
      <c r="D52" s="473" t="s">
        <v>579</v>
      </c>
      <c r="E52" s="474">
        <v>-26342.11</v>
      </c>
      <c r="F52" s="474">
        <v>26273</v>
      </c>
      <c r="G52" s="474">
        <v>13136.5</v>
      </c>
      <c r="H52" s="475">
        <v>52615.11</v>
      </c>
      <c r="I52" s="755"/>
      <c r="J52" s="755"/>
    </row>
    <row r="53" spans="1:10" ht="42.75">
      <c r="A53" s="743"/>
      <c r="B53" s="747"/>
      <c r="C53" s="749"/>
      <c r="D53" s="473" t="s">
        <v>588</v>
      </c>
      <c r="E53" s="474">
        <v>-6871.94</v>
      </c>
      <c r="F53" s="474">
        <v>26273</v>
      </c>
      <c r="G53" s="474">
        <v>13136.5</v>
      </c>
      <c r="H53" s="475">
        <v>33144.94</v>
      </c>
      <c r="I53" s="751"/>
      <c r="J53" s="751"/>
    </row>
    <row r="54" spans="1:10">
      <c r="A54" s="733" t="s">
        <v>983</v>
      </c>
      <c r="B54" s="736" t="s">
        <v>1203</v>
      </c>
      <c r="C54" s="738" t="s">
        <v>581</v>
      </c>
      <c r="D54" s="478" t="s">
        <v>589</v>
      </c>
      <c r="E54" s="479">
        <v>36878.18</v>
      </c>
      <c r="F54" s="479">
        <v>10864</v>
      </c>
      <c r="G54" s="479">
        <v>5432</v>
      </c>
      <c r="H54" s="480">
        <v>0</v>
      </c>
      <c r="I54" s="730">
        <v>0.09</v>
      </c>
      <c r="J54" s="730">
        <v>7.86</v>
      </c>
    </row>
    <row r="55" spans="1:10" ht="28.5">
      <c r="A55" s="735"/>
      <c r="B55" s="737"/>
      <c r="C55" s="739"/>
      <c r="D55" s="482" t="s">
        <v>591</v>
      </c>
      <c r="E55" s="483">
        <v>9698.3799999999992</v>
      </c>
      <c r="F55" s="483">
        <v>10864</v>
      </c>
      <c r="G55" s="483">
        <v>5432</v>
      </c>
      <c r="H55" s="484">
        <v>1165.6199999999999</v>
      </c>
      <c r="I55" s="732"/>
      <c r="J55" s="732"/>
    </row>
    <row r="56" spans="1:10">
      <c r="A56" s="161" t="s">
        <v>1171</v>
      </c>
      <c r="B56" s="387" t="s">
        <v>1194</v>
      </c>
      <c r="C56" s="441"/>
      <c r="D56" s="470" t="s">
        <v>582</v>
      </c>
      <c r="E56" s="471">
        <v>43789.86</v>
      </c>
      <c r="F56" s="471">
        <v>177</v>
      </c>
      <c r="G56" s="471">
        <v>88.5</v>
      </c>
      <c r="H56" s="472">
        <v>0</v>
      </c>
      <c r="I56" s="437">
        <v>0.02</v>
      </c>
      <c r="J56" s="437">
        <v>1.95</v>
      </c>
    </row>
    <row r="57" spans="1:10">
      <c r="A57" s="485" t="s">
        <v>1172</v>
      </c>
      <c r="B57" s="476" t="s">
        <v>1195</v>
      </c>
      <c r="C57" s="477"/>
      <c r="D57" s="478" t="s">
        <v>584</v>
      </c>
      <c r="E57" s="479">
        <v>27582.22</v>
      </c>
      <c r="F57" s="479">
        <v>5037</v>
      </c>
      <c r="G57" s="479">
        <v>2518.5</v>
      </c>
      <c r="H57" s="480">
        <v>0</v>
      </c>
      <c r="I57" s="481">
        <v>0.93</v>
      </c>
      <c r="J57" s="481">
        <v>32.39</v>
      </c>
    </row>
    <row r="58" spans="1:10">
      <c r="A58" s="161" t="s">
        <v>987</v>
      </c>
      <c r="B58" s="387" t="s">
        <v>1196</v>
      </c>
      <c r="C58" s="441"/>
      <c r="D58" s="470" t="s">
        <v>583</v>
      </c>
      <c r="E58" s="471">
        <v>33749.769999999997</v>
      </c>
      <c r="F58" s="471">
        <v>900</v>
      </c>
      <c r="G58" s="471">
        <v>450</v>
      </c>
      <c r="H58" s="472">
        <v>0</v>
      </c>
      <c r="I58" s="437">
        <v>0.03</v>
      </c>
      <c r="J58" s="437">
        <v>19.39</v>
      </c>
    </row>
    <row r="59" spans="1:10">
      <c r="A59" s="485" t="s">
        <v>1168</v>
      </c>
      <c r="B59" s="476" t="s">
        <v>1207</v>
      </c>
      <c r="C59" s="477"/>
      <c r="D59" s="478" t="s">
        <v>590</v>
      </c>
      <c r="E59" s="479">
        <v>46050.67</v>
      </c>
      <c r="F59" s="479">
        <v>903</v>
      </c>
      <c r="G59" s="479">
        <v>451.5</v>
      </c>
      <c r="H59" s="480">
        <v>0</v>
      </c>
      <c r="I59" s="481">
        <v>0.05</v>
      </c>
      <c r="J59" s="481">
        <v>2.0299999999999998</v>
      </c>
    </row>
    <row r="60" spans="1:10">
      <c r="A60" s="742" t="s">
        <v>1169</v>
      </c>
      <c r="B60" s="746" t="s">
        <v>1198</v>
      </c>
      <c r="C60" s="748"/>
      <c r="D60" s="470" t="s">
        <v>590</v>
      </c>
      <c r="E60" s="471">
        <v>37810.879999999997</v>
      </c>
      <c r="F60" s="471">
        <v>1450</v>
      </c>
      <c r="G60" s="471">
        <v>725</v>
      </c>
      <c r="H60" s="472">
        <v>0</v>
      </c>
      <c r="I60" s="750">
        <v>0.77</v>
      </c>
      <c r="J60" s="750">
        <v>25.36</v>
      </c>
    </row>
    <row r="61" spans="1:10">
      <c r="A61" s="743"/>
      <c r="B61" s="747"/>
      <c r="C61" s="749"/>
      <c r="D61" s="470" t="s">
        <v>583</v>
      </c>
      <c r="E61" s="471">
        <v>46057.9</v>
      </c>
      <c r="F61" s="471">
        <v>1450</v>
      </c>
      <c r="G61" s="471">
        <v>725</v>
      </c>
      <c r="H61" s="472">
        <v>0</v>
      </c>
      <c r="I61" s="751"/>
      <c r="J61" s="751"/>
    </row>
    <row r="62" spans="1:10">
      <c r="A62" s="190"/>
      <c r="B62" s="191"/>
      <c r="C62" s="191"/>
      <c r="D62" s="192"/>
      <c r="E62" s="193"/>
      <c r="F62" s="194"/>
      <c r="G62" s="194"/>
      <c r="H62" s="195"/>
      <c r="I62" s="438"/>
      <c r="J62" s="438"/>
    </row>
    <row r="63" spans="1:10">
      <c r="I63" s="370"/>
      <c r="J63" s="370"/>
    </row>
    <row r="64" spans="1:10">
      <c r="A64" s="740" t="s">
        <v>598</v>
      </c>
      <c r="B64" s="741"/>
      <c r="I64" s="370"/>
      <c r="J64" s="370"/>
    </row>
    <row r="65" spans="1:10" ht="28.5">
      <c r="A65" s="170" t="s">
        <v>599</v>
      </c>
      <c r="B65" s="439">
        <v>459.7</v>
      </c>
      <c r="I65" s="370"/>
      <c r="J65" s="370"/>
    </row>
    <row r="66" spans="1:10" ht="42.75">
      <c r="A66" s="170" t="s">
        <v>600</v>
      </c>
      <c r="B66" s="439">
        <v>459.7</v>
      </c>
      <c r="I66" s="370"/>
      <c r="J66" s="370"/>
    </row>
    <row r="67" spans="1:10" ht="42.75">
      <c r="A67" s="170" t="s">
        <v>601</v>
      </c>
      <c r="B67" s="439">
        <v>297.37</v>
      </c>
    </row>
    <row r="68" spans="1:10" ht="28.5">
      <c r="A68" s="170" t="s">
        <v>602</v>
      </c>
      <c r="B68" s="489">
        <v>0.9159722222222223</v>
      </c>
    </row>
    <row r="69" spans="1:10">
      <c r="A69" s="487"/>
      <c r="B69" s="490"/>
    </row>
    <row r="70" spans="1:10">
      <c r="A70" s="718" t="s">
        <v>603</v>
      </c>
      <c r="B70" s="719"/>
      <c r="C70" s="720"/>
      <c r="D70" s="166"/>
      <c r="E70" s="721" t="s">
        <v>430</v>
      </c>
      <c r="F70" s="721"/>
      <c r="G70" s="721"/>
      <c r="H70" s="722"/>
      <c r="I70" s="723" t="s">
        <v>429</v>
      </c>
      <c r="J70" s="724"/>
    </row>
    <row r="71" spans="1:10" ht="42.75">
      <c r="A71" s="168" t="s">
        <v>426</v>
      </c>
      <c r="B71" s="167" t="s">
        <v>557</v>
      </c>
      <c r="C71" s="168" t="s">
        <v>425</v>
      </c>
      <c r="D71" s="169" t="s">
        <v>556</v>
      </c>
      <c r="E71" s="169" t="s">
        <v>537</v>
      </c>
      <c r="F71" s="169" t="s">
        <v>512</v>
      </c>
      <c r="G71" s="169" t="s">
        <v>513</v>
      </c>
      <c r="H71" s="169" t="s">
        <v>514</v>
      </c>
      <c r="I71" s="169" t="s">
        <v>515</v>
      </c>
      <c r="J71" s="169" t="s">
        <v>516</v>
      </c>
    </row>
    <row r="72" spans="1:10">
      <c r="A72" s="161" t="s">
        <v>975</v>
      </c>
      <c r="B72" s="387" t="s">
        <v>1199</v>
      </c>
      <c r="C72" s="441"/>
      <c r="D72" s="470" t="s">
        <v>583</v>
      </c>
      <c r="E72" s="471">
        <v>34965.480000000003</v>
      </c>
      <c r="F72" s="471">
        <v>200</v>
      </c>
      <c r="G72" s="471">
        <v>100</v>
      </c>
      <c r="H72" s="472">
        <v>0</v>
      </c>
      <c r="I72" s="437">
        <v>1.1000000000000001</v>
      </c>
      <c r="J72" s="437">
        <v>18.829999999999998</v>
      </c>
    </row>
    <row r="73" spans="1:10">
      <c r="A73" s="733" t="s">
        <v>1163</v>
      </c>
      <c r="B73" s="476" t="s">
        <v>1200</v>
      </c>
      <c r="C73" s="477"/>
      <c r="D73" s="478" t="s">
        <v>584</v>
      </c>
      <c r="E73" s="479">
        <v>31943.33</v>
      </c>
      <c r="F73" s="479">
        <v>201</v>
      </c>
      <c r="G73" s="479">
        <v>100.5</v>
      </c>
      <c r="H73" s="480">
        <v>0</v>
      </c>
      <c r="I73" s="481">
        <v>0.13</v>
      </c>
      <c r="J73" s="481">
        <v>3.99</v>
      </c>
    </row>
    <row r="74" spans="1:10">
      <c r="A74" s="735"/>
      <c r="B74" s="476" t="s">
        <v>1201</v>
      </c>
      <c r="C74" s="477"/>
      <c r="D74" s="478" t="s">
        <v>582</v>
      </c>
      <c r="E74" s="479">
        <v>38680.14</v>
      </c>
      <c r="F74" s="479">
        <v>251</v>
      </c>
      <c r="G74" s="479">
        <v>125.5</v>
      </c>
      <c r="H74" s="480">
        <v>0</v>
      </c>
      <c r="I74" s="481">
        <v>0.14000000000000001</v>
      </c>
      <c r="J74" s="481">
        <v>8.9600000000000009</v>
      </c>
    </row>
    <row r="75" spans="1:10">
      <c r="A75" s="742" t="s">
        <v>979</v>
      </c>
      <c r="B75" s="746" t="s">
        <v>1192</v>
      </c>
      <c r="C75" s="748" t="s">
        <v>581</v>
      </c>
      <c r="D75" s="473" t="s">
        <v>585</v>
      </c>
      <c r="E75" s="474">
        <v>-6200.65</v>
      </c>
      <c r="F75" s="474">
        <v>26273</v>
      </c>
      <c r="G75" s="474">
        <v>13136.5</v>
      </c>
      <c r="H75" s="475">
        <v>32473.65</v>
      </c>
      <c r="I75" s="750">
        <v>0.23</v>
      </c>
      <c r="J75" s="750">
        <v>9.44</v>
      </c>
    </row>
    <row r="76" spans="1:10">
      <c r="A76" s="752"/>
      <c r="B76" s="753"/>
      <c r="C76" s="754"/>
      <c r="D76" s="473" t="s">
        <v>579</v>
      </c>
      <c r="E76" s="474">
        <v>28.29</v>
      </c>
      <c r="F76" s="474">
        <v>26273</v>
      </c>
      <c r="G76" s="474">
        <v>13136.5</v>
      </c>
      <c r="H76" s="475">
        <v>26244.71</v>
      </c>
      <c r="I76" s="755"/>
      <c r="J76" s="755"/>
    </row>
    <row r="77" spans="1:10" ht="42.75">
      <c r="A77" s="743"/>
      <c r="B77" s="747"/>
      <c r="C77" s="749"/>
      <c r="D77" s="473" t="s">
        <v>588</v>
      </c>
      <c r="E77" s="474">
        <v>-20008.439999999999</v>
      </c>
      <c r="F77" s="474">
        <v>26273</v>
      </c>
      <c r="G77" s="474">
        <v>13136.5</v>
      </c>
      <c r="H77" s="475">
        <v>46281.440000000002</v>
      </c>
      <c r="I77" s="751"/>
      <c r="J77" s="751"/>
    </row>
    <row r="78" spans="1:10">
      <c r="A78" s="733" t="s">
        <v>980</v>
      </c>
      <c r="B78" s="736" t="s">
        <v>1212</v>
      </c>
      <c r="C78" s="738" t="s">
        <v>581</v>
      </c>
      <c r="D78" s="478" t="s">
        <v>584</v>
      </c>
      <c r="E78" s="479">
        <v>32629.38</v>
      </c>
      <c r="F78" s="479">
        <v>10865</v>
      </c>
      <c r="G78" s="479">
        <v>5432.5</v>
      </c>
      <c r="H78" s="480">
        <v>0</v>
      </c>
      <c r="I78" s="730">
        <v>0.09</v>
      </c>
      <c r="J78" s="730">
        <v>8</v>
      </c>
    </row>
    <row r="79" spans="1:10" ht="28.5">
      <c r="A79" s="735"/>
      <c r="B79" s="737"/>
      <c r="C79" s="739"/>
      <c r="D79" s="482" t="s">
        <v>591</v>
      </c>
      <c r="E79" s="483">
        <v>4266.38</v>
      </c>
      <c r="F79" s="483">
        <v>10865</v>
      </c>
      <c r="G79" s="483">
        <v>5432.5</v>
      </c>
      <c r="H79" s="484">
        <v>6598.62</v>
      </c>
      <c r="I79" s="732"/>
      <c r="J79" s="732"/>
    </row>
    <row r="80" spans="1:10">
      <c r="A80" s="161" t="s">
        <v>986</v>
      </c>
      <c r="B80" s="387" t="s">
        <v>1204</v>
      </c>
      <c r="C80" s="441"/>
      <c r="D80" s="470" t="s">
        <v>584</v>
      </c>
      <c r="E80" s="471">
        <v>25063.72</v>
      </c>
      <c r="F80" s="471">
        <v>7268</v>
      </c>
      <c r="G80" s="471">
        <v>3634</v>
      </c>
      <c r="H80" s="472">
        <v>0</v>
      </c>
      <c r="I80" s="437">
        <v>0.51</v>
      </c>
      <c r="J80" s="437">
        <v>49.28</v>
      </c>
    </row>
    <row r="81" spans="1:10">
      <c r="A81" s="733" t="s">
        <v>987</v>
      </c>
      <c r="B81" s="476" t="s">
        <v>1205</v>
      </c>
      <c r="C81" s="477"/>
      <c r="D81" s="478" t="s">
        <v>582</v>
      </c>
      <c r="E81" s="479">
        <v>43701.36</v>
      </c>
      <c r="F81" s="479">
        <v>250</v>
      </c>
      <c r="G81" s="479">
        <v>125</v>
      </c>
      <c r="H81" s="480">
        <v>0</v>
      </c>
      <c r="I81" s="481">
        <v>0.04</v>
      </c>
      <c r="J81" s="481">
        <v>3.8</v>
      </c>
    </row>
    <row r="82" spans="1:10">
      <c r="A82" s="735"/>
      <c r="B82" s="476" t="s">
        <v>1206</v>
      </c>
      <c r="C82" s="477"/>
      <c r="D82" s="478" t="s">
        <v>583</v>
      </c>
      <c r="E82" s="479">
        <v>33299.769999999997</v>
      </c>
      <c r="F82" s="479">
        <v>150</v>
      </c>
      <c r="G82" s="479">
        <v>75</v>
      </c>
      <c r="H82" s="480">
        <v>0</v>
      </c>
      <c r="I82" s="481">
        <v>0.85</v>
      </c>
      <c r="J82" s="481">
        <v>43.83</v>
      </c>
    </row>
    <row r="83" spans="1:10">
      <c r="A83" s="161" t="s">
        <v>1167</v>
      </c>
      <c r="B83" s="387" t="s">
        <v>1197</v>
      </c>
      <c r="C83" s="441"/>
      <c r="D83" s="470" t="s">
        <v>590</v>
      </c>
      <c r="E83" s="471">
        <v>45599.17</v>
      </c>
      <c r="F83" s="471">
        <v>150</v>
      </c>
      <c r="G83" s="471">
        <v>75</v>
      </c>
      <c r="H83" s="472">
        <v>0</v>
      </c>
      <c r="I83" s="437">
        <v>0.05</v>
      </c>
      <c r="J83" s="437">
        <v>2.11</v>
      </c>
    </row>
    <row r="84" spans="1:10">
      <c r="A84" s="485" t="s">
        <v>1169</v>
      </c>
      <c r="B84" s="476" t="s">
        <v>1208</v>
      </c>
      <c r="C84" s="477"/>
      <c r="D84" s="478" t="s">
        <v>590</v>
      </c>
      <c r="E84" s="479">
        <v>37085.879999999997</v>
      </c>
      <c r="F84" s="479">
        <v>9405</v>
      </c>
      <c r="G84" s="479">
        <v>4702.5</v>
      </c>
      <c r="H84" s="480">
        <v>0</v>
      </c>
      <c r="I84" s="481">
        <v>0.67</v>
      </c>
      <c r="J84" s="481">
        <v>44.55</v>
      </c>
    </row>
    <row r="85" spans="1:10">
      <c r="A85" s="190"/>
      <c r="B85" s="191"/>
      <c r="C85" s="191"/>
      <c r="D85" s="192"/>
      <c r="E85" s="193"/>
      <c r="F85" s="194"/>
      <c r="G85" s="194"/>
      <c r="H85" s="195"/>
      <c r="I85" s="438"/>
      <c r="J85" s="438"/>
    </row>
    <row r="86" spans="1:10">
      <c r="I86" s="370"/>
      <c r="J86" s="370"/>
    </row>
    <row r="87" spans="1:10">
      <c r="A87" s="740" t="s">
        <v>604</v>
      </c>
      <c r="B87" s="741"/>
      <c r="I87" s="370"/>
      <c r="J87" s="370"/>
    </row>
    <row r="88" spans="1:10" ht="28.5">
      <c r="A88" s="170" t="s">
        <v>605</v>
      </c>
      <c r="B88" s="439">
        <v>441.63</v>
      </c>
      <c r="I88" s="370"/>
      <c r="J88" s="370"/>
    </row>
    <row r="89" spans="1:10" ht="42.75">
      <c r="A89" s="170" t="s">
        <v>606</v>
      </c>
      <c r="B89" s="439">
        <v>441.63</v>
      </c>
      <c r="I89" s="370"/>
      <c r="J89" s="370"/>
    </row>
    <row r="90" spans="1:10" ht="42.75">
      <c r="A90" s="170" t="s">
        <v>607</v>
      </c>
      <c r="B90" s="439">
        <v>325.97000000000003</v>
      </c>
    </row>
    <row r="91" spans="1:10" ht="28.5">
      <c r="A91" s="170" t="s">
        <v>608</v>
      </c>
      <c r="B91" s="486">
        <v>1.2486111111111111</v>
      </c>
    </row>
    <row r="92" spans="1:10">
      <c r="A92" s="487"/>
      <c r="B92" s="488"/>
    </row>
    <row r="93" spans="1:10">
      <c r="A93" s="718" t="s">
        <v>609</v>
      </c>
      <c r="B93" s="719"/>
      <c r="C93" s="720"/>
      <c r="D93" s="166"/>
      <c r="E93" s="721" t="s">
        <v>430</v>
      </c>
      <c r="F93" s="721"/>
      <c r="G93" s="721"/>
      <c r="H93" s="722"/>
      <c r="I93" s="723" t="s">
        <v>429</v>
      </c>
      <c r="J93" s="724"/>
    </row>
    <row r="94" spans="1:10" ht="42.75">
      <c r="A94" s="168" t="s">
        <v>426</v>
      </c>
      <c r="B94" s="167" t="s">
        <v>557</v>
      </c>
      <c r="C94" s="168" t="s">
        <v>425</v>
      </c>
      <c r="D94" s="169" t="s">
        <v>556</v>
      </c>
      <c r="E94" s="169" t="s">
        <v>537</v>
      </c>
      <c r="F94" s="169" t="s">
        <v>512</v>
      </c>
      <c r="G94" s="169" t="s">
        <v>513</v>
      </c>
      <c r="H94" s="169" t="s">
        <v>514</v>
      </c>
      <c r="I94" s="169" t="s">
        <v>515</v>
      </c>
      <c r="J94" s="169" t="s">
        <v>516</v>
      </c>
    </row>
    <row r="95" spans="1:10">
      <c r="A95" s="161" t="s">
        <v>975</v>
      </c>
      <c r="B95" s="387" t="s">
        <v>1209</v>
      </c>
      <c r="C95" s="441"/>
      <c r="D95" s="470" t="s">
        <v>583</v>
      </c>
      <c r="E95" s="471">
        <v>34865.480000000003</v>
      </c>
      <c r="F95" s="471">
        <v>200</v>
      </c>
      <c r="G95" s="471">
        <v>100</v>
      </c>
      <c r="H95" s="472">
        <v>0</v>
      </c>
      <c r="I95" s="437">
        <v>1.1000000000000001</v>
      </c>
      <c r="J95" s="437">
        <v>19.440000000000001</v>
      </c>
    </row>
    <row r="96" spans="1:10">
      <c r="A96" s="485" t="s">
        <v>1162</v>
      </c>
      <c r="B96" s="476" t="s">
        <v>1210</v>
      </c>
      <c r="C96" s="477"/>
      <c r="D96" s="478" t="s">
        <v>584</v>
      </c>
      <c r="E96" s="479">
        <v>31842.83</v>
      </c>
      <c r="F96" s="479">
        <v>221</v>
      </c>
      <c r="G96" s="479">
        <v>110.5</v>
      </c>
      <c r="H96" s="480">
        <v>0</v>
      </c>
      <c r="I96" s="481">
        <v>0.13</v>
      </c>
      <c r="J96" s="481">
        <v>12.83</v>
      </c>
    </row>
    <row r="97" spans="1:10">
      <c r="A97" s="742" t="s">
        <v>978</v>
      </c>
      <c r="B97" s="746" t="s">
        <v>1211</v>
      </c>
      <c r="C97" s="748" t="s">
        <v>581</v>
      </c>
      <c r="D97" s="473" t="s">
        <v>582</v>
      </c>
      <c r="E97" s="474">
        <v>11486.19</v>
      </c>
      <c r="F97" s="474">
        <v>52742</v>
      </c>
      <c r="G97" s="474">
        <v>26371</v>
      </c>
      <c r="H97" s="475">
        <v>41255.81</v>
      </c>
      <c r="I97" s="750">
        <v>0.82</v>
      </c>
      <c r="J97" s="750">
        <v>16.940000000000001</v>
      </c>
    </row>
    <row r="98" spans="1:10" ht="42.75">
      <c r="A98" s="752"/>
      <c r="B98" s="753"/>
      <c r="C98" s="754"/>
      <c r="D98" s="473" t="s">
        <v>586</v>
      </c>
      <c r="E98" s="474">
        <v>3853.49</v>
      </c>
      <c r="F98" s="474">
        <v>52742</v>
      </c>
      <c r="G98" s="474">
        <v>26371</v>
      </c>
      <c r="H98" s="475">
        <v>48888.51</v>
      </c>
      <c r="I98" s="755"/>
      <c r="J98" s="755"/>
    </row>
    <row r="99" spans="1:10" ht="42.75">
      <c r="A99" s="752"/>
      <c r="B99" s="753"/>
      <c r="C99" s="754"/>
      <c r="D99" s="473" t="s">
        <v>588</v>
      </c>
      <c r="E99" s="474">
        <v>-33144.94</v>
      </c>
      <c r="F99" s="474">
        <v>52742</v>
      </c>
      <c r="G99" s="474">
        <v>26371</v>
      </c>
      <c r="H99" s="475">
        <v>85886.94</v>
      </c>
      <c r="I99" s="755"/>
      <c r="J99" s="755"/>
    </row>
    <row r="100" spans="1:10">
      <c r="A100" s="752"/>
      <c r="B100" s="753"/>
      <c r="C100" s="754"/>
      <c r="D100" s="473" t="s">
        <v>579</v>
      </c>
      <c r="E100" s="474">
        <v>18.22</v>
      </c>
      <c r="F100" s="474">
        <v>52742</v>
      </c>
      <c r="G100" s="474">
        <v>26371</v>
      </c>
      <c r="H100" s="475">
        <v>52723.78</v>
      </c>
      <c r="I100" s="755"/>
      <c r="J100" s="755"/>
    </row>
    <row r="101" spans="1:10" ht="42.75">
      <c r="A101" s="752"/>
      <c r="B101" s="753"/>
      <c r="C101" s="754"/>
      <c r="D101" s="473" t="s">
        <v>587</v>
      </c>
      <c r="E101" s="474">
        <v>-13138.44</v>
      </c>
      <c r="F101" s="474">
        <v>52742</v>
      </c>
      <c r="G101" s="474">
        <v>26371</v>
      </c>
      <c r="H101" s="475">
        <v>65880.44</v>
      </c>
      <c r="I101" s="755"/>
      <c r="J101" s="755"/>
    </row>
    <row r="102" spans="1:10">
      <c r="A102" s="743"/>
      <c r="B102" s="747"/>
      <c r="C102" s="749"/>
      <c r="D102" s="473" t="s">
        <v>585</v>
      </c>
      <c r="E102" s="474">
        <v>-19337.150000000001</v>
      </c>
      <c r="F102" s="474">
        <v>52742</v>
      </c>
      <c r="G102" s="474">
        <v>26371</v>
      </c>
      <c r="H102" s="475">
        <v>72079.149999999994</v>
      </c>
      <c r="I102" s="751"/>
      <c r="J102" s="751"/>
    </row>
    <row r="103" spans="1:10">
      <c r="A103" s="733" t="s">
        <v>1170</v>
      </c>
      <c r="B103" s="736" t="s">
        <v>1193</v>
      </c>
      <c r="C103" s="738" t="s">
        <v>581</v>
      </c>
      <c r="D103" s="478" t="s">
        <v>589</v>
      </c>
      <c r="E103" s="479">
        <v>31446.18</v>
      </c>
      <c r="F103" s="479">
        <v>10864</v>
      </c>
      <c r="G103" s="479">
        <v>5432</v>
      </c>
      <c r="H103" s="480">
        <v>0</v>
      </c>
      <c r="I103" s="730">
        <v>0.1</v>
      </c>
      <c r="J103" s="730">
        <v>8.07</v>
      </c>
    </row>
    <row r="104" spans="1:10" ht="28.5">
      <c r="A104" s="735"/>
      <c r="B104" s="737"/>
      <c r="C104" s="739"/>
      <c r="D104" s="482" t="s">
        <v>591</v>
      </c>
      <c r="E104" s="483">
        <v>-1166.1199999999999</v>
      </c>
      <c r="F104" s="483">
        <v>10864</v>
      </c>
      <c r="G104" s="483">
        <v>5432</v>
      </c>
      <c r="H104" s="484">
        <v>12030.12</v>
      </c>
      <c r="I104" s="732"/>
      <c r="J104" s="732"/>
    </row>
    <row r="105" spans="1:10">
      <c r="A105" s="161" t="s">
        <v>1166</v>
      </c>
      <c r="B105" s="387" t="s">
        <v>1219</v>
      </c>
      <c r="C105" s="441"/>
      <c r="D105" s="470" t="s">
        <v>582</v>
      </c>
      <c r="E105" s="471">
        <v>43576.36</v>
      </c>
      <c r="F105" s="471">
        <v>150</v>
      </c>
      <c r="G105" s="471">
        <v>75</v>
      </c>
      <c r="H105" s="472">
        <v>0</v>
      </c>
      <c r="I105" s="437">
        <v>0.09</v>
      </c>
      <c r="J105" s="437">
        <v>4.6399999999999997</v>
      </c>
    </row>
    <row r="106" spans="1:10">
      <c r="A106" s="485" t="s">
        <v>1167</v>
      </c>
      <c r="B106" s="476" t="s">
        <v>1214</v>
      </c>
      <c r="C106" s="477"/>
      <c r="D106" s="478" t="s">
        <v>590</v>
      </c>
      <c r="E106" s="479">
        <v>45524.17</v>
      </c>
      <c r="F106" s="479">
        <v>903</v>
      </c>
      <c r="G106" s="479">
        <v>451.5</v>
      </c>
      <c r="H106" s="480">
        <v>0</v>
      </c>
      <c r="I106" s="481">
        <v>7.0000000000000007E-2</v>
      </c>
      <c r="J106" s="481">
        <v>2.6</v>
      </c>
    </row>
    <row r="107" spans="1:10">
      <c r="A107" s="161" t="s">
        <v>1168</v>
      </c>
      <c r="B107" s="387" t="s">
        <v>1215</v>
      </c>
      <c r="C107" s="441"/>
      <c r="D107" s="470" t="s">
        <v>583</v>
      </c>
      <c r="E107" s="471">
        <v>33224.769999999997</v>
      </c>
      <c r="F107" s="471">
        <v>3586</v>
      </c>
      <c r="G107" s="471">
        <v>1793</v>
      </c>
      <c r="H107" s="472">
        <v>0</v>
      </c>
      <c r="I107" s="437">
        <v>15.94</v>
      </c>
      <c r="J107" s="437">
        <v>395.33</v>
      </c>
    </row>
    <row r="108" spans="1:10">
      <c r="A108" s="190"/>
      <c r="B108" s="191"/>
      <c r="C108" s="191"/>
      <c r="D108" s="192"/>
      <c r="E108" s="193"/>
      <c r="F108" s="194"/>
      <c r="G108" s="194"/>
      <c r="H108" s="195"/>
      <c r="I108" s="438"/>
      <c r="J108" s="438"/>
    </row>
    <row r="109" spans="1:10">
      <c r="I109" s="370"/>
      <c r="J109" s="370"/>
    </row>
    <row r="110" spans="1:10">
      <c r="A110" s="740" t="s">
        <v>610</v>
      </c>
      <c r="B110" s="741"/>
      <c r="I110" s="370"/>
      <c r="J110" s="370"/>
    </row>
    <row r="111" spans="1:10" ht="28.5">
      <c r="A111" s="170" t="s">
        <v>611</v>
      </c>
      <c r="B111" s="439">
        <v>413.03</v>
      </c>
      <c r="I111" s="370"/>
      <c r="J111" s="370"/>
    </row>
    <row r="112" spans="1:10" ht="42.75">
      <c r="A112" s="170" t="s">
        <v>612</v>
      </c>
      <c r="B112" s="439">
        <v>413.03</v>
      </c>
      <c r="I112" s="370"/>
      <c r="J112" s="370"/>
    </row>
    <row r="113" spans="1:10" ht="42.75">
      <c r="A113" s="170" t="s">
        <v>613</v>
      </c>
      <c r="B113" s="439">
        <v>533.53</v>
      </c>
    </row>
    <row r="114" spans="1:10" ht="28.5">
      <c r="A114" s="170" t="s">
        <v>614</v>
      </c>
      <c r="B114" s="486">
        <v>1.5486111111111109</v>
      </c>
    </row>
    <row r="115" spans="1:10">
      <c r="A115" s="487"/>
      <c r="B115" s="488"/>
    </row>
    <row r="116" spans="1:10">
      <c r="A116" s="718" t="s">
        <v>615</v>
      </c>
      <c r="B116" s="719"/>
      <c r="C116" s="720"/>
      <c r="D116" s="166"/>
      <c r="E116" s="721" t="s">
        <v>430</v>
      </c>
      <c r="F116" s="721"/>
      <c r="G116" s="721"/>
      <c r="H116" s="722"/>
      <c r="I116" s="723" t="s">
        <v>429</v>
      </c>
      <c r="J116" s="724"/>
    </row>
    <row r="117" spans="1:10" ht="42.75">
      <c r="A117" s="168" t="s">
        <v>426</v>
      </c>
      <c r="B117" s="167" t="s">
        <v>557</v>
      </c>
      <c r="C117" s="168" t="s">
        <v>425</v>
      </c>
      <c r="D117" s="169" t="s">
        <v>556</v>
      </c>
      <c r="E117" s="169" t="s">
        <v>537</v>
      </c>
      <c r="F117" s="169" t="s">
        <v>512</v>
      </c>
      <c r="G117" s="169" t="s">
        <v>513</v>
      </c>
      <c r="H117" s="169" t="s">
        <v>514</v>
      </c>
      <c r="I117" s="169" t="s">
        <v>515</v>
      </c>
      <c r="J117" s="169" t="s">
        <v>516</v>
      </c>
    </row>
    <row r="118" spans="1:10">
      <c r="A118" s="742" t="s">
        <v>1162</v>
      </c>
      <c r="B118" s="387" t="s">
        <v>1221</v>
      </c>
      <c r="C118" s="441"/>
      <c r="D118" s="470" t="s">
        <v>584</v>
      </c>
      <c r="E118" s="471">
        <v>31732.33</v>
      </c>
      <c r="F118" s="471">
        <v>250</v>
      </c>
      <c r="G118" s="471">
        <v>125</v>
      </c>
      <c r="H118" s="472">
        <v>0</v>
      </c>
      <c r="I118" s="437">
        <v>0.09</v>
      </c>
      <c r="J118" s="437">
        <v>17.309999999999999</v>
      </c>
    </row>
    <row r="119" spans="1:10">
      <c r="A119" s="743"/>
      <c r="B119" s="387" t="s">
        <v>1217</v>
      </c>
      <c r="C119" s="441"/>
      <c r="D119" s="470" t="s">
        <v>583</v>
      </c>
      <c r="E119" s="471">
        <v>34765.480000000003</v>
      </c>
      <c r="F119" s="471">
        <v>5405</v>
      </c>
      <c r="G119" s="471">
        <v>2702.5</v>
      </c>
      <c r="H119" s="472">
        <v>0</v>
      </c>
      <c r="I119" s="437">
        <v>0.42</v>
      </c>
      <c r="J119" s="437">
        <v>30.66</v>
      </c>
    </row>
    <row r="120" spans="1:10" ht="28.5">
      <c r="A120" s="733" t="s">
        <v>982</v>
      </c>
      <c r="B120" s="736" t="s">
        <v>1218</v>
      </c>
      <c r="C120" s="738" t="s">
        <v>581</v>
      </c>
      <c r="D120" s="482" t="s">
        <v>591</v>
      </c>
      <c r="E120" s="483">
        <v>-6598.12</v>
      </c>
      <c r="F120" s="483">
        <v>10557</v>
      </c>
      <c r="G120" s="483">
        <v>5278.5</v>
      </c>
      <c r="H120" s="484">
        <v>17155.12</v>
      </c>
      <c r="I120" s="730">
        <v>7.0000000000000007E-2</v>
      </c>
      <c r="J120" s="730">
        <v>11.87</v>
      </c>
    </row>
    <row r="121" spans="1:10">
      <c r="A121" s="735"/>
      <c r="B121" s="737"/>
      <c r="C121" s="739"/>
      <c r="D121" s="482" t="s">
        <v>579</v>
      </c>
      <c r="E121" s="483">
        <v>18.45</v>
      </c>
      <c r="F121" s="483">
        <v>10557</v>
      </c>
      <c r="G121" s="483">
        <v>5278.5</v>
      </c>
      <c r="H121" s="484">
        <v>10538.55</v>
      </c>
      <c r="I121" s="732"/>
      <c r="J121" s="732"/>
    </row>
    <row r="122" spans="1:10">
      <c r="A122" s="161" t="s">
        <v>1166</v>
      </c>
      <c r="B122" s="387" t="s">
        <v>1213</v>
      </c>
      <c r="C122" s="441"/>
      <c r="D122" s="470" t="s">
        <v>582</v>
      </c>
      <c r="E122" s="471">
        <v>43501.36</v>
      </c>
      <c r="F122" s="471">
        <v>150</v>
      </c>
      <c r="G122" s="471">
        <v>75</v>
      </c>
      <c r="H122" s="472">
        <v>0</v>
      </c>
      <c r="I122" s="437">
        <v>0.11</v>
      </c>
      <c r="J122" s="437">
        <v>5.0599999999999996</v>
      </c>
    </row>
    <row r="123" spans="1:10">
      <c r="A123" s="485" t="s">
        <v>986</v>
      </c>
      <c r="B123" s="476" t="s">
        <v>1220</v>
      </c>
      <c r="C123" s="477"/>
      <c r="D123" s="478" t="s">
        <v>590</v>
      </c>
      <c r="E123" s="479">
        <v>45072.67</v>
      </c>
      <c r="F123" s="479">
        <v>250</v>
      </c>
      <c r="G123" s="479">
        <v>125</v>
      </c>
      <c r="H123" s="480">
        <v>0</v>
      </c>
      <c r="I123" s="481">
        <v>0.03</v>
      </c>
      <c r="J123" s="481">
        <v>3.63</v>
      </c>
    </row>
    <row r="124" spans="1:10">
      <c r="A124" s="190"/>
      <c r="B124" s="191"/>
      <c r="C124" s="191"/>
      <c r="D124" s="192"/>
      <c r="E124" s="193"/>
      <c r="F124" s="194"/>
      <c r="G124" s="194"/>
      <c r="H124" s="195"/>
      <c r="I124" s="438"/>
      <c r="J124" s="438"/>
    </row>
    <row r="125" spans="1:10">
      <c r="I125" s="370"/>
      <c r="J125" s="370"/>
    </row>
    <row r="126" spans="1:10">
      <c r="A126" s="740" t="s">
        <v>616</v>
      </c>
      <c r="B126" s="741"/>
      <c r="I126" s="370"/>
      <c r="J126" s="370"/>
    </row>
    <row r="127" spans="1:10" ht="28.5">
      <c r="A127" s="170" t="s">
        <v>617</v>
      </c>
      <c r="B127" s="439">
        <v>205.47</v>
      </c>
      <c r="I127" s="370"/>
      <c r="J127" s="370"/>
    </row>
    <row r="128" spans="1:10" ht="42.75">
      <c r="A128" s="170" t="s">
        <v>618</v>
      </c>
      <c r="B128" s="439">
        <v>205.47</v>
      </c>
      <c r="I128" s="370"/>
      <c r="J128" s="370"/>
    </row>
    <row r="129" spans="1:10" ht="42.75">
      <c r="A129" s="170" t="s">
        <v>619</v>
      </c>
      <c r="B129" s="439">
        <v>536.78</v>
      </c>
    </row>
    <row r="130" spans="1:10" ht="28.5">
      <c r="A130" s="170" t="s">
        <v>620</v>
      </c>
      <c r="B130" s="489">
        <v>0.66597222222222219</v>
      </c>
    </row>
    <row r="131" spans="1:10">
      <c r="A131" s="487"/>
      <c r="B131" s="490"/>
    </row>
    <row r="132" spans="1:10">
      <c r="A132" s="718" t="s">
        <v>621</v>
      </c>
      <c r="B132" s="719"/>
      <c r="C132" s="720"/>
      <c r="D132" s="166"/>
      <c r="E132" s="721" t="s">
        <v>430</v>
      </c>
      <c r="F132" s="721"/>
      <c r="G132" s="721"/>
      <c r="H132" s="722"/>
      <c r="I132" s="723" t="s">
        <v>429</v>
      </c>
      <c r="J132" s="724"/>
    </row>
    <row r="133" spans="1:10" ht="42.75">
      <c r="A133" s="168" t="s">
        <v>426</v>
      </c>
      <c r="B133" s="167" t="s">
        <v>557</v>
      </c>
      <c r="C133" s="168" t="s">
        <v>425</v>
      </c>
      <c r="D133" s="169" t="s">
        <v>556</v>
      </c>
      <c r="E133" s="169" t="s">
        <v>537</v>
      </c>
      <c r="F133" s="169" t="s">
        <v>512</v>
      </c>
      <c r="G133" s="169" t="s">
        <v>513</v>
      </c>
      <c r="H133" s="169" t="s">
        <v>514</v>
      </c>
      <c r="I133" s="169" t="s">
        <v>515</v>
      </c>
      <c r="J133" s="169" t="s">
        <v>516</v>
      </c>
    </row>
    <row r="134" spans="1:10">
      <c r="A134" s="161" t="s">
        <v>1162</v>
      </c>
      <c r="B134" s="387" t="s">
        <v>1216</v>
      </c>
      <c r="C134" s="441"/>
      <c r="D134" s="470" t="s">
        <v>584</v>
      </c>
      <c r="E134" s="471">
        <v>31607.33</v>
      </c>
      <c r="F134" s="471">
        <v>5400</v>
      </c>
      <c r="G134" s="471">
        <v>2700</v>
      </c>
      <c r="H134" s="472">
        <v>0</v>
      </c>
      <c r="I134" s="437">
        <v>0.4</v>
      </c>
      <c r="J134" s="437">
        <v>18.260000000000002</v>
      </c>
    </row>
    <row r="135" spans="1:10">
      <c r="A135" s="485" t="s">
        <v>1163</v>
      </c>
      <c r="B135" s="476" t="s">
        <v>1222</v>
      </c>
      <c r="C135" s="477"/>
      <c r="D135" s="478" t="s">
        <v>583</v>
      </c>
      <c r="E135" s="479">
        <v>32062.98</v>
      </c>
      <c r="F135" s="479">
        <v>200</v>
      </c>
      <c r="G135" s="479">
        <v>100</v>
      </c>
      <c r="H135" s="480">
        <v>0</v>
      </c>
      <c r="I135" s="481">
        <v>0.12</v>
      </c>
      <c r="J135" s="481">
        <v>67.52</v>
      </c>
    </row>
    <row r="136" spans="1:10">
      <c r="A136" s="742" t="s">
        <v>982</v>
      </c>
      <c r="B136" s="746" t="s">
        <v>1223</v>
      </c>
      <c r="C136" s="748" t="s">
        <v>581</v>
      </c>
      <c r="D136" s="470" t="s">
        <v>590</v>
      </c>
      <c r="E136" s="471">
        <v>37785.57</v>
      </c>
      <c r="F136" s="471">
        <v>10857</v>
      </c>
      <c r="G136" s="471">
        <v>5428.5</v>
      </c>
      <c r="H136" s="472">
        <v>0</v>
      </c>
      <c r="I136" s="750">
        <v>0.1</v>
      </c>
      <c r="J136" s="750">
        <v>14.59</v>
      </c>
    </row>
    <row r="137" spans="1:10" ht="28.5">
      <c r="A137" s="743"/>
      <c r="B137" s="747"/>
      <c r="C137" s="749"/>
      <c r="D137" s="473" t="s">
        <v>591</v>
      </c>
      <c r="E137" s="474">
        <v>-11876.62</v>
      </c>
      <c r="F137" s="474">
        <v>10857</v>
      </c>
      <c r="G137" s="474">
        <v>5428.5</v>
      </c>
      <c r="H137" s="475">
        <v>22733.62</v>
      </c>
      <c r="I137" s="751"/>
      <c r="J137" s="751"/>
    </row>
    <row r="138" spans="1:10">
      <c r="A138" s="485" t="s">
        <v>1172</v>
      </c>
      <c r="B138" s="476" t="s">
        <v>1224</v>
      </c>
      <c r="C138" s="477"/>
      <c r="D138" s="478" t="s">
        <v>590</v>
      </c>
      <c r="E138" s="479">
        <v>44947.67</v>
      </c>
      <c r="F138" s="479">
        <v>600</v>
      </c>
      <c r="G138" s="479">
        <v>300</v>
      </c>
      <c r="H138" s="480">
        <v>0</v>
      </c>
      <c r="I138" s="481">
        <v>0.03</v>
      </c>
      <c r="J138" s="481">
        <v>5.1100000000000003</v>
      </c>
    </row>
    <row r="139" spans="1:10">
      <c r="A139" s="161" t="s">
        <v>987</v>
      </c>
      <c r="B139" s="387" t="s">
        <v>1225</v>
      </c>
      <c r="C139" s="441"/>
      <c r="D139" s="470" t="s">
        <v>582</v>
      </c>
      <c r="E139" s="471">
        <v>43426.36</v>
      </c>
      <c r="F139" s="471">
        <v>4494</v>
      </c>
      <c r="G139" s="471">
        <v>2247</v>
      </c>
      <c r="H139" s="472">
        <v>0</v>
      </c>
      <c r="I139" s="437">
        <v>0.01</v>
      </c>
      <c r="J139" s="437">
        <v>7.06</v>
      </c>
    </row>
    <row r="140" spans="1:10">
      <c r="A140" s="190"/>
      <c r="B140" s="191"/>
      <c r="C140" s="191"/>
      <c r="D140" s="192"/>
      <c r="E140" s="193"/>
      <c r="F140" s="194"/>
      <c r="G140" s="194"/>
      <c r="H140" s="195"/>
      <c r="I140" s="438"/>
      <c r="J140" s="438"/>
    </row>
    <row r="141" spans="1:10">
      <c r="I141" s="370"/>
      <c r="J141" s="370"/>
    </row>
    <row r="142" spans="1:10">
      <c r="A142" s="740" t="s">
        <v>622</v>
      </c>
      <c r="B142" s="741"/>
      <c r="I142" s="370"/>
      <c r="J142" s="370"/>
    </row>
    <row r="143" spans="1:10" ht="28.5">
      <c r="A143" s="170" t="s">
        <v>623</v>
      </c>
      <c r="B143" s="439">
        <v>202.22</v>
      </c>
      <c r="I143" s="370"/>
      <c r="J143" s="370"/>
    </row>
    <row r="144" spans="1:10" ht="42.75">
      <c r="A144" s="170" t="s">
        <v>624</v>
      </c>
      <c r="B144" s="439">
        <v>202.22</v>
      </c>
      <c r="I144" s="370"/>
      <c r="J144" s="370"/>
    </row>
    <row r="145" spans="1:10" ht="42.75">
      <c r="A145" s="170" t="s">
        <v>625</v>
      </c>
      <c r="B145" s="439">
        <v>543.16999999999996</v>
      </c>
    </row>
    <row r="146" spans="1:10" ht="28.5">
      <c r="A146" s="170" t="s">
        <v>626</v>
      </c>
      <c r="B146" s="489">
        <v>0.69374999999999998</v>
      </c>
    </row>
    <row r="147" spans="1:10">
      <c r="A147" s="487"/>
      <c r="B147" s="490"/>
    </row>
    <row r="148" spans="1:10">
      <c r="A148" s="718" t="s">
        <v>627</v>
      </c>
      <c r="B148" s="719"/>
      <c r="C148" s="720"/>
      <c r="D148" s="166"/>
      <c r="E148" s="721" t="s">
        <v>430</v>
      </c>
      <c r="F148" s="721"/>
      <c r="G148" s="721"/>
      <c r="H148" s="722"/>
      <c r="I148" s="723" t="s">
        <v>429</v>
      </c>
      <c r="J148" s="724"/>
    </row>
    <row r="149" spans="1:10" ht="42.75">
      <c r="A149" s="168" t="s">
        <v>426</v>
      </c>
      <c r="B149" s="167" t="s">
        <v>557</v>
      </c>
      <c r="C149" s="168" t="s">
        <v>425</v>
      </c>
      <c r="D149" s="169" t="s">
        <v>556</v>
      </c>
      <c r="E149" s="169" t="s">
        <v>537</v>
      </c>
      <c r="F149" s="169" t="s">
        <v>512</v>
      </c>
      <c r="G149" s="169" t="s">
        <v>513</v>
      </c>
      <c r="H149" s="169" t="s">
        <v>514</v>
      </c>
      <c r="I149" s="169" t="s">
        <v>515</v>
      </c>
      <c r="J149" s="169" t="s">
        <v>516</v>
      </c>
    </row>
    <row r="150" spans="1:10">
      <c r="A150" s="161" t="s">
        <v>1163</v>
      </c>
      <c r="B150" s="387" t="s">
        <v>1226</v>
      </c>
      <c r="C150" s="441"/>
      <c r="D150" s="470" t="s">
        <v>584</v>
      </c>
      <c r="E150" s="471">
        <v>28907.33</v>
      </c>
      <c r="F150" s="471">
        <v>200</v>
      </c>
      <c r="G150" s="471">
        <v>100</v>
      </c>
      <c r="H150" s="472">
        <v>0</v>
      </c>
      <c r="I150" s="437">
        <v>0.08</v>
      </c>
      <c r="J150" s="437">
        <v>21.28</v>
      </c>
    </row>
    <row r="151" spans="1:10">
      <c r="A151" s="733" t="s">
        <v>1170</v>
      </c>
      <c r="B151" s="736" t="s">
        <v>1227</v>
      </c>
      <c r="C151" s="738" t="s">
        <v>581</v>
      </c>
      <c r="D151" s="478" t="s">
        <v>582</v>
      </c>
      <c r="E151" s="479">
        <v>35938.83</v>
      </c>
      <c r="F151" s="479">
        <v>2403</v>
      </c>
      <c r="G151" s="479">
        <v>1201.5</v>
      </c>
      <c r="H151" s="480">
        <v>0</v>
      </c>
      <c r="I151" s="730">
        <v>7.0000000000000007E-2</v>
      </c>
      <c r="J151" s="730">
        <v>19.239999999999998</v>
      </c>
    </row>
    <row r="152" spans="1:10" ht="28.5">
      <c r="A152" s="735"/>
      <c r="B152" s="737"/>
      <c r="C152" s="739"/>
      <c r="D152" s="482" t="s">
        <v>591</v>
      </c>
      <c r="E152" s="483">
        <v>-17305.12</v>
      </c>
      <c r="F152" s="483">
        <v>2403</v>
      </c>
      <c r="G152" s="483">
        <v>1201.5</v>
      </c>
      <c r="H152" s="484">
        <v>19708.12</v>
      </c>
      <c r="I152" s="732"/>
      <c r="J152" s="732"/>
    </row>
    <row r="153" spans="1:10">
      <c r="A153" s="161" t="s">
        <v>1171</v>
      </c>
      <c r="B153" s="387" t="s">
        <v>1228</v>
      </c>
      <c r="C153" s="441"/>
      <c r="D153" s="470" t="s">
        <v>582</v>
      </c>
      <c r="E153" s="471">
        <v>41179.360000000001</v>
      </c>
      <c r="F153" s="471">
        <v>601</v>
      </c>
      <c r="G153" s="471">
        <v>300.5</v>
      </c>
      <c r="H153" s="472">
        <v>0</v>
      </c>
      <c r="I153" s="437">
        <v>0.38</v>
      </c>
      <c r="J153" s="437">
        <v>7.63</v>
      </c>
    </row>
    <row r="154" spans="1:10">
      <c r="A154" s="485" t="s">
        <v>1167</v>
      </c>
      <c r="B154" s="476" t="s">
        <v>1229</v>
      </c>
      <c r="C154" s="477"/>
      <c r="D154" s="478" t="s">
        <v>590</v>
      </c>
      <c r="E154" s="479">
        <v>44647.67</v>
      </c>
      <c r="F154" s="479">
        <v>450</v>
      </c>
      <c r="G154" s="479">
        <v>225</v>
      </c>
      <c r="H154" s="480">
        <v>0</v>
      </c>
      <c r="I154" s="481">
        <v>0.13</v>
      </c>
      <c r="J154" s="481">
        <v>6.06</v>
      </c>
    </row>
    <row r="155" spans="1:10">
      <c r="A155" s="190"/>
      <c r="B155" s="191"/>
      <c r="C155" s="191"/>
      <c r="D155" s="192"/>
      <c r="E155" s="193"/>
      <c r="F155" s="194"/>
      <c r="G155" s="194"/>
      <c r="H155" s="195"/>
      <c r="I155" s="438"/>
      <c r="J155" s="438"/>
    </row>
    <row r="156" spans="1:10">
      <c r="I156" s="370"/>
      <c r="J156" s="370"/>
    </row>
    <row r="157" spans="1:10">
      <c r="A157" s="740" t="s">
        <v>628</v>
      </c>
      <c r="B157" s="741"/>
      <c r="I157" s="370"/>
      <c r="J157" s="370"/>
    </row>
    <row r="158" spans="1:10" ht="28.5">
      <c r="A158" s="170" t="s">
        <v>629</v>
      </c>
      <c r="B158" s="439">
        <v>195.83</v>
      </c>
      <c r="I158" s="370"/>
      <c r="J158" s="370"/>
    </row>
    <row r="159" spans="1:10" ht="42.75">
      <c r="A159" s="170" t="s">
        <v>630</v>
      </c>
      <c r="B159" s="439">
        <v>195.83</v>
      </c>
      <c r="I159" s="370"/>
      <c r="J159" s="370"/>
    </row>
    <row r="160" spans="1:10" ht="42.75">
      <c r="A160" s="170" t="s">
        <v>631</v>
      </c>
      <c r="B160" s="439">
        <v>543.16999999999996</v>
      </c>
    </row>
    <row r="161" spans="1:10" ht="28.5">
      <c r="A161" s="170" t="s">
        <v>632</v>
      </c>
      <c r="B161" s="489">
        <v>0.11388888888888889</v>
      </c>
    </row>
    <row r="162" spans="1:10">
      <c r="A162" s="487"/>
      <c r="B162" s="490"/>
    </row>
    <row r="163" spans="1:10">
      <c r="A163" s="718" t="s">
        <v>633</v>
      </c>
      <c r="B163" s="719"/>
      <c r="C163" s="720"/>
      <c r="D163" s="166"/>
      <c r="E163" s="721" t="s">
        <v>430</v>
      </c>
      <c r="F163" s="721"/>
      <c r="G163" s="721"/>
      <c r="H163" s="722"/>
      <c r="I163" s="723" t="s">
        <v>429</v>
      </c>
      <c r="J163" s="724"/>
    </row>
    <row r="164" spans="1:10" ht="42.75">
      <c r="A164" s="168" t="s">
        <v>426</v>
      </c>
      <c r="B164" s="167" t="s">
        <v>557</v>
      </c>
      <c r="C164" s="168" t="s">
        <v>425</v>
      </c>
      <c r="D164" s="169" t="s">
        <v>556</v>
      </c>
      <c r="E164" s="169" t="s">
        <v>537</v>
      </c>
      <c r="F164" s="169" t="s">
        <v>512</v>
      </c>
      <c r="G164" s="169" t="s">
        <v>513</v>
      </c>
      <c r="H164" s="169" t="s">
        <v>514</v>
      </c>
      <c r="I164" s="169" t="s">
        <v>515</v>
      </c>
      <c r="J164" s="169" t="s">
        <v>516</v>
      </c>
    </row>
    <row r="165" spans="1:10">
      <c r="A165" s="161" t="s">
        <v>975</v>
      </c>
      <c r="B165" s="387" t="s">
        <v>1234</v>
      </c>
      <c r="C165" s="441"/>
      <c r="D165" s="470" t="s">
        <v>584</v>
      </c>
      <c r="E165" s="471">
        <v>28807.33</v>
      </c>
      <c r="F165" s="471">
        <v>251</v>
      </c>
      <c r="G165" s="471">
        <v>125.5</v>
      </c>
      <c r="H165" s="472">
        <v>0</v>
      </c>
      <c r="I165" s="437">
        <v>0.4</v>
      </c>
      <c r="J165" s="437">
        <v>30.68</v>
      </c>
    </row>
    <row r="166" spans="1:10" ht="28.5">
      <c r="A166" s="485" t="s">
        <v>1165</v>
      </c>
      <c r="B166" s="476" t="s">
        <v>1231</v>
      </c>
      <c r="C166" s="477" t="s">
        <v>581</v>
      </c>
      <c r="D166" s="482" t="s">
        <v>591</v>
      </c>
      <c r="E166" s="483">
        <v>-18506.62</v>
      </c>
      <c r="F166" s="483">
        <v>2403</v>
      </c>
      <c r="G166" s="483">
        <v>1201.5</v>
      </c>
      <c r="H166" s="484">
        <v>20909.62</v>
      </c>
      <c r="I166" s="481">
        <v>0.33</v>
      </c>
      <c r="J166" s="481">
        <v>63.93</v>
      </c>
    </row>
    <row r="167" spans="1:10">
      <c r="A167" s="161" t="s">
        <v>987</v>
      </c>
      <c r="B167" s="387" t="s">
        <v>1232</v>
      </c>
      <c r="C167" s="441"/>
      <c r="D167" s="470" t="s">
        <v>582</v>
      </c>
      <c r="E167" s="471">
        <v>40878.86</v>
      </c>
      <c r="F167" s="471">
        <v>500</v>
      </c>
      <c r="G167" s="471">
        <v>250</v>
      </c>
      <c r="H167" s="472">
        <v>0</v>
      </c>
      <c r="I167" s="437">
        <v>0.03</v>
      </c>
      <c r="J167" s="437">
        <v>9.0500000000000007</v>
      </c>
    </row>
    <row r="168" spans="1:10">
      <c r="A168" s="485" t="s">
        <v>1167</v>
      </c>
      <c r="B168" s="476" t="s">
        <v>1233</v>
      </c>
      <c r="C168" s="477"/>
      <c r="D168" s="478" t="s">
        <v>590</v>
      </c>
      <c r="E168" s="479">
        <v>44422.67</v>
      </c>
      <c r="F168" s="479">
        <v>251</v>
      </c>
      <c r="G168" s="479">
        <v>125.5</v>
      </c>
      <c r="H168" s="480">
        <v>0</v>
      </c>
      <c r="I168" s="481">
        <v>0.08</v>
      </c>
      <c r="J168" s="481">
        <v>7.99</v>
      </c>
    </row>
    <row r="169" spans="1:10">
      <c r="A169" s="190"/>
      <c r="B169" s="191"/>
      <c r="C169" s="191"/>
      <c r="D169" s="192"/>
      <c r="E169" s="193"/>
      <c r="F169" s="194"/>
      <c r="G169" s="194"/>
      <c r="H169" s="195"/>
      <c r="I169" s="438"/>
      <c r="J169" s="438"/>
    </row>
    <row r="170" spans="1:10">
      <c r="I170" s="370"/>
      <c r="J170" s="370"/>
    </row>
    <row r="171" spans="1:10">
      <c r="A171" s="740" t="s">
        <v>634</v>
      </c>
      <c r="B171" s="741"/>
      <c r="I171" s="370"/>
      <c r="J171" s="370"/>
    </row>
    <row r="172" spans="1:10" ht="28.5">
      <c r="A172" s="170" t="s">
        <v>635</v>
      </c>
      <c r="B172" s="439">
        <v>195.83</v>
      </c>
      <c r="I172" s="370"/>
      <c r="J172" s="370"/>
    </row>
    <row r="173" spans="1:10" ht="42.75">
      <c r="A173" s="170" t="s">
        <v>636</v>
      </c>
      <c r="B173" s="439">
        <v>195.83</v>
      </c>
      <c r="I173" s="370"/>
      <c r="J173" s="370"/>
    </row>
    <row r="174" spans="1:10" ht="42.75">
      <c r="A174" s="170" t="s">
        <v>637</v>
      </c>
      <c r="B174" s="439">
        <v>543.47</v>
      </c>
    </row>
    <row r="175" spans="1:10" ht="28.5">
      <c r="A175" s="170" t="s">
        <v>638</v>
      </c>
      <c r="B175" s="489">
        <v>7.3611111111111113E-2</v>
      </c>
    </row>
    <row r="176" spans="1:10">
      <c r="A176" s="487"/>
      <c r="B176" s="490"/>
    </row>
    <row r="177" spans="1:10">
      <c r="A177" s="718" t="s">
        <v>639</v>
      </c>
      <c r="B177" s="719"/>
      <c r="C177" s="720"/>
      <c r="D177" s="166"/>
      <c r="E177" s="721" t="s">
        <v>430</v>
      </c>
      <c r="F177" s="721"/>
      <c r="G177" s="721"/>
      <c r="H177" s="722"/>
      <c r="I177" s="723" t="s">
        <v>429</v>
      </c>
      <c r="J177" s="724"/>
    </row>
    <row r="178" spans="1:10" ht="42.75">
      <c r="A178" s="168" t="s">
        <v>426</v>
      </c>
      <c r="B178" s="167" t="s">
        <v>557</v>
      </c>
      <c r="C178" s="168" t="s">
        <v>425</v>
      </c>
      <c r="D178" s="169" t="s">
        <v>556</v>
      </c>
      <c r="E178" s="169" t="s">
        <v>537</v>
      </c>
      <c r="F178" s="169" t="s">
        <v>512</v>
      </c>
      <c r="G178" s="169" t="s">
        <v>513</v>
      </c>
      <c r="H178" s="169" t="s">
        <v>514</v>
      </c>
      <c r="I178" s="169" t="s">
        <v>515</v>
      </c>
      <c r="J178" s="169" t="s">
        <v>516</v>
      </c>
    </row>
    <row r="179" spans="1:10">
      <c r="A179" s="161" t="s">
        <v>1162</v>
      </c>
      <c r="B179" s="387" t="s">
        <v>1230</v>
      </c>
      <c r="C179" s="441"/>
      <c r="D179" s="470" t="s">
        <v>584</v>
      </c>
      <c r="E179" s="471">
        <v>28681.83</v>
      </c>
      <c r="F179" s="471">
        <v>450</v>
      </c>
      <c r="G179" s="471">
        <v>225</v>
      </c>
      <c r="H179" s="472">
        <v>0</v>
      </c>
      <c r="I179" s="437">
        <v>0.11</v>
      </c>
      <c r="J179" s="437">
        <v>31.28</v>
      </c>
    </row>
    <row r="180" spans="1:10">
      <c r="A180" s="733" t="s">
        <v>1171</v>
      </c>
      <c r="B180" s="476" t="s">
        <v>1235</v>
      </c>
      <c r="C180" s="477"/>
      <c r="D180" s="478" t="s">
        <v>590</v>
      </c>
      <c r="E180" s="479">
        <v>44297.17</v>
      </c>
      <c r="F180" s="479">
        <v>450</v>
      </c>
      <c r="G180" s="479">
        <v>225</v>
      </c>
      <c r="H180" s="480">
        <v>0</v>
      </c>
      <c r="I180" s="481">
        <v>0.04</v>
      </c>
      <c r="J180" s="481">
        <v>9.77</v>
      </c>
    </row>
    <row r="181" spans="1:10">
      <c r="A181" s="735"/>
      <c r="B181" s="476" t="s">
        <v>1236</v>
      </c>
      <c r="C181" s="477"/>
      <c r="D181" s="478" t="s">
        <v>582</v>
      </c>
      <c r="E181" s="479">
        <v>40628.86</v>
      </c>
      <c r="F181" s="479">
        <v>900</v>
      </c>
      <c r="G181" s="479">
        <v>450</v>
      </c>
      <c r="H181" s="480">
        <v>0</v>
      </c>
      <c r="I181" s="481">
        <v>0.01</v>
      </c>
      <c r="J181" s="481">
        <v>11.98</v>
      </c>
    </row>
    <row r="182" spans="1:10">
      <c r="A182" s="190"/>
      <c r="B182" s="191"/>
      <c r="C182" s="191"/>
      <c r="D182" s="192"/>
      <c r="E182" s="193"/>
      <c r="F182" s="194"/>
      <c r="G182" s="194"/>
      <c r="H182" s="195"/>
      <c r="I182" s="438"/>
      <c r="J182" s="438"/>
    </row>
    <row r="183" spans="1:10">
      <c r="I183" s="370"/>
      <c r="J183" s="370"/>
    </row>
    <row r="184" spans="1:10">
      <c r="A184" s="740" t="s">
        <v>640</v>
      </c>
      <c r="B184" s="741"/>
      <c r="I184" s="370"/>
      <c r="J184" s="370"/>
    </row>
    <row r="185" spans="1:10" ht="28.5">
      <c r="A185" s="170" t="s">
        <v>641</v>
      </c>
      <c r="B185" s="439">
        <v>195.53</v>
      </c>
      <c r="I185" s="370"/>
      <c r="J185" s="370"/>
    </row>
    <row r="186" spans="1:10" ht="42.75">
      <c r="A186" s="170" t="s">
        <v>642</v>
      </c>
      <c r="B186" s="439">
        <v>195.53</v>
      </c>
      <c r="I186" s="370"/>
      <c r="J186" s="370"/>
    </row>
    <row r="187" spans="1:10" ht="42.75">
      <c r="A187" s="170" t="s">
        <v>643</v>
      </c>
      <c r="B187" s="439">
        <v>569.86</v>
      </c>
    </row>
    <row r="188" spans="1:10" ht="28.5">
      <c r="A188" s="170" t="s">
        <v>644</v>
      </c>
      <c r="B188" s="489">
        <v>1.6666666666666666E-2</v>
      </c>
    </row>
    <row r="189" spans="1:10">
      <c r="A189" s="487"/>
      <c r="B189" s="490"/>
    </row>
    <row r="190" spans="1:10">
      <c r="A190" s="718" t="s">
        <v>645</v>
      </c>
      <c r="B190" s="719"/>
      <c r="C190" s="720"/>
      <c r="D190" s="166"/>
      <c r="E190" s="721" t="s">
        <v>430</v>
      </c>
      <c r="F190" s="721"/>
      <c r="G190" s="721"/>
      <c r="H190" s="722"/>
      <c r="I190" s="723" t="s">
        <v>429</v>
      </c>
      <c r="J190" s="724"/>
    </row>
    <row r="191" spans="1:10" ht="42.75">
      <c r="A191" s="168" t="s">
        <v>426</v>
      </c>
      <c r="B191" s="167" t="s">
        <v>557</v>
      </c>
      <c r="C191" s="168" t="s">
        <v>425</v>
      </c>
      <c r="D191" s="169" t="s">
        <v>556</v>
      </c>
      <c r="E191" s="169" t="s">
        <v>537</v>
      </c>
      <c r="F191" s="169" t="s">
        <v>512</v>
      </c>
      <c r="G191" s="169" t="s">
        <v>513</v>
      </c>
      <c r="H191" s="169" t="s">
        <v>514</v>
      </c>
      <c r="I191" s="169" t="s">
        <v>515</v>
      </c>
      <c r="J191" s="169" t="s">
        <v>516</v>
      </c>
    </row>
    <row r="192" spans="1:10">
      <c r="A192" s="161" t="s">
        <v>1162</v>
      </c>
      <c r="B192" s="387" t="s">
        <v>1237</v>
      </c>
      <c r="C192" s="441"/>
      <c r="D192" s="470" t="s">
        <v>584</v>
      </c>
      <c r="E192" s="471">
        <v>28456.83</v>
      </c>
      <c r="F192" s="471">
        <v>251</v>
      </c>
      <c r="G192" s="471">
        <v>125.5</v>
      </c>
      <c r="H192" s="472">
        <v>0</v>
      </c>
      <c r="I192" s="437">
        <v>0.28999999999999998</v>
      </c>
      <c r="J192" s="437">
        <v>50.16</v>
      </c>
    </row>
    <row r="193" spans="1:10">
      <c r="A193" s="485" t="s">
        <v>1166</v>
      </c>
      <c r="B193" s="476" t="s">
        <v>1238</v>
      </c>
      <c r="C193" s="477"/>
      <c r="D193" s="478" t="s">
        <v>590</v>
      </c>
      <c r="E193" s="479">
        <v>44072.17</v>
      </c>
      <c r="F193" s="479">
        <v>150</v>
      </c>
      <c r="G193" s="479">
        <v>75</v>
      </c>
      <c r="H193" s="480">
        <v>0</v>
      </c>
      <c r="I193" s="481">
        <v>0.05</v>
      </c>
      <c r="J193" s="481">
        <v>9.77</v>
      </c>
    </row>
    <row r="194" spans="1:10">
      <c r="A194" s="161" t="s">
        <v>1168</v>
      </c>
      <c r="B194" s="387" t="s">
        <v>1242</v>
      </c>
      <c r="C194" s="441"/>
      <c r="D194" s="470" t="s">
        <v>582</v>
      </c>
      <c r="E194" s="471">
        <v>40178.86</v>
      </c>
      <c r="F194" s="471">
        <v>450</v>
      </c>
      <c r="G194" s="471">
        <v>225</v>
      </c>
      <c r="H194" s="472">
        <v>0</v>
      </c>
      <c r="I194" s="437">
        <v>0.13</v>
      </c>
      <c r="J194" s="437">
        <v>15.07</v>
      </c>
    </row>
    <row r="195" spans="1:10">
      <c r="A195" s="190"/>
      <c r="B195" s="191"/>
      <c r="C195" s="191"/>
      <c r="D195" s="192"/>
      <c r="E195" s="193"/>
      <c r="F195" s="194"/>
      <c r="G195" s="194"/>
      <c r="H195" s="195"/>
      <c r="I195" s="438"/>
      <c r="J195" s="438"/>
    </row>
    <row r="196" spans="1:10">
      <c r="I196" s="370"/>
      <c r="J196" s="370"/>
    </row>
    <row r="197" spans="1:10">
      <c r="A197" s="740" t="s">
        <v>646</v>
      </c>
      <c r="B197" s="741"/>
      <c r="I197" s="370"/>
      <c r="J197" s="370"/>
    </row>
    <row r="198" spans="1:10" ht="28.5">
      <c r="A198" s="170" t="s">
        <v>647</v>
      </c>
      <c r="B198" s="439">
        <v>169.14</v>
      </c>
      <c r="I198" s="370"/>
      <c r="J198" s="370"/>
    </row>
    <row r="199" spans="1:10" ht="42.75">
      <c r="A199" s="170" t="s">
        <v>648</v>
      </c>
      <c r="B199" s="439">
        <v>169.14</v>
      </c>
      <c r="I199" s="370"/>
      <c r="J199" s="370"/>
    </row>
    <row r="200" spans="1:10" ht="42.75">
      <c r="A200" s="170" t="s">
        <v>649</v>
      </c>
      <c r="B200" s="439">
        <v>578.1</v>
      </c>
    </row>
    <row r="201" spans="1:10" ht="28.5">
      <c r="A201" s="170" t="s">
        <v>650</v>
      </c>
      <c r="B201" s="489">
        <v>3.5416666666666666E-2</v>
      </c>
    </row>
    <row r="202" spans="1:10">
      <c r="A202" s="487"/>
      <c r="B202" s="490"/>
    </row>
    <row r="203" spans="1:10">
      <c r="A203" s="718" t="s">
        <v>651</v>
      </c>
      <c r="B203" s="719"/>
      <c r="C203" s="720"/>
      <c r="D203" s="166"/>
      <c r="E203" s="721" t="s">
        <v>430</v>
      </c>
      <c r="F203" s="721"/>
      <c r="G203" s="721"/>
      <c r="H203" s="722"/>
      <c r="I203" s="723" t="s">
        <v>429</v>
      </c>
      <c r="J203" s="724"/>
    </row>
    <row r="204" spans="1:10" ht="42.75">
      <c r="A204" s="168" t="s">
        <v>426</v>
      </c>
      <c r="B204" s="167" t="s">
        <v>557</v>
      </c>
      <c r="C204" s="168" t="s">
        <v>425</v>
      </c>
      <c r="D204" s="169" t="s">
        <v>556</v>
      </c>
      <c r="E204" s="169" t="s">
        <v>537</v>
      </c>
      <c r="F204" s="169" t="s">
        <v>512</v>
      </c>
      <c r="G204" s="169" t="s">
        <v>513</v>
      </c>
      <c r="H204" s="169" t="s">
        <v>514</v>
      </c>
      <c r="I204" s="169" t="s">
        <v>515</v>
      </c>
      <c r="J204" s="169" t="s">
        <v>516</v>
      </c>
    </row>
    <row r="205" spans="1:10">
      <c r="A205" s="742" t="s">
        <v>975</v>
      </c>
      <c r="B205" s="746" t="s">
        <v>1240</v>
      </c>
      <c r="C205" s="748" t="s">
        <v>581</v>
      </c>
      <c r="D205" s="473" t="s">
        <v>578</v>
      </c>
      <c r="E205" s="474">
        <v>64.260000000000005</v>
      </c>
      <c r="F205" s="474">
        <v>190</v>
      </c>
      <c r="G205" s="474">
        <v>95</v>
      </c>
      <c r="H205" s="475">
        <v>125.74</v>
      </c>
      <c r="I205" s="750">
        <v>0.22</v>
      </c>
      <c r="J205" s="750">
        <v>57.87</v>
      </c>
    </row>
    <row r="206" spans="1:10">
      <c r="A206" s="743"/>
      <c r="B206" s="747"/>
      <c r="C206" s="749"/>
      <c r="D206" s="470" t="s">
        <v>584</v>
      </c>
      <c r="E206" s="471">
        <v>28331.33</v>
      </c>
      <c r="F206" s="471">
        <v>190</v>
      </c>
      <c r="G206" s="471">
        <v>95</v>
      </c>
      <c r="H206" s="472">
        <v>0</v>
      </c>
      <c r="I206" s="751"/>
      <c r="J206" s="751"/>
    </row>
    <row r="207" spans="1:10">
      <c r="A207" s="485" t="s">
        <v>987</v>
      </c>
      <c r="B207" s="476" t="s">
        <v>1239</v>
      </c>
      <c r="C207" s="477"/>
      <c r="D207" s="478" t="s">
        <v>582</v>
      </c>
      <c r="E207" s="479">
        <v>39953.86</v>
      </c>
      <c r="F207" s="479">
        <v>70</v>
      </c>
      <c r="G207" s="479">
        <v>35</v>
      </c>
      <c r="H207" s="480">
        <v>0</v>
      </c>
      <c r="I207" s="481">
        <v>0.17</v>
      </c>
      <c r="J207" s="481">
        <v>15.42</v>
      </c>
    </row>
    <row r="208" spans="1:10">
      <c r="A208" s="161" t="s">
        <v>1167</v>
      </c>
      <c r="B208" s="387" t="s">
        <v>1241</v>
      </c>
      <c r="C208" s="441"/>
      <c r="D208" s="470" t="s">
        <v>590</v>
      </c>
      <c r="E208" s="471">
        <v>43997.17</v>
      </c>
      <c r="F208" s="471">
        <v>251</v>
      </c>
      <c r="G208" s="471">
        <v>125.5</v>
      </c>
      <c r="H208" s="472">
        <v>0</v>
      </c>
      <c r="I208" s="437">
        <v>0.21</v>
      </c>
      <c r="J208" s="437">
        <v>10.88</v>
      </c>
    </row>
    <row r="209" spans="1:10">
      <c r="A209" s="190"/>
      <c r="B209" s="191"/>
      <c r="C209" s="191"/>
      <c r="D209" s="192"/>
      <c r="E209" s="193"/>
      <c r="F209" s="194"/>
      <c r="G209" s="194"/>
      <c r="H209" s="195"/>
      <c r="I209" s="438"/>
      <c r="J209" s="438"/>
    </row>
    <row r="210" spans="1:10">
      <c r="I210" s="370"/>
      <c r="J210" s="370"/>
    </row>
    <row r="211" spans="1:10">
      <c r="A211" s="740" t="s">
        <v>652</v>
      </c>
      <c r="B211" s="741"/>
      <c r="I211" s="370"/>
      <c r="J211" s="370"/>
    </row>
    <row r="212" spans="1:10" ht="28.5">
      <c r="A212" s="170" t="s">
        <v>653</v>
      </c>
      <c r="B212" s="439">
        <v>160.9</v>
      </c>
      <c r="I212" s="370"/>
      <c r="J212" s="370"/>
    </row>
    <row r="213" spans="1:10" ht="42.75">
      <c r="A213" s="170" t="s">
        <v>654</v>
      </c>
      <c r="B213" s="439">
        <v>160.9</v>
      </c>
      <c r="I213" s="370"/>
      <c r="J213" s="370"/>
    </row>
    <row r="214" spans="1:10" ht="42.75">
      <c r="A214" s="170" t="s">
        <v>655</v>
      </c>
      <c r="B214" s="439">
        <v>578.1</v>
      </c>
    </row>
    <row r="215" spans="1:10" ht="28.5">
      <c r="A215" s="170" t="s">
        <v>656</v>
      </c>
      <c r="B215" s="489">
        <v>2.4305555555555556E-2</v>
      </c>
    </row>
    <row r="216" spans="1:10">
      <c r="A216" s="487"/>
      <c r="B216" s="490"/>
    </row>
    <row r="217" spans="1:10">
      <c r="A217" s="718" t="s">
        <v>657</v>
      </c>
      <c r="B217" s="719"/>
      <c r="C217" s="720"/>
      <c r="D217" s="166"/>
      <c r="E217" s="721" t="s">
        <v>430</v>
      </c>
      <c r="F217" s="721"/>
      <c r="G217" s="721"/>
      <c r="H217" s="722"/>
      <c r="I217" s="723" t="s">
        <v>429</v>
      </c>
      <c r="J217" s="724"/>
    </row>
    <row r="218" spans="1:10" ht="42.75">
      <c r="A218" s="168" t="s">
        <v>426</v>
      </c>
      <c r="B218" s="167" t="s">
        <v>557</v>
      </c>
      <c r="C218" s="168" t="s">
        <v>425</v>
      </c>
      <c r="D218" s="169" t="s">
        <v>556</v>
      </c>
      <c r="E218" s="169" t="s">
        <v>537</v>
      </c>
      <c r="F218" s="169" t="s">
        <v>512</v>
      </c>
      <c r="G218" s="169" t="s">
        <v>513</v>
      </c>
      <c r="H218" s="169" t="s">
        <v>514</v>
      </c>
      <c r="I218" s="169" t="s">
        <v>515</v>
      </c>
      <c r="J218" s="169" t="s">
        <v>516</v>
      </c>
    </row>
    <row r="219" spans="1:10">
      <c r="A219" s="161" t="s">
        <v>1163</v>
      </c>
      <c r="B219" s="387" t="s">
        <v>1243</v>
      </c>
      <c r="C219" s="441"/>
      <c r="D219" s="470" t="s">
        <v>584</v>
      </c>
      <c r="E219" s="471">
        <v>28236.33</v>
      </c>
      <c r="F219" s="471">
        <v>2474</v>
      </c>
      <c r="G219" s="471">
        <v>1237</v>
      </c>
      <c r="H219" s="472">
        <v>0</v>
      </c>
      <c r="I219" s="437">
        <v>2.08</v>
      </c>
      <c r="J219" s="437">
        <v>430.79</v>
      </c>
    </row>
    <row r="220" spans="1:10">
      <c r="A220" s="485" t="s">
        <v>1166</v>
      </c>
      <c r="B220" s="476" t="s">
        <v>1244</v>
      </c>
      <c r="C220" s="477"/>
      <c r="D220" s="478" t="s">
        <v>590</v>
      </c>
      <c r="E220" s="479">
        <v>43871.67</v>
      </c>
      <c r="F220" s="479">
        <v>200</v>
      </c>
      <c r="G220" s="479">
        <v>100</v>
      </c>
      <c r="H220" s="480">
        <v>0</v>
      </c>
      <c r="I220" s="481">
        <v>7.0000000000000007E-2</v>
      </c>
      <c r="J220" s="481">
        <v>13.24</v>
      </c>
    </row>
    <row r="221" spans="1:10">
      <c r="A221" s="161" t="s">
        <v>1167</v>
      </c>
      <c r="B221" s="387" t="s">
        <v>1247</v>
      </c>
      <c r="C221" s="441"/>
      <c r="D221" s="470" t="s">
        <v>582</v>
      </c>
      <c r="E221" s="471">
        <v>39918.86</v>
      </c>
      <c r="F221" s="471">
        <v>1451</v>
      </c>
      <c r="G221" s="471">
        <v>725.5</v>
      </c>
      <c r="H221" s="472">
        <v>0</v>
      </c>
      <c r="I221" s="437">
        <v>0.25</v>
      </c>
      <c r="J221" s="437">
        <v>18.07</v>
      </c>
    </row>
    <row r="222" spans="1:10">
      <c r="A222" s="190"/>
      <c r="B222" s="191"/>
      <c r="C222" s="191"/>
      <c r="D222" s="192"/>
      <c r="E222" s="193"/>
      <c r="F222" s="194"/>
      <c r="G222" s="194"/>
      <c r="H222" s="195"/>
      <c r="I222" s="438"/>
      <c r="J222" s="438"/>
    </row>
    <row r="223" spans="1:10">
      <c r="I223" s="370"/>
      <c r="J223" s="370"/>
    </row>
    <row r="224" spans="1:10">
      <c r="A224" s="740" t="s">
        <v>658</v>
      </c>
      <c r="B224" s="741"/>
      <c r="I224" s="370"/>
      <c r="J224" s="370"/>
    </row>
    <row r="225" spans="1:10" ht="28.5">
      <c r="A225" s="170" t="s">
        <v>659</v>
      </c>
      <c r="B225" s="439">
        <v>160.9</v>
      </c>
      <c r="I225" s="370"/>
      <c r="J225" s="370"/>
    </row>
    <row r="226" spans="1:10" ht="42.75">
      <c r="A226" s="170" t="s">
        <v>660</v>
      </c>
      <c r="B226" s="439">
        <v>160.9</v>
      </c>
      <c r="I226" s="370"/>
      <c r="J226" s="370"/>
    </row>
    <row r="227" spans="1:10" ht="42.75">
      <c r="A227" s="170" t="s">
        <v>661</v>
      </c>
      <c r="B227" s="439">
        <v>653.69000000000005</v>
      </c>
    </row>
    <row r="228" spans="1:10" ht="28.5">
      <c r="A228" s="170" t="s">
        <v>662</v>
      </c>
      <c r="B228" s="489">
        <v>0.15486111111111112</v>
      </c>
    </row>
    <row r="229" spans="1:10">
      <c r="A229" s="487"/>
      <c r="B229" s="490"/>
    </row>
    <row r="230" spans="1:10">
      <c r="A230" s="718" t="s">
        <v>663</v>
      </c>
      <c r="B230" s="719"/>
      <c r="C230" s="720"/>
      <c r="D230" s="166"/>
      <c r="E230" s="721" t="s">
        <v>430</v>
      </c>
      <c r="F230" s="721"/>
      <c r="G230" s="721"/>
      <c r="H230" s="722"/>
      <c r="I230" s="723" t="s">
        <v>429</v>
      </c>
      <c r="J230" s="724"/>
    </row>
    <row r="231" spans="1:10" ht="42.75">
      <c r="A231" s="168" t="s">
        <v>426</v>
      </c>
      <c r="B231" s="167" t="s">
        <v>557</v>
      </c>
      <c r="C231" s="168" t="s">
        <v>425</v>
      </c>
      <c r="D231" s="169" t="s">
        <v>556</v>
      </c>
      <c r="E231" s="169" t="s">
        <v>537</v>
      </c>
      <c r="F231" s="169" t="s">
        <v>512</v>
      </c>
      <c r="G231" s="169" t="s">
        <v>513</v>
      </c>
      <c r="H231" s="169" t="s">
        <v>514</v>
      </c>
      <c r="I231" s="169" t="s">
        <v>515</v>
      </c>
      <c r="J231" s="169" t="s">
        <v>516</v>
      </c>
    </row>
    <row r="232" spans="1:10">
      <c r="A232" s="161" t="s">
        <v>1166</v>
      </c>
      <c r="B232" s="387" t="s">
        <v>1246</v>
      </c>
      <c r="C232" s="441"/>
      <c r="D232" s="470" t="s">
        <v>590</v>
      </c>
      <c r="E232" s="471">
        <v>43771.67</v>
      </c>
      <c r="F232" s="471">
        <v>200</v>
      </c>
      <c r="G232" s="471">
        <v>100</v>
      </c>
      <c r="H232" s="472">
        <v>0</v>
      </c>
      <c r="I232" s="437">
        <v>7.0000000000000007E-2</v>
      </c>
      <c r="J232" s="437">
        <v>14.05</v>
      </c>
    </row>
    <row r="233" spans="1:10">
      <c r="A233" s="485" t="s">
        <v>987</v>
      </c>
      <c r="B233" s="476" t="s">
        <v>1245</v>
      </c>
      <c r="C233" s="477"/>
      <c r="D233" s="478" t="s">
        <v>582</v>
      </c>
      <c r="E233" s="479">
        <v>39193.360000000001</v>
      </c>
      <c r="F233" s="479">
        <v>450</v>
      </c>
      <c r="G233" s="479">
        <v>225</v>
      </c>
      <c r="H233" s="480">
        <v>0</v>
      </c>
      <c r="I233" s="481">
        <v>0.17</v>
      </c>
      <c r="J233" s="481">
        <v>18.64</v>
      </c>
    </row>
    <row r="234" spans="1:10">
      <c r="A234" s="190"/>
      <c r="B234" s="191"/>
      <c r="C234" s="191"/>
      <c r="D234" s="192"/>
      <c r="E234" s="193"/>
      <c r="F234" s="194"/>
      <c r="G234" s="194"/>
      <c r="H234" s="195"/>
      <c r="I234" s="438"/>
      <c r="J234" s="438"/>
    </row>
    <row r="235" spans="1:10">
      <c r="I235" s="370"/>
      <c r="J235" s="370"/>
    </row>
    <row r="236" spans="1:10">
      <c r="A236" s="740" t="s">
        <v>664</v>
      </c>
      <c r="B236" s="741"/>
      <c r="I236" s="370"/>
      <c r="J236" s="370"/>
    </row>
    <row r="237" spans="1:10" ht="28.5">
      <c r="A237" s="170" t="s">
        <v>665</v>
      </c>
      <c r="B237" s="439">
        <v>85.31</v>
      </c>
      <c r="I237" s="370"/>
      <c r="J237" s="370"/>
    </row>
    <row r="238" spans="1:10" ht="42.75">
      <c r="A238" s="170" t="s">
        <v>666</v>
      </c>
      <c r="B238" s="439">
        <v>85.31</v>
      </c>
      <c r="I238" s="370"/>
      <c r="J238" s="370"/>
    </row>
    <row r="239" spans="1:10" ht="42.75">
      <c r="A239" s="170" t="s">
        <v>667</v>
      </c>
      <c r="B239" s="439">
        <v>653.69000000000005</v>
      </c>
    </row>
    <row r="240" spans="1:10" ht="28.5">
      <c r="A240" s="170" t="s">
        <v>668</v>
      </c>
      <c r="B240" s="489">
        <v>4.3750000000000004E-2</v>
      </c>
    </row>
    <row r="241" spans="1:10">
      <c r="A241" s="487"/>
      <c r="B241" s="490"/>
    </row>
    <row r="242" spans="1:10">
      <c r="A242" s="718" t="s">
        <v>669</v>
      </c>
      <c r="B242" s="719"/>
      <c r="C242" s="720"/>
      <c r="D242" s="166"/>
      <c r="E242" s="721" t="s">
        <v>430</v>
      </c>
      <c r="F242" s="721"/>
      <c r="G242" s="721"/>
      <c r="H242" s="722"/>
      <c r="I242" s="723" t="s">
        <v>429</v>
      </c>
      <c r="J242" s="724"/>
    </row>
    <row r="243" spans="1:10" ht="42.75">
      <c r="A243" s="168" t="s">
        <v>426</v>
      </c>
      <c r="B243" s="167" t="s">
        <v>557</v>
      </c>
      <c r="C243" s="168" t="s">
        <v>425</v>
      </c>
      <c r="D243" s="169" t="s">
        <v>556</v>
      </c>
      <c r="E243" s="169" t="s">
        <v>537</v>
      </c>
      <c r="F243" s="169" t="s">
        <v>512</v>
      </c>
      <c r="G243" s="169" t="s">
        <v>513</v>
      </c>
      <c r="H243" s="169" t="s">
        <v>514</v>
      </c>
      <c r="I243" s="169" t="s">
        <v>515</v>
      </c>
      <c r="J243" s="169" t="s">
        <v>516</v>
      </c>
    </row>
    <row r="244" spans="1:10">
      <c r="A244" s="161" t="s">
        <v>1171</v>
      </c>
      <c r="B244" s="387" t="s">
        <v>1248</v>
      </c>
      <c r="C244" s="441"/>
      <c r="D244" s="470" t="s">
        <v>590</v>
      </c>
      <c r="E244" s="471">
        <v>43671.67</v>
      </c>
      <c r="F244" s="471">
        <v>200</v>
      </c>
      <c r="G244" s="471">
        <v>100</v>
      </c>
      <c r="H244" s="472">
        <v>0</v>
      </c>
      <c r="I244" s="437">
        <v>0.08</v>
      </c>
      <c r="J244" s="437">
        <v>15.79</v>
      </c>
    </row>
    <row r="245" spans="1:10">
      <c r="A245" s="733" t="s">
        <v>987</v>
      </c>
      <c r="B245" s="736" t="s">
        <v>1249</v>
      </c>
      <c r="C245" s="738" t="s">
        <v>581</v>
      </c>
      <c r="D245" s="482" t="s">
        <v>579</v>
      </c>
      <c r="E245" s="483">
        <v>29.62</v>
      </c>
      <c r="F245" s="483">
        <v>200</v>
      </c>
      <c r="G245" s="483">
        <v>100</v>
      </c>
      <c r="H245" s="484">
        <v>170.38</v>
      </c>
      <c r="I245" s="730">
        <v>7.0000000000000007E-2</v>
      </c>
      <c r="J245" s="730">
        <v>22.46</v>
      </c>
    </row>
    <row r="246" spans="1:10">
      <c r="A246" s="735"/>
      <c r="B246" s="737"/>
      <c r="C246" s="739"/>
      <c r="D246" s="478" t="s">
        <v>582</v>
      </c>
      <c r="E246" s="479">
        <v>38968.36</v>
      </c>
      <c r="F246" s="479">
        <v>200</v>
      </c>
      <c r="G246" s="479">
        <v>100</v>
      </c>
      <c r="H246" s="480">
        <v>0</v>
      </c>
      <c r="I246" s="732"/>
      <c r="J246" s="732"/>
    </row>
    <row r="247" spans="1:10">
      <c r="A247" s="190"/>
      <c r="B247" s="191"/>
      <c r="C247" s="191"/>
      <c r="D247" s="192"/>
      <c r="E247" s="193"/>
      <c r="F247" s="194"/>
      <c r="G247" s="194"/>
      <c r="H247" s="195"/>
      <c r="I247" s="438"/>
      <c r="J247" s="438"/>
    </row>
    <row r="248" spans="1:10">
      <c r="I248" s="370"/>
      <c r="J248" s="370"/>
    </row>
    <row r="249" spans="1:10">
      <c r="A249" s="740" t="s">
        <v>670</v>
      </c>
      <c r="B249" s="741"/>
      <c r="I249" s="370"/>
      <c r="J249" s="370"/>
    </row>
    <row r="250" spans="1:10" ht="28.5">
      <c r="A250" s="170" t="s">
        <v>671</v>
      </c>
      <c r="B250" s="439">
        <v>85.31</v>
      </c>
      <c r="I250" s="370"/>
      <c r="J250" s="370"/>
    </row>
    <row r="251" spans="1:10" ht="42.75">
      <c r="A251" s="170" t="s">
        <v>672</v>
      </c>
      <c r="B251" s="439">
        <v>85.31</v>
      </c>
      <c r="I251" s="370"/>
      <c r="J251" s="370"/>
    </row>
    <row r="252" spans="1:10" ht="42.75">
      <c r="A252" s="170" t="s">
        <v>673</v>
      </c>
      <c r="B252" s="439">
        <v>653.69000000000005</v>
      </c>
    </row>
    <row r="253" spans="1:10" ht="28.5">
      <c r="A253" s="170" t="s">
        <v>674</v>
      </c>
      <c r="B253" s="489">
        <v>1.5972222222222224E-2</v>
      </c>
    </row>
    <row r="254" spans="1:10">
      <c r="A254" s="487"/>
      <c r="B254" s="490"/>
    </row>
    <row r="255" spans="1:10">
      <c r="A255" s="718" t="s">
        <v>675</v>
      </c>
      <c r="B255" s="719"/>
      <c r="C255" s="720"/>
      <c r="D255" s="166"/>
      <c r="E255" s="721" t="s">
        <v>430</v>
      </c>
      <c r="F255" s="721"/>
      <c r="G255" s="721"/>
      <c r="H255" s="722"/>
      <c r="I255" s="723" t="s">
        <v>429</v>
      </c>
      <c r="J255" s="724"/>
    </row>
    <row r="256" spans="1:10" ht="42.75">
      <c r="A256" s="168" t="s">
        <v>426</v>
      </c>
      <c r="B256" s="167" t="s">
        <v>557</v>
      </c>
      <c r="C256" s="168" t="s">
        <v>425</v>
      </c>
      <c r="D256" s="169" t="s">
        <v>556</v>
      </c>
      <c r="E256" s="169" t="s">
        <v>537</v>
      </c>
      <c r="F256" s="169" t="s">
        <v>512</v>
      </c>
      <c r="G256" s="169" t="s">
        <v>513</v>
      </c>
      <c r="H256" s="169" t="s">
        <v>514</v>
      </c>
      <c r="I256" s="169" t="s">
        <v>515</v>
      </c>
      <c r="J256" s="169" t="s">
        <v>516</v>
      </c>
    </row>
    <row r="257" spans="1:10">
      <c r="A257" s="742" t="s">
        <v>984</v>
      </c>
      <c r="B257" s="746" t="s">
        <v>1250</v>
      </c>
      <c r="C257" s="748" t="s">
        <v>581</v>
      </c>
      <c r="D257" s="473" t="s">
        <v>579</v>
      </c>
      <c r="E257" s="474">
        <v>31.76</v>
      </c>
      <c r="F257" s="474">
        <v>2949</v>
      </c>
      <c r="G257" s="474">
        <v>1474.5</v>
      </c>
      <c r="H257" s="475">
        <v>2917.24</v>
      </c>
      <c r="I257" s="750">
        <v>4.5199999999999996</v>
      </c>
      <c r="J257" s="750">
        <v>231.6</v>
      </c>
    </row>
    <row r="258" spans="1:10">
      <c r="A258" s="743"/>
      <c r="B258" s="747"/>
      <c r="C258" s="749"/>
      <c r="D258" s="470" t="s">
        <v>582</v>
      </c>
      <c r="E258" s="471">
        <v>38868.36</v>
      </c>
      <c r="F258" s="471">
        <v>2949</v>
      </c>
      <c r="G258" s="471">
        <v>1474.5</v>
      </c>
      <c r="H258" s="472">
        <v>0</v>
      </c>
      <c r="I258" s="751"/>
      <c r="J258" s="751"/>
    </row>
    <row r="259" spans="1:10">
      <c r="A259" s="485" t="s">
        <v>1168</v>
      </c>
      <c r="B259" s="476" t="s">
        <v>1251</v>
      </c>
      <c r="C259" s="477"/>
      <c r="D259" s="478" t="s">
        <v>590</v>
      </c>
      <c r="E259" s="479">
        <v>43571.67</v>
      </c>
      <c r="F259" s="479">
        <v>251</v>
      </c>
      <c r="G259" s="479">
        <v>125.5</v>
      </c>
      <c r="H259" s="480">
        <v>0</v>
      </c>
      <c r="I259" s="481">
        <v>0.24</v>
      </c>
      <c r="J259" s="481">
        <v>19.86</v>
      </c>
    </row>
    <row r="260" spans="1:10">
      <c r="A260" s="190"/>
      <c r="B260" s="191"/>
      <c r="C260" s="191"/>
      <c r="D260" s="192"/>
      <c r="E260" s="193"/>
      <c r="F260" s="194"/>
      <c r="G260" s="194"/>
      <c r="H260" s="195"/>
      <c r="I260" s="438"/>
      <c r="J260" s="438"/>
    </row>
    <row r="261" spans="1:10">
      <c r="I261" s="370"/>
      <c r="J261" s="370"/>
    </row>
    <row r="262" spans="1:10">
      <c r="A262" s="740" t="s">
        <v>676</v>
      </c>
      <c r="B262" s="741"/>
      <c r="I262" s="370"/>
      <c r="J262" s="370"/>
    </row>
    <row r="263" spans="1:10" ht="28.5">
      <c r="A263" s="170" t="s">
        <v>677</v>
      </c>
      <c r="B263" s="439">
        <v>85.31</v>
      </c>
      <c r="I263" s="370"/>
      <c r="J263" s="370"/>
    </row>
    <row r="264" spans="1:10" ht="42.75">
      <c r="A264" s="170" t="s">
        <v>678</v>
      </c>
      <c r="B264" s="439">
        <v>85.31</v>
      </c>
      <c r="I264" s="370"/>
      <c r="J264" s="370"/>
    </row>
    <row r="265" spans="1:10" ht="42.75">
      <c r="A265" s="170" t="s">
        <v>679</v>
      </c>
      <c r="B265" s="439">
        <v>686.28</v>
      </c>
    </row>
    <row r="266" spans="1:10" ht="28.5">
      <c r="A266" s="170" t="s">
        <v>680</v>
      </c>
      <c r="B266" s="489">
        <v>0.41666666666666669</v>
      </c>
    </row>
    <row r="267" spans="1:10">
      <c r="A267" s="487"/>
      <c r="B267" s="490"/>
    </row>
    <row r="268" spans="1:10">
      <c r="A268" s="718" t="s">
        <v>681</v>
      </c>
      <c r="B268" s="719"/>
      <c r="C268" s="720"/>
      <c r="D268" s="166"/>
      <c r="E268" s="721" t="s">
        <v>430</v>
      </c>
      <c r="F268" s="721"/>
      <c r="G268" s="721"/>
      <c r="H268" s="722"/>
      <c r="I268" s="723" t="s">
        <v>429</v>
      </c>
      <c r="J268" s="724"/>
    </row>
    <row r="269" spans="1:10" ht="42.75">
      <c r="A269" s="168" t="s">
        <v>426</v>
      </c>
      <c r="B269" s="167" t="s">
        <v>557</v>
      </c>
      <c r="C269" s="168" t="s">
        <v>425</v>
      </c>
      <c r="D269" s="169" t="s">
        <v>556</v>
      </c>
      <c r="E269" s="169" t="s">
        <v>537</v>
      </c>
      <c r="F269" s="169" t="s">
        <v>512</v>
      </c>
      <c r="G269" s="169" t="s">
        <v>513</v>
      </c>
      <c r="H269" s="169" t="s">
        <v>514</v>
      </c>
      <c r="I269" s="169" t="s">
        <v>515</v>
      </c>
      <c r="J269" s="169" t="s">
        <v>516</v>
      </c>
    </row>
    <row r="270" spans="1:10">
      <c r="A270" s="161" t="s">
        <v>1167</v>
      </c>
      <c r="B270" s="387" t="s">
        <v>1252</v>
      </c>
      <c r="C270" s="441"/>
      <c r="D270" s="470" t="s">
        <v>590</v>
      </c>
      <c r="E270" s="471">
        <v>43446.17</v>
      </c>
      <c r="F270" s="471">
        <v>300</v>
      </c>
      <c r="G270" s="471">
        <v>150</v>
      </c>
      <c r="H270" s="472">
        <v>0</v>
      </c>
      <c r="I270" s="437">
        <v>0.14000000000000001</v>
      </c>
      <c r="J270" s="437">
        <v>20.07</v>
      </c>
    </row>
    <row r="271" spans="1:10">
      <c r="A271" s="190"/>
      <c r="B271" s="191"/>
      <c r="C271" s="191"/>
      <c r="D271" s="192"/>
      <c r="E271" s="193"/>
      <c r="F271" s="194"/>
      <c r="G271" s="194"/>
      <c r="H271" s="195"/>
      <c r="I271" s="438"/>
      <c r="J271" s="438"/>
    </row>
    <row r="272" spans="1:10">
      <c r="I272" s="370"/>
      <c r="J272" s="370"/>
    </row>
    <row r="273" spans="1:10">
      <c r="A273" s="740" t="s">
        <v>682</v>
      </c>
      <c r="B273" s="741"/>
      <c r="I273" s="370"/>
      <c r="J273" s="370"/>
    </row>
    <row r="274" spans="1:10" ht="28.5">
      <c r="A274" s="170" t="s">
        <v>683</v>
      </c>
      <c r="B274" s="439">
        <v>52.72</v>
      </c>
      <c r="I274" s="370"/>
      <c r="J274" s="370"/>
    </row>
    <row r="275" spans="1:10" ht="42.75">
      <c r="A275" s="170" t="s">
        <v>684</v>
      </c>
      <c r="B275" s="439">
        <v>52.72</v>
      </c>
      <c r="I275" s="370"/>
      <c r="J275" s="370"/>
    </row>
    <row r="276" spans="1:10" ht="42.75">
      <c r="A276" s="170" t="s">
        <v>685</v>
      </c>
      <c r="B276" s="439">
        <v>686.28</v>
      </c>
    </row>
    <row r="277" spans="1:10" ht="28.5">
      <c r="A277" s="170" t="s">
        <v>686</v>
      </c>
      <c r="B277" s="489">
        <v>3.888888888888889E-2</v>
      </c>
    </row>
    <row r="278" spans="1:10">
      <c r="A278" s="487"/>
      <c r="B278" s="490"/>
    </row>
    <row r="279" spans="1:10">
      <c r="A279" s="718" t="s">
        <v>687</v>
      </c>
      <c r="B279" s="719"/>
      <c r="C279" s="720"/>
      <c r="D279" s="166"/>
      <c r="E279" s="721" t="s">
        <v>430</v>
      </c>
      <c r="F279" s="721"/>
      <c r="G279" s="721"/>
      <c r="H279" s="722"/>
      <c r="I279" s="723" t="s">
        <v>429</v>
      </c>
      <c r="J279" s="724"/>
    </row>
    <row r="280" spans="1:10" ht="42.75">
      <c r="A280" s="168" t="s">
        <v>426</v>
      </c>
      <c r="B280" s="167" t="s">
        <v>557</v>
      </c>
      <c r="C280" s="168" t="s">
        <v>425</v>
      </c>
      <c r="D280" s="169" t="s">
        <v>556</v>
      </c>
      <c r="E280" s="169" t="s">
        <v>537</v>
      </c>
      <c r="F280" s="169" t="s">
        <v>512</v>
      </c>
      <c r="G280" s="169" t="s">
        <v>513</v>
      </c>
      <c r="H280" s="169" t="s">
        <v>514</v>
      </c>
      <c r="I280" s="169" t="s">
        <v>515</v>
      </c>
      <c r="J280" s="169" t="s">
        <v>516</v>
      </c>
    </row>
    <row r="281" spans="1:10">
      <c r="A281" s="742" t="s">
        <v>986</v>
      </c>
      <c r="B281" s="746" t="s">
        <v>1253</v>
      </c>
      <c r="C281" s="748" t="s">
        <v>581</v>
      </c>
      <c r="D281" s="470" t="s">
        <v>590</v>
      </c>
      <c r="E281" s="471">
        <v>43296.17</v>
      </c>
      <c r="F281" s="471">
        <v>1781</v>
      </c>
      <c r="G281" s="471">
        <v>890.5</v>
      </c>
      <c r="H281" s="472">
        <v>0</v>
      </c>
      <c r="I281" s="750">
        <v>0.28000000000000003</v>
      </c>
      <c r="J281" s="750">
        <v>34.22</v>
      </c>
    </row>
    <row r="282" spans="1:10">
      <c r="A282" s="743"/>
      <c r="B282" s="747"/>
      <c r="C282" s="749"/>
      <c r="D282" s="473" t="s">
        <v>579</v>
      </c>
      <c r="E282" s="474">
        <v>32.950000000000003</v>
      </c>
      <c r="F282" s="474">
        <v>1781</v>
      </c>
      <c r="G282" s="474">
        <v>890.5</v>
      </c>
      <c r="H282" s="475">
        <v>1748.05</v>
      </c>
      <c r="I282" s="751"/>
      <c r="J282" s="751"/>
    </row>
    <row r="283" spans="1:10">
      <c r="A283" s="190"/>
      <c r="B283" s="191"/>
      <c r="C283" s="191"/>
      <c r="D283" s="192"/>
      <c r="E283" s="193"/>
      <c r="F283" s="194"/>
      <c r="G283" s="194"/>
      <c r="H283" s="195"/>
      <c r="I283" s="438"/>
      <c r="J283" s="438"/>
    </row>
    <row r="284" spans="1:10">
      <c r="I284" s="370"/>
      <c r="J284" s="370"/>
    </row>
    <row r="285" spans="1:10">
      <c r="A285" s="740" t="s">
        <v>688</v>
      </c>
      <c r="B285" s="741"/>
      <c r="I285" s="370"/>
      <c r="J285" s="370"/>
    </row>
    <row r="286" spans="1:10" ht="28.5">
      <c r="A286" s="170" t="s">
        <v>689</v>
      </c>
      <c r="B286" s="439">
        <v>52.72</v>
      </c>
      <c r="I286" s="370"/>
      <c r="J286" s="370"/>
    </row>
    <row r="287" spans="1:10" ht="42.75">
      <c r="A287" s="170" t="s">
        <v>690</v>
      </c>
      <c r="B287" s="439">
        <v>52.72</v>
      </c>
      <c r="I287" s="370"/>
      <c r="J287" s="370"/>
    </row>
    <row r="288" spans="1:10" ht="42.75">
      <c r="A288" s="170" t="s">
        <v>691</v>
      </c>
      <c r="B288" s="439">
        <v>694.81</v>
      </c>
    </row>
    <row r="289" spans="1:10" ht="28.5">
      <c r="A289" s="170" t="s">
        <v>692</v>
      </c>
      <c r="B289" s="489">
        <v>0.15833333333333333</v>
      </c>
    </row>
    <row r="290" spans="1:10">
      <c r="A290" s="487"/>
      <c r="B290" s="490"/>
    </row>
    <row r="291" spans="1:10">
      <c r="A291" s="718" t="s">
        <v>693</v>
      </c>
      <c r="B291" s="719"/>
      <c r="C291" s="720"/>
      <c r="D291" s="166"/>
      <c r="E291" s="721" t="s">
        <v>430</v>
      </c>
      <c r="F291" s="721"/>
      <c r="G291" s="721"/>
      <c r="H291" s="722"/>
      <c r="I291" s="723" t="s">
        <v>429</v>
      </c>
      <c r="J291" s="724"/>
    </row>
    <row r="292" spans="1:10" ht="42.75">
      <c r="A292" s="168" t="s">
        <v>426</v>
      </c>
      <c r="B292" s="167" t="s">
        <v>557</v>
      </c>
      <c r="C292" s="168" t="s">
        <v>425</v>
      </c>
      <c r="D292" s="169" t="s">
        <v>556</v>
      </c>
      <c r="E292" s="169" t="s">
        <v>537</v>
      </c>
      <c r="F292" s="169" t="s">
        <v>512</v>
      </c>
      <c r="G292" s="169" t="s">
        <v>513</v>
      </c>
      <c r="H292" s="169" t="s">
        <v>514</v>
      </c>
      <c r="I292" s="169" t="s">
        <v>515</v>
      </c>
      <c r="J292" s="169" t="s">
        <v>516</v>
      </c>
    </row>
    <row r="293" spans="1:10">
      <c r="A293" s="742" t="s">
        <v>986</v>
      </c>
      <c r="B293" s="746" t="s">
        <v>1254</v>
      </c>
      <c r="C293" s="748" t="s">
        <v>581</v>
      </c>
      <c r="D293" s="470" t="s">
        <v>590</v>
      </c>
      <c r="E293" s="471">
        <v>42405.67</v>
      </c>
      <c r="F293" s="471">
        <v>1801</v>
      </c>
      <c r="G293" s="471">
        <v>900.5</v>
      </c>
      <c r="H293" s="472">
        <v>0</v>
      </c>
      <c r="I293" s="750">
        <v>0.14000000000000001</v>
      </c>
      <c r="J293" s="750">
        <v>36.65</v>
      </c>
    </row>
    <row r="294" spans="1:10">
      <c r="A294" s="743"/>
      <c r="B294" s="747"/>
      <c r="C294" s="749"/>
      <c r="D294" s="473" t="s">
        <v>579</v>
      </c>
      <c r="E294" s="474">
        <v>-857.55</v>
      </c>
      <c r="F294" s="474">
        <v>1801</v>
      </c>
      <c r="G294" s="474">
        <v>900.5</v>
      </c>
      <c r="H294" s="475">
        <v>2658.55</v>
      </c>
      <c r="I294" s="751"/>
      <c r="J294" s="751"/>
    </row>
    <row r="295" spans="1:10">
      <c r="A295" s="190"/>
      <c r="B295" s="191"/>
      <c r="C295" s="191"/>
      <c r="D295" s="192"/>
      <c r="E295" s="193"/>
      <c r="F295" s="194"/>
      <c r="G295" s="194"/>
      <c r="H295" s="195"/>
      <c r="I295" s="438"/>
      <c r="J295" s="438"/>
    </row>
    <row r="296" spans="1:10">
      <c r="I296" s="370"/>
      <c r="J296" s="370"/>
    </row>
    <row r="297" spans="1:10">
      <c r="A297" s="740" t="s">
        <v>694</v>
      </c>
      <c r="B297" s="741"/>
      <c r="I297" s="370"/>
      <c r="J297" s="370"/>
    </row>
    <row r="298" spans="1:10" ht="28.5">
      <c r="A298" s="170" t="s">
        <v>695</v>
      </c>
      <c r="B298" s="439">
        <v>44.19</v>
      </c>
      <c r="I298" s="370"/>
      <c r="J298" s="370"/>
    </row>
    <row r="299" spans="1:10" ht="42.75">
      <c r="A299" s="170" t="s">
        <v>696</v>
      </c>
      <c r="B299" s="439">
        <v>44.19</v>
      </c>
      <c r="I299" s="370"/>
      <c r="J299" s="370"/>
    </row>
    <row r="300" spans="1:10" ht="42.75">
      <c r="A300" s="170" t="s">
        <v>697</v>
      </c>
      <c r="B300" s="439">
        <v>694.81</v>
      </c>
    </row>
    <row r="301" spans="1:10" ht="28.5">
      <c r="A301" s="170" t="s">
        <v>698</v>
      </c>
      <c r="B301" s="489">
        <v>0.19375000000000001</v>
      </c>
    </row>
    <row r="302" spans="1:10">
      <c r="A302" s="487"/>
      <c r="B302" s="490"/>
    </row>
    <row r="303" spans="1:10">
      <c r="A303" s="718" t="s">
        <v>699</v>
      </c>
      <c r="B303" s="719"/>
      <c r="C303" s="720"/>
      <c r="D303" s="166"/>
      <c r="E303" s="721" t="s">
        <v>430</v>
      </c>
      <c r="F303" s="721"/>
      <c r="G303" s="721"/>
      <c r="H303" s="722"/>
      <c r="I303" s="723" t="s">
        <v>429</v>
      </c>
      <c r="J303" s="724"/>
    </row>
    <row r="304" spans="1:10" ht="42.75">
      <c r="A304" s="168" t="s">
        <v>426</v>
      </c>
      <c r="B304" s="167" t="s">
        <v>557</v>
      </c>
      <c r="C304" s="168" t="s">
        <v>425</v>
      </c>
      <c r="D304" s="169" t="s">
        <v>556</v>
      </c>
      <c r="E304" s="169" t="s">
        <v>537</v>
      </c>
      <c r="F304" s="169" t="s">
        <v>512</v>
      </c>
      <c r="G304" s="169" t="s">
        <v>513</v>
      </c>
      <c r="H304" s="169" t="s">
        <v>514</v>
      </c>
      <c r="I304" s="169" t="s">
        <v>515</v>
      </c>
      <c r="J304" s="169" t="s">
        <v>516</v>
      </c>
    </row>
    <row r="305" spans="1:10">
      <c r="A305" s="161" t="s">
        <v>1172</v>
      </c>
      <c r="B305" s="387" t="s">
        <v>1255</v>
      </c>
      <c r="C305" s="441"/>
      <c r="D305" s="470" t="s">
        <v>590</v>
      </c>
      <c r="E305" s="471">
        <v>41505.17</v>
      </c>
      <c r="F305" s="471">
        <v>1896</v>
      </c>
      <c r="G305" s="471">
        <v>948</v>
      </c>
      <c r="H305" s="472">
        <v>0</v>
      </c>
      <c r="I305" s="437">
        <v>0.38</v>
      </c>
      <c r="J305" s="437">
        <v>57.99</v>
      </c>
    </row>
    <row r="306" spans="1:10">
      <c r="A306" s="190"/>
      <c r="B306" s="191"/>
      <c r="C306" s="191"/>
      <c r="D306" s="192"/>
      <c r="E306" s="193"/>
      <c r="F306" s="194"/>
      <c r="G306" s="194"/>
      <c r="H306" s="195"/>
      <c r="I306" s="438"/>
      <c r="J306" s="438"/>
    </row>
    <row r="307" spans="1:10">
      <c r="I307" s="370"/>
      <c r="J307" s="370"/>
    </row>
    <row r="308" spans="1:10">
      <c r="A308" s="740" t="s">
        <v>700</v>
      </c>
      <c r="B308" s="741"/>
      <c r="I308" s="370"/>
      <c r="J308" s="370"/>
    </row>
    <row r="309" spans="1:10" ht="28.5">
      <c r="A309" s="170" t="s">
        <v>701</v>
      </c>
      <c r="B309" s="439">
        <v>44.19</v>
      </c>
      <c r="I309" s="370"/>
      <c r="J309" s="370"/>
    </row>
    <row r="310" spans="1:10" ht="42.75">
      <c r="A310" s="170" t="s">
        <v>702</v>
      </c>
      <c r="B310" s="439">
        <v>44.19</v>
      </c>
      <c r="I310" s="370"/>
      <c r="J310" s="370"/>
    </row>
    <row r="311" spans="1:10" ht="42.75">
      <c r="A311" s="170" t="s">
        <v>703</v>
      </c>
      <c r="B311" s="439">
        <v>738.56</v>
      </c>
    </row>
    <row r="312" spans="1:10" ht="28.5">
      <c r="A312" s="170" t="s">
        <v>704</v>
      </c>
      <c r="B312" s="489">
        <v>0.11527777777777777</v>
      </c>
    </row>
    <row r="313" spans="1:10">
      <c r="A313" s="487"/>
      <c r="B313" s="490"/>
    </row>
    <row r="314" spans="1:10">
      <c r="A314" s="487"/>
      <c r="B314" s="490"/>
    </row>
  </sheetData>
  <mergeCells count="195">
    <mergeCell ref="A303:C303"/>
    <mergeCell ref="E303:H303"/>
    <mergeCell ref="I303:J303"/>
    <mergeCell ref="A308:B308"/>
    <mergeCell ref="A291:C291"/>
    <mergeCell ref="E291:H291"/>
    <mergeCell ref="I291:J291"/>
    <mergeCell ref="A297:B297"/>
    <mergeCell ref="B293:B294"/>
    <mergeCell ref="C293:C294"/>
    <mergeCell ref="I293:I294"/>
    <mergeCell ref="J293:J294"/>
    <mergeCell ref="A293:A294"/>
    <mergeCell ref="A285:B285"/>
    <mergeCell ref="B281:B282"/>
    <mergeCell ref="C281:C282"/>
    <mergeCell ref="I281:I282"/>
    <mergeCell ref="J281:J282"/>
    <mergeCell ref="A281:A282"/>
    <mergeCell ref="A268:C268"/>
    <mergeCell ref="E268:H268"/>
    <mergeCell ref="I268:J268"/>
    <mergeCell ref="A273:B273"/>
    <mergeCell ref="A279:C279"/>
    <mergeCell ref="E279:H279"/>
    <mergeCell ref="I279:J279"/>
    <mergeCell ref="A255:C255"/>
    <mergeCell ref="E255:H255"/>
    <mergeCell ref="I255:J255"/>
    <mergeCell ref="A262:B262"/>
    <mergeCell ref="B257:B258"/>
    <mergeCell ref="C257:C258"/>
    <mergeCell ref="I257:I258"/>
    <mergeCell ref="J257:J258"/>
    <mergeCell ref="A257:A258"/>
    <mergeCell ref="A236:B236"/>
    <mergeCell ref="A242:C242"/>
    <mergeCell ref="E242:H242"/>
    <mergeCell ref="I242:J242"/>
    <mergeCell ref="A249:B249"/>
    <mergeCell ref="B245:B246"/>
    <mergeCell ref="C245:C246"/>
    <mergeCell ref="I245:I246"/>
    <mergeCell ref="J245:J246"/>
    <mergeCell ref="A245:A246"/>
    <mergeCell ref="A217:C217"/>
    <mergeCell ref="E217:H217"/>
    <mergeCell ref="I217:J217"/>
    <mergeCell ref="A224:B224"/>
    <mergeCell ref="A230:C230"/>
    <mergeCell ref="E230:H230"/>
    <mergeCell ref="I230:J230"/>
    <mergeCell ref="A203:C203"/>
    <mergeCell ref="E203:H203"/>
    <mergeCell ref="I203:J203"/>
    <mergeCell ref="A211:B211"/>
    <mergeCell ref="B205:B206"/>
    <mergeCell ref="C205:C206"/>
    <mergeCell ref="I205:I206"/>
    <mergeCell ref="J205:J206"/>
    <mergeCell ref="A205:A206"/>
    <mergeCell ref="A184:B184"/>
    <mergeCell ref="A180:A181"/>
    <mergeCell ref="A190:C190"/>
    <mergeCell ref="E190:H190"/>
    <mergeCell ref="I190:J190"/>
    <mergeCell ref="A197:B197"/>
    <mergeCell ref="A163:C163"/>
    <mergeCell ref="E163:H163"/>
    <mergeCell ref="I163:J163"/>
    <mergeCell ref="A171:B171"/>
    <mergeCell ref="A177:C177"/>
    <mergeCell ref="E177:H177"/>
    <mergeCell ref="I177:J177"/>
    <mergeCell ref="A148:C148"/>
    <mergeCell ref="E148:H148"/>
    <mergeCell ref="I148:J148"/>
    <mergeCell ref="A157:B157"/>
    <mergeCell ref="B151:B152"/>
    <mergeCell ref="C151:C152"/>
    <mergeCell ref="I151:I152"/>
    <mergeCell ref="J151:J152"/>
    <mergeCell ref="A151:A152"/>
    <mergeCell ref="A110:B110"/>
    <mergeCell ref="A120:A121"/>
    <mergeCell ref="A132:C132"/>
    <mergeCell ref="E132:H132"/>
    <mergeCell ref="I132:J132"/>
    <mergeCell ref="A142:B142"/>
    <mergeCell ref="B136:B137"/>
    <mergeCell ref="C136:C137"/>
    <mergeCell ref="I136:I137"/>
    <mergeCell ref="J136:J137"/>
    <mergeCell ref="A136:A137"/>
    <mergeCell ref="A116:C116"/>
    <mergeCell ref="E116:H116"/>
    <mergeCell ref="I116:J116"/>
    <mergeCell ref="A126:B126"/>
    <mergeCell ref="A118:A119"/>
    <mergeCell ref="B120:B121"/>
    <mergeCell ref="C120:C121"/>
    <mergeCell ref="I120:I121"/>
    <mergeCell ref="J120:J121"/>
    <mergeCell ref="B97:B102"/>
    <mergeCell ref="C97:C102"/>
    <mergeCell ref="I97:I102"/>
    <mergeCell ref="J97:J102"/>
    <mergeCell ref="A97:A102"/>
    <mergeCell ref="B103:B104"/>
    <mergeCell ref="C103:C104"/>
    <mergeCell ref="I103:I104"/>
    <mergeCell ref="J103:J104"/>
    <mergeCell ref="A103:A104"/>
    <mergeCell ref="J78:J79"/>
    <mergeCell ref="A78:A79"/>
    <mergeCell ref="A81:A82"/>
    <mergeCell ref="A93:C93"/>
    <mergeCell ref="E93:H93"/>
    <mergeCell ref="I93:J93"/>
    <mergeCell ref="A87:B87"/>
    <mergeCell ref="A73:A74"/>
    <mergeCell ref="B75:B77"/>
    <mergeCell ref="C75:C77"/>
    <mergeCell ref="I75:I77"/>
    <mergeCell ref="J75:J77"/>
    <mergeCell ref="A75:A77"/>
    <mergeCell ref="B78:B79"/>
    <mergeCell ref="C78:C79"/>
    <mergeCell ref="I78:I79"/>
    <mergeCell ref="B60:B61"/>
    <mergeCell ref="C60:C61"/>
    <mergeCell ref="I60:I61"/>
    <mergeCell ref="J60:J61"/>
    <mergeCell ref="A60:A61"/>
    <mergeCell ref="A70:C70"/>
    <mergeCell ref="E70:H70"/>
    <mergeCell ref="I70:J70"/>
    <mergeCell ref="J51:J53"/>
    <mergeCell ref="A51:A53"/>
    <mergeCell ref="B54:B55"/>
    <mergeCell ref="C54:C55"/>
    <mergeCell ref="I54:I55"/>
    <mergeCell ref="J54:J55"/>
    <mergeCell ref="A54:A55"/>
    <mergeCell ref="A64:B64"/>
    <mergeCell ref="B47:B48"/>
    <mergeCell ref="C47:C48"/>
    <mergeCell ref="I47:I48"/>
    <mergeCell ref="J47:J48"/>
    <mergeCell ref="A46:A48"/>
    <mergeCell ref="A49:A50"/>
    <mergeCell ref="B51:B53"/>
    <mergeCell ref="C51:C53"/>
    <mergeCell ref="I51:I53"/>
    <mergeCell ref="A44:C44"/>
    <mergeCell ref="E44:H44"/>
    <mergeCell ref="I44:J44"/>
    <mergeCell ref="J25:J26"/>
    <mergeCell ref="A25:A26"/>
    <mergeCell ref="B27:B28"/>
    <mergeCell ref="C27:C28"/>
    <mergeCell ref="I27:I28"/>
    <mergeCell ref="J27:J28"/>
    <mergeCell ref="A27:A28"/>
    <mergeCell ref="J17:J21"/>
    <mergeCell ref="A17:A21"/>
    <mergeCell ref="B23:B24"/>
    <mergeCell ref="C23:C24"/>
    <mergeCell ref="I23:I24"/>
    <mergeCell ref="J23:J24"/>
    <mergeCell ref="A23:A24"/>
    <mergeCell ref="A38:B38"/>
    <mergeCell ref="A12:A13"/>
    <mergeCell ref="A14:A15"/>
    <mergeCell ref="B17:B21"/>
    <mergeCell ref="C17:C21"/>
    <mergeCell ref="I17:I21"/>
    <mergeCell ref="B25:B26"/>
    <mergeCell ref="C25:C26"/>
    <mergeCell ref="I25:I26"/>
    <mergeCell ref="A31:A32"/>
    <mergeCell ref="B34:B35"/>
    <mergeCell ref="C34:C35"/>
    <mergeCell ref="I34:I35"/>
    <mergeCell ref="J34:J35"/>
    <mergeCell ref="A34:A35"/>
    <mergeCell ref="A10:C10"/>
    <mergeCell ref="E10:H10"/>
    <mergeCell ref="I10:J10"/>
    <mergeCell ref="A1:F1"/>
    <mergeCell ref="A2:F2"/>
    <mergeCell ref="A3:F3"/>
    <mergeCell ref="A5:F5"/>
    <mergeCell ref="A6:E6"/>
    <mergeCell ref="A7:E7"/>
  </mergeCells>
  <hyperlinks>
    <hyperlink ref="A3:F3" r:id="rId1" display="Learn more about initial replication batching for Hyper-V to Azure" xr:uid="{00000000-0004-0000-0A00-000000000000}"/>
  </hyperlinks>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M314"/>
  <sheetViews>
    <sheetView zoomScale="85" zoomScaleNormal="85" workbookViewId="0">
      <selection activeCell="A2" sqref="A2:F2"/>
    </sheetView>
  </sheetViews>
  <sheetFormatPr defaultColWidth="9" defaultRowHeight="14.25"/>
  <cols>
    <col min="1" max="2" width="29.73046875" style="162" customWidth="1"/>
    <col min="3" max="3" width="36.265625" style="162" customWidth="1"/>
    <col min="4" max="5" width="30.59765625" style="162" customWidth="1"/>
    <col min="6" max="6" width="27.3984375" style="162" customWidth="1"/>
    <col min="7" max="7" width="24.59765625" style="162" customWidth="1"/>
    <col min="8" max="8" width="38" style="162" customWidth="1"/>
    <col min="9" max="9" width="27.86328125" style="162" customWidth="1"/>
    <col min="10" max="10" width="27.265625" style="162" customWidth="1"/>
    <col min="11" max="16384" width="9" style="162"/>
  </cols>
  <sheetData>
    <row r="1" spans="1:13" ht="51" customHeight="1">
      <c r="A1" s="725" t="s">
        <v>563</v>
      </c>
      <c r="B1" s="725"/>
      <c r="C1" s="725"/>
      <c r="D1" s="725"/>
      <c r="E1" s="725"/>
      <c r="F1" s="725"/>
    </row>
    <row r="2" spans="1:13" ht="41.25" customHeight="1">
      <c r="A2" s="707" t="s">
        <v>564</v>
      </c>
      <c r="B2" s="707"/>
      <c r="C2" s="707"/>
      <c r="D2" s="707"/>
      <c r="E2" s="707"/>
      <c r="F2" s="707"/>
      <c r="M2" s="163"/>
    </row>
    <row r="3" spans="1:13" ht="15.75">
      <c r="A3" s="706" t="s">
        <v>527</v>
      </c>
      <c r="B3" s="706"/>
      <c r="C3" s="706"/>
      <c r="D3" s="706"/>
      <c r="E3" s="706"/>
      <c r="F3" s="706"/>
      <c r="M3" s="163"/>
    </row>
    <row r="4" spans="1:13" ht="15.75">
      <c r="A4" s="164"/>
      <c r="B4" s="164"/>
      <c r="C4" s="165"/>
      <c r="D4" s="165"/>
      <c r="E4" s="165"/>
      <c r="F4" s="165"/>
      <c r="G4" s="165"/>
      <c r="H4" s="165"/>
      <c r="I4" s="165"/>
      <c r="J4" s="165"/>
      <c r="K4" s="165"/>
      <c r="L4" s="165"/>
      <c r="M4" s="165"/>
    </row>
    <row r="5" spans="1:13" ht="15.75">
      <c r="A5" s="726" t="s">
        <v>428</v>
      </c>
      <c r="B5" s="726"/>
      <c r="C5" s="726"/>
      <c r="D5" s="726"/>
      <c r="E5" s="726"/>
      <c r="F5" s="726"/>
      <c r="G5" s="165"/>
      <c r="H5" s="165"/>
      <c r="I5" s="165"/>
      <c r="J5" s="165"/>
      <c r="K5" s="165"/>
      <c r="L5" s="165"/>
      <c r="M5" s="165"/>
    </row>
    <row r="6" spans="1:13" ht="15.75">
      <c r="A6" s="727" t="s">
        <v>510</v>
      </c>
      <c r="B6" s="728"/>
      <c r="C6" s="728"/>
      <c r="D6" s="728"/>
      <c r="E6" s="729"/>
      <c r="F6" s="467">
        <v>959</v>
      </c>
      <c r="G6" s="165"/>
      <c r="H6" s="165"/>
      <c r="I6" s="165"/>
      <c r="J6" s="165"/>
      <c r="K6" s="165"/>
      <c r="L6" s="165"/>
      <c r="M6" s="165"/>
    </row>
    <row r="7" spans="1:13" ht="15.75">
      <c r="A7" s="727" t="s">
        <v>439</v>
      </c>
      <c r="B7" s="728"/>
      <c r="C7" s="728"/>
      <c r="D7" s="728"/>
      <c r="E7" s="729"/>
      <c r="F7" s="467">
        <v>19</v>
      </c>
      <c r="G7" s="165"/>
      <c r="H7" s="165"/>
      <c r="I7" s="165"/>
      <c r="J7" s="165"/>
      <c r="K7" s="165"/>
      <c r="L7" s="165"/>
      <c r="M7" s="165"/>
    </row>
    <row r="8" spans="1:13" ht="15.75">
      <c r="A8" s="165"/>
      <c r="B8" s="165"/>
      <c r="C8" s="165"/>
      <c r="D8" s="165"/>
      <c r="E8" s="165"/>
      <c r="F8" s="165"/>
      <c r="G8" s="165"/>
      <c r="H8" s="165"/>
      <c r="I8" s="165"/>
      <c r="J8" s="165"/>
      <c r="K8" s="165"/>
      <c r="L8" s="165"/>
      <c r="M8" s="165"/>
    </row>
    <row r="10" spans="1:13">
      <c r="A10" s="718" t="s">
        <v>576</v>
      </c>
      <c r="B10" s="719"/>
      <c r="C10" s="720"/>
      <c r="D10" s="166"/>
      <c r="E10" s="721" t="s">
        <v>430</v>
      </c>
      <c r="F10" s="721"/>
      <c r="G10" s="721"/>
      <c r="H10" s="722"/>
      <c r="I10" s="723" t="s">
        <v>429</v>
      </c>
      <c r="J10" s="724"/>
    </row>
    <row r="11" spans="1:13" ht="42.75">
      <c r="A11" s="168" t="s">
        <v>426</v>
      </c>
      <c r="B11" s="167" t="s">
        <v>557</v>
      </c>
      <c r="C11" s="168" t="s">
        <v>425</v>
      </c>
      <c r="D11" s="169" t="s">
        <v>556</v>
      </c>
      <c r="E11" s="169" t="s">
        <v>537</v>
      </c>
      <c r="F11" s="169" t="s">
        <v>512</v>
      </c>
      <c r="G11" s="169" t="s">
        <v>513</v>
      </c>
      <c r="H11" s="169" t="s">
        <v>514</v>
      </c>
      <c r="I11" s="169" t="s">
        <v>515</v>
      </c>
      <c r="J11" s="169" t="s">
        <v>516</v>
      </c>
    </row>
    <row r="12" spans="1:13">
      <c r="A12" s="742" t="s">
        <v>975</v>
      </c>
      <c r="B12" s="387" t="s">
        <v>1173</v>
      </c>
      <c r="C12" s="441"/>
      <c r="D12" s="470" t="s">
        <v>578</v>
      </c>
      <c r="E12" s="471">
        <v>922.26</v>
      </c>
      <c r="F12" s="471">
        <v>121</v>
      </c>
      <c r="G12" s="471">
        <v>60.5</v>
      </c>
      <c r="H12" s="472">
        <v>0</v>
      </c>
      <c r="I12" s="437">
        <v>0.3</v>
      </c>
      <c r="J12" s="437">
        <v>16.78</v>
      </c>
    </row>
    <row r="13" spans="1:13">
      <c r="A13" s="743"/>
      <c r="B13" s="387" t="s">
        <v>580</v>
      </c>
      <c r="C13" s="441" t="s">
        <v>581</v>
      </c>
      <c r="D13" s="473" t="s">
        <v>579</v>
      </c>
      <c r="E13" s="474">
        <v>31.69</v>
      </c>
      <c r="F13" s="474">
        <v>4299</v>
      </c>
      <c r="G13" s="474">
        <v>2149.5</v>
      </c>
      <c r="H13" s="475">
        <v>4267.3100000000004</v>
      </c>
      <c r="I13" s="437">
        <v>0.23</v>
      </c>
      <c r="J13" s="437">
        <v>66.14</v>
      </c>
    </row>
    <row r="14" spans="1:13" ht="15" customHeight="1">
      <c r="A14" s="733" t="s">
        <v>1162</v>
      </c>
      <c r="B14" s="476" t="s">
        <v>1174</v>
      </c>
      <c r="C14" s="477"/>
      <c r="D14" s="478" t="s">
        <v>582</v>
      </c>
      <c r="E14" s="479">
        <v>39001.14</v>
      </c>
      <c r="F14" s="479">
        <v>250</v>
      </c>
      <c r="G14" s="479">
        <v>125</v>
      </c>
      <c r="H14" s="480">
        <v>0</v>
      </c>
      <c r="I14" s="481">
        <v>0.03</v>
      </c>
      <c r="J14" s="481">
        <v>4.82</v>
      </c>
    </row>
    <row r="15" spans="1:13">
      <c r="A15" s="735"/>
      <c r="B15" s="476" t="s">
        <v>1175</v>
      </c>
      <c r="C15" s="477"/>
      <c r="D15" s="478" t="s">
        <v>583</v>
      </c>
      <c r="E15" s="479">
        <v>35315.980000000003</v>
      </c>
      <c r="F15" s="479">
        <v>450</v>
      </c>
      <c r="G15" s="479">
        <v>225</v>
      </c>
      <c r="H15" s="480">
        <v>0</v>
      </c>
      <c r="I15" s="481">
        <v>0.03</v>
      </c>
      <c r="J15" s="481">
        <v>13.91</v>
      </c>
    </row>
    <row r="16" spans="1:13">
      <c r="A16" s="161" t="s">
        <v>1163</v>
      </c>
      <c r="B16" s="387" t="s">
        <v>1176</v>
      </c>
      <c r="C16" s="441"/>
      <c r="D16" s="470" t="s">
        <v>584</v>
      </c>
      <c r="E16" s="471">
        <v>32668.83</v>
      </c>
      <c r="F16" s="471">
        <v>1001</v>
      </c>
      <c r="G16" s="471">
        <v>500.5</v>
      </c>
      <c r="H16" s="472">
        <v>0</v>
      </c>
      <c r="I16" s="437">
        <v>0.06</v>
      </c>
      <c r="J16" s="437">
        <v>3.09</v>
      </c>
    </row>
    <row r="17" spans="1:10">
      <c r="A17" s="733" t="s">
        <v>976</v>
      </c>
      <c r="B17" s="736" t="s">
        <v>1177</v>
      </c>
      <c r="C17" s="738" t="s">
        <v>581</v>
      </c>
      <c r="D17" s="482" t="s">
        <v>585</v>
      </c>
      <c r="E17" s="483">
        <v>33306.85</v>
      </c>
      <c r="F17" s="483">
        <v>52742</v>
      </c>
      <c r="G17" s="483">
        <v>26371</v>
      </c>
      <c r="H17" s="484">
        <v>19435.150000000001</v>
      </c>
      <c r="I17" s="730">
        <v>0.47</v>
      </c>
      <c r="J17" s="730">
        <v>12.29</v>
      </c>
    </row>
    <row r="18" spans="1:10">
      <c r="A18" s="734"/>
      <c r="B18" s="744"/>
      <c r="C18" s="745"/>
      <c r="D18" s="482" t="s">
        <v>579</v>
      </c>
      <c r="E18" s="483">
        <v>28.89</v>
      </c>
      <c r="F18" s="483">
        <v>52742</v>
      </c>
      <c r="G18" s="483">
        <v>26371</v>
      </c>
      <c r="H18" s="484">
        <v>52713.11</v>
      </c>
      <c r="I18" s="731"/>
      <c r="J18" s="731"/>
    </row>
    <row r="19" spans="1:10" ht="42.75">
      <c r="A19" s="734"/>
      <c r="B19" s="744"/>
      <c r="C19" s="745"/>
      <c r="D19" s="482" t="s">
        <v>586</v>
      </c>
      <c r="E19" s="483">
        <v>30224.49</v>
      </c>
      <c r="F19" s="483">
        <v>52742</v>
      </c>
      <c r="G19" s="483">
        <v>26371</v>
      </c>
      <c r="H19" s="484">
        <v>22517.51</v>
      </c>
      <c r="I19" s="731"/>
      <c r="J19" s="731"/>
    </row>
    <row r="20" spans="1:10" ht="42.75">
      <c r="A20" s="734"/>
      <c r="B20" s="744"/>
      <c r="C20" s="745"/>
      <c r="D20" s="482" t="s">
        <v>587</v>
      </c>
      <c r="E20" s="483">
        <v>13232.56</v>
      </c>
      <c r="F20" s="483">
        <v>52742</v>
      </c>
      <c r="G20" s="483">
        <v>26371</v>
      </c>
      <c r="H20" s="484">
        <v>39509.440000000002</v>
      </c>
      <c r="I20" s="731"/>
      <c r="J20" s="731"/>
    </row>
    <row r="21" spans="1:10" ht="42.75">
      <c r="A21" s="735"/>
      <c r="B21" s="737"/>
      <c r="C21" s="739"/>
      <c r="D21" s="482" t="s">
        <v>588</v>
      </c>
      <c r="E21" s="483">
        <v>19499.060000000001</v>
      </c>
      <c r="F21" s="483">
        <v>52742</v>
      </c>
      <c r="G21" s="483">
        <v>26371</v>
      </c>
      <c r="H21" s="484">
        <v>33242.94</v>
      </c>
      <c r="I21" s="732"/>
      <c r="J21" s="732"/>
    </row>
    <row r="22" spans="1:10">
      <c r="A22" s="161" t="s">
        <v>1164</v>
      </c>
      <c r="B22" s="387" t="s">
        <v>1178</v>
      </c>
      <c r="C22" s="441"/>
      <c r="D22" s="470" t="s">
        <v>589</v>
      </c>
      <c r="E22" s="471">
        <v>43198.25</v>
      </c>
      <c r="F22" s="471">
        <v>7408</v>
      </c>
      <c r="G22" s="471">
        <v>3704</v>
      </c>
      <c r="H22" s="472">
        <v>0</v>
      </c>
      <c r="I22" s="437">
        <v>0.26</v>
      </c>
      <c r="J22" s="437">
        <v>26.71</v>
      </c>
    </row>
    <row r="23" spans="1:10">
      <c r="A23" s="733" t="s">
        <v>980</v>
      </c>
      <c r="B23" s="736" t="s">
        <v>1179</v>
      </c>
      <c r="C23" s="738" t="s">
        <v>581</v>
      </c>
      <c r="D23" s="478" t="s">
        <v>582</v>
      </c>
      <c r="E23" s="479">
        <v>41217.33</v>
      </c>
      <c r="F23" s="479">
        <v>10557</v>
      </c>
      <c r="G23" s="479">
        <v>5278.5</v>
      </c>
      <c r="H23" s="480">
        <v>0</v>
      </c>
      <c r="I23" s="730">
        <v>0.16</v>
      </c>
      <c r="J23" s="730">
        <v>37.42</v>
      </c>
    </row>
    <row r="24" spans="1:10">
      <c r="A24" s="735"/>
      <c r="B24" s="737"/>
      <c r="C24" s="739"/>
      <c r="D24" s="482" t="s">
        <v>579</v>
      </c>
      <c r="E24" s="483">
        <v>25.66</v>
      </c>
      <c r="F24" s="483">
        <v>10557</v>
      </c>
      <c r="G24" s="483">
        <v>5278.5</v>
      </c>
      <c r="H24" s="484">
        <v>10531.34</v>
      </c>
      <c r="I24" s="732"/>
      <c r="J24" s="732"/>
    </row>
    <row r="25" spans="1:10">
      <c r="A25" s="742" t="s">
        <v>983</v>
      </c>
      <c r="B25" s="746" t="s">
        <v>1180</v>
      </c>
      <c r="C25" s="748" t="s">
        <v>581</v>
      </c>
      <c r="D25" s="470" t="s">
        <v>584</v>
      </c>
      <c r="E25" s="471">
        <v>38061.879999999997</v>
      </c>
      <c r="F25" s="471">
        <v>10865</v>
      </c>
      <c r="G25" s="471">
        <v>5432.5</v>
      </c>
      <c r="H25" s="472">
        <v>0</v>
      </c>
      <c r="I25" s="750">
        <v>0.11</v>
      </c>
      <c r="J25" s="750">
        <v>10.7</v>
      </c>
    </row>
    <row r="26" spans="1:10">
      <c r="A26" s="743"/>
      <c r="B26" s="747"/>
      <c r="C26" s="749"/>
      <c r="D26" s="473" t="s">
        <v>579</v>
      </c>
      <c r="E26" s="474">
        <v>30.35</v>
      </c>
      <c r="F26" s="474">
        <v>10865</v>
      </c>
      <c r="G26" s="474">
        <v>5432.5</v>
      </c>
      <c r="H26" s="475">
        <v>10834.65</v>
      </c>
      <c r="I26" s="751"/>
      <c r="J26" s="751"/>
    </row>
    <row r="27" spans="1:10">
      <c r="A27" s="733" t="s">
        <v>1165</v>
      </c>
      <c r="B27" s="736" t="s">
        <v>1181</v>
      </c>
      <c r="C27" s="738"/>
      <c r="D27" s="478" t="s">
        <v>590</v>
      </c>
      <c r="E27" s="479">
        <v>43214.07</v>
      </c>
      <c r="F27" s="479">
        <v>10857</v>
      </c>
      <c r="G27" s="479">
        <v>5428.5</v>
      </c>
      <c r="H27" s="480">
        <v>0</v>
      </c>
      <c r="I27" s="730">
        <v>0.08</v>
      </c>
      <c r="J27" s="730">
        <v>5.84</v>
      </c>
    </row>
    <row r="28" spans="1:10" ht="28.5">
      <c r="A28" s="735"/>
      <c r="B28" s="737"/>
      <c r="C28" s="739"/>
      <c r="D28" s="478" t="s">
        <v>591</v>
      </c>
      <c r="E28" s="479">
        <v>15126.88</v>
      </c>
      <c r="F28" s="479">
        <v>10857</v>
      </c>
      <c r="G28" s="479">
        <v>5428.5</v>
      </c>
      <c r="H28" s="480">
        <v>0</v>
      </c>
      <c r="I28" s="732"/>
      <c r="J28" s="732"/>
    </row>
    <row r="29" spans="1:10">
      <c r="A29" s="161" t="s">
        <v>1166</v>
      </c>
      <c r="B29" s="387" t="s">
        <v>1182</v>
      </c>
      <c r="C29" s="441"/>
      <c r="D29" s="470" t="s">
        <v>583</v>
      </c>
      <c r="E29" s="471">
        <v>35059.269999999997</v>
      </c>
      <c r="F29" s="471">
        <v>2619</v>
      </c>
      <c r="G29" s="471">
        <v>1309.5</v>
      </c>
      <c r="H29" s="472">
        <v>0</v>
      </c>
      <c r="I29" s="437">
        <v>0.01</v>
      </c>
      <c r="J29" s="437">
        <v>15.92</v>
      </c>
    </row>
    <row r="30" spans="1:10">
      <c r="A30" s="485" t="s">
        <v>1167</v>
      </c>
      <c r="B30" s="476" t="s">
        <v>1183</v>
      </c>
      <c r="C30" s="477"/>
      <c r="D30" s="478" t="s">
        <v>582</v>
      </c>
      <c r="E30" s="479">
        <v>43809.86</v>
      </c>
      <c r="F30" s="479">
        <v>40</v>
      </c>
      <c r="G30" s="479">
        <v>20</v>
      </c>
      <c r="H30" s="480">
        <v>0</v>
      </c>
      <c r="I30" s="481">
        <v>0</v>
      </c>
      <c r="J30" s="481">
        <v>0.17</v>
      </c>
    </row>
    <row r="31" spans="1:10">
      <c r="A31" s="742" t="s">
        <v>1168</v>
      </c>
      <c r="B31" s="387" t="s">
        <v>1184</v>
      </c>
      <c r="C31" s="441"/>
      <c r="D31" s="470" t="s">
        <v>590</v>
      </c>
      <c r="E31" s="471">
        <v>46275.67</v>
      </c>
      <c r="F31" s="471">
        <v>450</v>
      </c>
      <c r="G31" s="471">
        <v>225</v>
      </c>
      <c r="H31" s="472">
        <v>0</v>
      </c>
      <c r="I31" s="437">
        <v>0.05</v>
      </c>
      <c r="J31" s="437">
        <v>2.09</v>
      </c>
    </row>
    <row r="32" spans="1:10">
      <c r="A32" s="743"/>
      <c r="B32" s="387" t="s">
        <v>1185</v>
      </c>
      <c r="C32" s="441"/>
      <c r="D32" s="470" t="s">
        <v>584</v>
      </c>
      <c r="E32" s="471">
        <v>31216.22</v>
      </c>
      <c r="F32" s="471">
        <v>7268</v>
      </c>
      <c r="G32" s="471">
        <v>3634</v>
      </c>
      <c r="H32" s="472">
        <v>0</v>
      </c>
      <c r="I32" s="437">
        <v>0.38</v>
      </c>
      <c r="J32" s="437">
        <v>37.03</v>
      </c>
    </row>
    <row r="33" spans="1:10">
      <c r="A33" s="485" t="s">
        <v>1169</v>
      </c>
      <c r="B33" s="476" t="s">
        <v>1186</v>
      </c>
      <c r="C33" s="477"/>
      <c r="D33" s="478" t="s">
        <v>592</v>
      </c>
      <c r="E33" s="479">
        <v>15241.98</v>
      </c>
      <c r="F33" s="479">
        <v>3322</v>
      </c>
      <c r="G33" s="479">
        <v>1661</v>
      </c>
      <c r="H33" s="480">
        <v>0</v>
      </c>
      <c r="I33" s="481">
        <v>26.28</v>
      </c>
      <c r="J33" s="481">
        <v>309.93</v>
      </c>
    </row>
    <row r="34" spans="1:10">
      <c r="A34" s="742" t="s">
        <v>989</v>
      </c>
      <c r="B34" s="746" t="s">
        <v>1187</v>
      </c>
      <c r="C34" s="748" t="s">
        <v>581</v>
      </c>
      <c r="D34" s="470" t="s">
        <v>590</v>
      </c>
      <c r="E34" s="471">
        <v>37910.879999999997</v>
      </c>
      <c r="F34" s="471">
        <v>200</v>
      </c>
      <c r="G34" s="471">
        <v>100</v>
      </c>
      <c r="H34" s="472">
        <v>0</v>
      </c>
      <c r="I34" s="750">
        <v>0.1</v>
      </c>
      <c r="J34" s="750">
        <v>6.81</v>
      </c>
    </row>
    <row r="35" spans="1:10">
      <c r="A35" s="743"/>
      <c r="B35" s="747"/>
      <c r="C35" s="749"/>
      <c r="D35" s="473" t="s">
        <v>579</v>
      </c>
      <c r="E35" s="474">
        <v>15.8</v>
      </c>
      <c r="F35" s="474">
        <v>200</v>
      </c>
      <c r="G35" s="474">
        <v>100</v>
      </c>
      <c r="H35" s="475">
        <v>184.2</v>
      </c>
      <c r="I35" s="751"/>
      <c r="J35" s="751"/>
    </row>
    <row r="36" spans="1:10">
      <c r="A36" s="190"/>
      <c r="B36" s="191"/>
      <c r="C36" s="191"/>
      <c r="D36" s="192"/>
      <c r="E36" s="193"/>
      <c r="F36" s="194"/>
      <c r="G36" s="194"/>
      <c r="H36" s="195"/>
      <c r="I36" s="438"/>
      <c r="J36" s="438"/>
    </row>
    <row r="37" spans="1:10">
      <c r="I37" s="370"/>
      <c r="J37" s="370"/>
    </row>
    <row r="38" spans="1:10">
      <c r="A38" s="740" t="s">
        <v>577</v>
      </c>
      <c r="B38" s="741"/>
      <c r="I38" s="370"/>
      <c r="J38" s="370"/>
    </row>
    <row r="39" spans="1:10" ht="28.5">
      <c r="A39" s="170" t="s">
        <v>593</v>
      </c>
      <c r="B39" s="439">
        <v>959</v>
      </c>
      <c r="I39" s="370"/>
      <c r="J39" s="370"/>
    </row>
    <row r="40" spans="1:10" ht="42.75">
      <c r="A40" s="170" t="s">
        <v>594</v>
      </c>
      <c r="B40" s="439">
        <v>959</v>
      </c>
      <c r="I40" s="370"/>
      <c r="J40" s="370"/>
    </row>
    <row r="41" spans="1:10" ht="42.75">
      <c r="A41" s="170" t="s">
        <v>595</v>
      </c>
      <c r="B41" s="439">
        <v>316.69</v>
      </c>
    </row>
    <row r="42" spans="1:10" ht="28.5">
      <c r="A42" s="170" t="s">
        <v>596</v>
      </c>
      <c r="B42" s="486">
        <v>1.0520833333333333</v>
      </c>
    </row>
    <row r="43" spans="1:10">
      <c r="A43" s="487"/>
      <c r="B43" s="488"/>
    </row>
    <row r="44" spans="1:10">
      <c r="A44" s="718" t="s">
        <v>597</v>
      </c>
      <c r="B44" s="719"/>
      <c r="C44" s="720"/>
      <c r="D44" s="166"/>
      <c r="E44" s="721" t="s">
        <v>430</v>
      </c>
      <c r="F44" s="721"/>
      <c r="G44" s="721"/>
      <c r="H44" s="722"/>
      <c r="I44" s="723" t="s">
        <v>429</v>
      </c>
      <c r="J44" s="724"/>
    </row>
    <row r="45" spans="1:10" ht="42.75">
      <c r="A45" s="168" t="s">
        <v>426</v>
      </c>
      <c r="B45" s="167" t="s">
        <v>557</v>
      </c>
      <c r="C45" s="168" t="s">
        <v>425</v>
      </c>
      <c r="D45" s="169" t="s">
        <v>556</v>
      </c>
      <c r="E45" s="169" t="s">
        <v>537</v>
      </c>
      <c r="F45" s="169" t="s">
        <v>512</v>
      </c>
      <c r="G45" s="169" t="s">
        <v>513</v>
      </c>
      <c r="H45" s="169" t="s">
        <v>514</v>
      </c>
      <c r="I45" s="169" t="s">
        <v>515</v>
      </c>
      <c r="J45" s="169" t="s">
        <v>516</v>
      </c>
    </row>
    <row r="46" spans="1:10">
      <c r="A46" s="742" t="s">
        <v>975</v>
      </c>
      <c r="B46" s="387" t="s">
        <v>1188</v>
      </c>
      <c r="C46" s="441"/>
      <c r="D46" s="470" t="s">
        <v>582</v>
      </c>
      <c r="E46" s="471">
        <v>38876.14</v>
      </c>
      <c r="F46" s="471">
        <v>392</v>
      </c>
      <c r="G46" s="471">
        <v>196</v>
      </c>
      <c r="H46" s="472">
        <v>0</v>
      </c>
      <c r="I46" s="437">
        <v>0.34</v>
      </c>
      <c r="J46" s="437">
        <v>8.11</v>
      </c>
    </row>
    <row r="47" spans="1:10">
      <c r="A47" s="752"/>
      <c r="B47" s="746" t="s">
        <v>1189</v>
      </c>
      <c r="C47" s="748" t="s">
        <v>581</v>
      </c>
      <c r="D47" s="473" t="s">
        <v>578</v>
      </c>
      <c r="E47" s="474">
        <v>861.76</v>
      </c>
      <c r="F47" s="474">
        <v>1595</v>
      </c>
      <c r="G47" s="474">
        <v>797.5</v>
      </c>
      <c r="H47" s="475">
        <v>733.24</v>
      </c>
      <c r="I47" s="750">
        <v>0.06</v>
      </c>
      <c r="J47" s="750">
        <v>46.34</v>
      </c>
    </row>
    <row r="48" spans="1:10">
      <c r="A48" s="743"/>
      <c r="B48" s="747"/>
      <c r="C48" s="749"/>
      <c r="D48" s="470" t="s">
        <v>590</v>
      </c>
      <c r="E48" s="471">
        <v>23441.93</v>
      </c>
      <c r="F48" s="471">
        <v>1595</v>
      </c>
      <c r="G48" s="471">
        <v>797.5</v>
      </c>
      <c r="H48" s="472">
        <v>0</v>
      </c>
      <c r="I48" s="751"/>
      <c r="J48" s="751"/>
    </row>
    <row r="49" spans="1:10">
      <c r="A49" s="733" t="s">
        <v>1163</v>
      </c>
      <c r="B49" s="476" t="s">
        <v>1190</v>
      </c>
      <c r="C49" s="477"/>
      <c r="D49" s="478" t="s">
        <v>584</v>
      </c>
      <c r="E49" s="479">
        <v>32168.33</v>
      </c>
      <c r="F49" s="479">
        <v>450</v>
      </c>
      <c r="G49" s="479">
        <v>225</v>
      </c>
      <c r="H49" s="480">
        <v>0</v>
      </c>
      <c r="I49" s="481">
        <v>0.02</v>
      </c>
      <c r="J49" s="481">
        <v>6.24</v>
      </c>
    </row>
    <row r="50" spans="1:10">
      <c r="A50" s="735"/>
      <c r="B50" s="476" t="s">
        <v>1191</v>
      </c>
      <c r="C50" s="477"/>
      <c r="D50" s="478" t="s">
        <v>583</v>
      </c>
      <c r="E50" s="479">
        <v>35090.980000000003</v>
      </c>
      <c r="F50" s="479">
        <v>251</v>
      </c>
      <c r="G50" s="479">
        <v>125.5</v>
      </c>
      <c r="H50" s="480">
        <v>0</v>
      </c>
      <c r="I50" s="481">
        <v>0.16</v>
      </c>
      <c r="J50" s="481">
        <v>24.74</v>
      </c>
    </row>
    <row r="51" spans="1:10">
      <c r="A51" s="742" t="s">
        <v>979</v>
      </c>
      <c r="B51" s="746" t="s">
        <v>1192</v>
      </c>
      <c r="C51" s="748" t="s">
        <v>581</v>
      </c>
      <c r="D51" s="473" t="s">
        <v>585</v>
      </c>
      <c r="E51" s="474">
        <v>6935.85</v>
      </c>
      <c r="F51" s="474">
        <v>26273</v>
      </c>
      <c r="G51" s="474">
        <v>13136.5</v>
      </c>
      <c r="H51" s="475">
        <v>19337.150000000001</v>
      </c>
      <c r="I51" s="750">
        <v>0.23</v>
      </c>
      <c r="J51" s="750">
        <v>15.54</v>
      </c>
    </row>
    <row r="52" spans="1:10">
      <c r="A52" s="752"/>
      <c r="B52" s="753"/>
      <c r="C52" s="754"/>
      <c r="D52" s="473" t="s">
        <v>579</v>
      </c>
      <c r="E52" s="474">
        <v>28.29</v>
      </c>
      <c r="F52" s="474">
        <v>26273</v>
      </c>
      <c r="G52" s="474">
        <v>13136.5</v>
      </c>
      <c r="H52" s="475">
        <v>26244.71</v>
      </c>
      <c r="I52" s="755"/>
      <c r="J52" s="755"/>
    </row>
    <row r="53" spans="1:10" ht="42.75">
      <c r="A53" s="743"/>
      <c r="B53" s="747"/>
      <c r="C53" s="749"/>
      <c r="D53" s="473" t="s">
        <v>588</v>
      </c>
      <c r="E53" s="474">
        <v>-6871.94</v>
      </c>
      <c r="F53" s="474">
        <v>26273</v>
      </c>
      <c r="G53" s="474">
        <v>13136.5</v>
      </c>
      <c r="H53" s="475">
        <v>33144.94</v>
      </c>
      <c r="I53" s="751"/>
      <c r="J53" s="751"/>
    </row>
    <row r="54" spans="1:10">
      <c r="A54" s="733" t="s">
        <v>1170</v>
      </c>
      <c r="B54" s="736" t="s">
        <v>1193</v>
      </c>
      <c r="C54" s="738" t="s">
        <v>581</v>
      </c>
      <c r="D54" s="478" t="s">
        <v>589</v>
      </c>
      <c r="E54" s="479">
        <v>36878.18</v>
      </c>
      <c r="F54" s="479">
        <v>10864</v>
      </c>
      <c r="G54" s="479">
        <v>5432</v>
      </c>
      <c r="H54" s="480">
        <v>0</v>
      </c>
      <c r="I54" s="730">
        <v>0.1</v>
      </c>
      <c r="J54" s="730">
        <v>14.05</v>
      </c>
    </row>
    <row r="55" spans="1:10" ht="28.5">
      <c r="A55" s="735"/>
      <c r="B55" s="737"/>
      <c r="C55" s="739"/>
      <c r="D55" s="482" t="s">
        <v>591</v>
      </c>
      <c r="E55" s="483">
        <v>9698.3799999999992</v>
      </c>
      <c r="F55" s="483">
        <v>10864</v>
      </c>
      <c r="G55" s="483">
        <v>5432</v>
      </c>
      <c r="H55" s="484">
        <v>1165.6199999999999</v>
      </c>
      <c r="I55" s="732"/>
      <c r="J55" s="732"/>
    </row>
    <row r="56" spans="1:10">
      <c r="A56" s="161" t="s">
        <v>1171</v>
      </c>
      <c r="B56" s="387" t="s">
        <v>1194</v>
      </c>
      <c r="C56" s="441"/>
      <c r="D56" s="470" t="s">
        <v>582</v>
      </c>
      <c r="E56" s="471">
        <v>43789.86</v>
      </c>
      <c r="F56" s="471">
        <v>177</v>
      </c>
      <c r="G56" s="471">
        <v>88.5</v>
      </c>
      <c r="H56" s="472">
        <v>0</v>
      </c>
      <c r="I56" s="437">
        <v>0.02</v>
      </c>
      <c r="J56" s="437">
        <v>3.44</v>
      </c>
    </row>
    <row r="57" spans="1:10">
      <c r="A57" s="485" t="s">
        <v>1172</v>
      </c>
      <c r="B57" s="476" t="s">
        <v>1195</v>
      </c>
      <c r="C57" s="477"/>
      <c r="D57" s="478" t="s">
        <v>584</v>
      </c>
      <c r="E57" s="479">
        <v>27582.22</v>
      </c>
      <c r="F57" s="479">
        <v>5037</v>
      </c>
      <c r="G57" s="479">
        <v>2518.5</v>
      </c>
      <c r="H57" s="480">
        <v>0</v>
      </c>
      <c r="I57" s="481">
        <v>0.93</v>
      </c>
      <c r="J57" s="481">
        <v>57.15</v>
      </c>
    </row>
    <row r="58" spans="1:10">
      <c r="A58" s="161" t="s">
        <v>987</v>
      </c>
      <c r="B58" s="387" t="s">
        <v>1196</v>
      </c>
      <c r="C58" s="441"/>
      <c r="D58" s="470" t="s">
        <v>583</v>
      </c>
      <c r="E58" s="471">
        <v>33749.769999999997</v>
      </c>
      <c r="F58" s="471">
        <v>900</v>
      </c>
      <c r="G58" s="471">
        <v>450</v>
      </c>
      <c r="H58" s="472">
        <v>0</v>
      </c>
      <c r="I58" s="437">
        <v>0.03</v>
      </c>
      <c r="J58" s="437">
        <v>34.31</v>
      </c>
    </row>
    <row r="59" spans="1:10">
      <c r="A59" s="485" t="s">
        <v>1167</v>
      </c>
      <c r="B59" s="476" t="s">
        <v>1197</v>
      </c>
      <c r="C59" s="477"/>
      <c r="D59" s="478" t="s">
        <v>590</v>
      </c>
      <c r="E59" s="479">
        <v>46050.67</v>
      </c>
      <c r="F59" s="479">
        <v>150</v>
      </c>
      <c r="G59" s="479">
        <v>75</v>
      </c>
      <c r="H59" s="480">
        <v>0</v>
      </c>
      <c r="I59" s="481">
        <v>0.05</v>
      </c>
      <c r="J59" s="481">
        <v>3.38</v>
      </c>
    </row>
    <row r="60" spans="1:10">
      <c r="A60" s="742" t="s">
        <v>1169</v>
      </c>
      <c r="B60" s="746" t="s">
        <v>1198</v>
      </c>
      <c r="C60" s="748"/>
      <c r="D60" s="470" t="s">
        <v>590</v>
      </c>
      <c r="E60" s="471">
        <v>37810.879999999997</v>
      </c>
      <c r="F60" s="471">
        <v>1450</v>
      </c>
      <c r="G60" s="471">
        <v>725</v>
      </c>
      <c r="H60" s="472">
        <v>0</v>
      </c>
      <c r="I60" s="750">
        <v>0.77</v>
      </c>
      <c r="J60" s="750">
        <v>38.85</v>
      </c>
    </row>
    <row r="61" spans="1:10">
      <c r="A61" s="743"/>
      <c r="B61" s="747"/>
      <c r="C61" s="749"/>
      <c r="D61" s="470" t="s">
        <v>583</v>
      </c>
      <c r="E61" s="471">
        <v>46057.9</v>
      </c>
      <c r="F61" s="471">
        <v>1450</v>
      </c>
      <c r="G61" s="471">
        <v>725</v>
      </c>
      <c r="H61" s="472">
        <v>0</v>
      </c>
      <c r="I61" s="751"/>
      <c r="J61" s="751"/>
    </row>
    <row r="62" spans="1:10">
      <c r="A62" s="190"/>
      <c r="B62" s="191"/>
      <c r="C62" s="191"/>
      <c r="D62" s="192"/>
      <c r="E62" s="193"/>
      <c r="F62" s="194"/>
      <c r="G62" s="194"/>
      <c r="H62" s="195"/>
      <c r="I62" s="438"/>
      <c r="J62" s="438"/>
    </row>
    <row r="63" spans="1:10">
      <c r="I63" s="370"/>
      <c r="J63" s="370"/>
    </row>
    <row r="64" spans="1:10">
      <c r="A64" s="740" t="s">
        <v>598</v>
      </c>
      <c r="B64" s="741"/>
      <c r="I64" s="370"/>
      <c r="J64" s="370"/>
    </row>
    <row r="65" spans="1:10" ht="28.5">
      <c r="A65" s="170" t="s">
        <v>599</v>
      </c>
      <c r="B65" s="439">
        <v>642.30999999999995</v>
      </c>
      <c r="I65" s="370"/>
      <c r="J65" s="370"/>
    </row>
    <row r="66" spans="1:10" ht="42.75">
      <c r="A66" s="170" t="s">
        <v>600</v>
      </c>
      <c r="B66" s="439">
        <v>642.30999999999995</v>
      </c>
      <c r="I66" s="370"/>
      <c r="J66" s="370"/>
    </row>
    <row r="67" spans="1:10" ht="42.75">
      <c r="A67" s="170" t="s">
        <v>601</v>
      </c>
      <c r="B67" s="439">
        <v>331.75</v>
      </c>
    </row>
    <row r="68" spans="1:10" ht="28.5">
      <c r="A68" s="170" t="s">
        <v>602</v>
      </c>
      <c r="B68" s="489">
        <v>0.6479166666666667</v>
      </c>
    </row>
    <row r="69" spans="1:10">
      <c r="A69" s="487"/>
      <c r="B69" s="490"/>
    </row>
    <row r="70" spans="1:10">
      <c r="A70" s="718" t="s">
        <v>603</v>
      </c>
      <c r="B70" s="719"/>
      <c r="C70" s="720"/>
      <c r="D70" s="166"/>
      <c r="E70" s="721" t="s">
        <v>430</v>
      </c>
      <c r="F70" s="721"/>
      <c r="G70" s="721"/>
      <c r="H70" s="722"/>
      <c r="I70" s="723" t="s">
        <v>429</v>
      </c>
      <c r="J70" s="724"/>
    </row>
    <row r="71" spans="1:10" ht="42.75">
      <c r="A71" s="168" t="s">
        <v>426</v>
      </c>
      <c r="B71" s="167" t="s">
        <v>557</v>
      </c>
      <c r="C71" s="168" t="s">
        <v>425</v>
      </c>
      <c r="D71" s="169" t="s">
        <v>556</v>
      </c>
      <c r="E71" s="169" t="s">
        <v>537</v>
      </c>
      <c r="F71" s="169" t="s">
        <v>512</v>
      </c>
      <c r="G71" s="169" t="s">
        <v>513</v>
      </c>
      <c r="H71" s="169" t="s">
        <v>514</v>
      </c>
      <c r="I71" s="169" t="s">
        <v>515</v>
      </c>
      <c r="J71" s="169" t="s">
        <v>516</v>
      </c>
    </row>
    <row r="72" spans="1:10">
      <c r="A72" s="161" t="s">
        <v>975</v>
      </c>
      <c r="B72" s="387" t="s">
        <v>1199</v>
      </c>
      <c r="C72" s="441"/>
      <c r="D72" s="470" t="s">
        <v>583</v>
      </c>
      <c r="E72" s="471">
        <v>34965.480000000003</v>
      </c>
      <c r="F72" s="471">
        <v>200</v>
      </c>
      <c r="G72" s="471">
        <v>100</v>
      </c>
      <c r="H72" s="472">
        <v>0</v>
      </c>
      <c r="I72" s="437">
        <v>1.1000000000000001</v>
      </c>
      <c r="J72" s="437">
        <v>33.450000000000003</v>
      </c>
    </row>
    <row r="73" spans="1:10">
      <c r="A73" s="733" t="s">
        <v>1163</v>
      </c>
      <c r="B73" s="476" t="s">
        <v>1200</v>
      </c>
      <c r="C73" s="477"/>
      <c r="D73" s="478" t="s">
        <v>584</v>
      </c>
      <c r="E73" s="479">
        <v>31943.33</v>
      </c>
      <c r="F73" s="479">
        <v>201</v>
      </c>
      <c r="G73" s="479">
        <v>100.5</v>
      </c>
      <c r="H73" s="480">
        <v>0</v>
      </c>
      <c r="I73" s="481">
        <v>0.13</v>
      </c>
      <c r="J73" s="481">
        <v>7</v>
      </c>
    </row>
    <row r="74" spans="1:10">
      <c r="A74" s="735"/>
      <c r="B74" s="476" t="s">
        <v>1201</v>
      </c>
      <c r="C74" s="477"/>
      <c r="D74" s="478" t="s">
        <v>582</v>
      </c>
      <c r="E74" s="479">
        <v>38680.14</v>
      </c>
      <c r="F74" s="479">
        <v>251</v>
      </c>
      <c r="G74" s="479">
        <v>125.5</v>
      </c>
      <c r="H74" s="480">
        <v>0</v>
      </c>
      <c r="I74" s="481">
        <v>0.14000000000000001</v>
      </c>
      <c r="J74" s="481">
        <v>11.75</v>
      </c>
    </row>
    <row r="75" spans="1:10">
      <c r="A75" s="742" t="s">
        <v>976</v>
      </c>
      <c r="B75" s="746" t="s">
        <v>1202</v>
      </c>
      <c r="C75" s="748" t="s">
        <v>581</v>
      </c>
      <c r="D75" s="473" t="s">
        <v>585</v>
      </c>
      <c r="E75" s="474">
        <v>-6200.65</v>
      </c>
      <c r="F75" s="474">
        <v>26273</v>
      </c>
      <c r="G75" s="474">
        <v>13136.5</v>
      </c>
      <c r="H75" s="475">
        <v>32473.65</v>
      </c>
      <c r="I75" s="750">
        <v>0.43</v>
      </c>
      <c r="J75" s="750">
        <v>16.09</v>
      </c>
    </row>
    <row r="76" spans="1:10">
      <c r="A76" s="752"/>
      <c r="B76" s="753"/>
      <c r="C76" s="754"/>
      <c r="D76" s="473" t="s">
        <v>579</v>
      </c>
      <c r="E76" s="474">
        <v>-26342.11</v>
      </c>
      <c r="F76" s="474">
        <v>26273</v>
      </c>
      <c r="G76" s="474">
        <v>13136.5</v>
      </c>
      <c r="H76" s="475">
        <v>52615.11</v>
      </c>
      <c r="I76" s="755"/>
      <c r="J76" s="755"/>
    </row>
    <row r="77" spans="1:10" ht="42.75">
      <c r="A77" s="743"/>
      <c r="B77" s="747"/>
      <c r="C77" s="749"/>
      <c r="D77" s="473" t="s">
        <v>588</v>
      </c>
      <c r="E77" s="474">
        <v>-20008.439999999999</v>
      </c>
      <c r="F77" s="474">
        <v>26273</v>
      </c>
      <c r="G77" s="474">
        <v>13136.5</v>
      </c>
      <c r="H77" s="475">
        <v>46281.440000000002</v>
      </c>
      <c r="I77" s="751"/>
      <c r="J77" s="751"/>
    </row>
    <row r="78" spans="1:10">
      <c r="A78" s="733" t="s">
        <v>983</v>
      </c>
      <c r="B78" s="736" t="s">
        <v>1203</v>
      </c>
      <c r="C78" s="738" t="s">
        <v>581</v>
      </c>
      <c r="D78" s="478" t="s">
        <v>589</v>
      </c>
      <c r="E78" s="479">
        <v>31446.18</v>
      </c>
      <c r="F78" s="479">
        <v>10864</v>
      </c>
      <c r="G78" s="479">
        <v>5432</v>
      </c>
      <c r="H78" s="480">
        <v>0</v>
      </c>
      <c r="I78" s="730">
        <v>0.09</v>
      </c>
      <c r="J78" s="730">
        <v>14.12</v>
      </c>
    </row>
    <row r="79" spans="1:10" ht="28.5">
      <c r="A79" s="735"/>
      <c r="B79" s="737"/>
      <c r="C79" s="739"/>
      <c r="D79" s="482" t="s">
        <v>591</v>
      </c>
      <c r="E79" s="483">
        <v>4266.38</v>
      </c>
      <c r="F79" s="483">
        <v>10864</v>
      </c>
      <c r="G79" s="483">
        <v>5432</v>
      </c>
      <c r="H79" s="484">
        <v>6597.62</v>
      </c>
      <c r="I79" s="732"/>
      <c r="J79" s="732"/>
    </row>
    <row r="80" spans="1:10">
      <c r="A80" s="161" t="s">
        <v>986</v>
      </c>
      <c r="B80" s="387" t="s">
        <v>1204</v>
      </c>
      <c r="C80" s="441"/>
      <c r="D80" s="470" t="s">
        <v>584</v>
      </c>
      <c r="E80" s="471">
        <v>25063.72</v>
      </c>
      <c r="F80" s="471">
        <v>7268</v>
      </c>
      <c r="G80" s="471">
        <v>3634</v>
      </c>
      <c r="H80" s="472">
        <v>0</v>
      </c>
      <c r="I80" s="437">
        <v>0.51</v>
      </c>
      <c r="J80" s="437">
        <v>85.57</v>
      </c>
    </row>
    <row r="81" spans="1:10">
      <c r="A81" s="733" t="s">
        <v>987</v>
      </c>
      <c r="B81" s="476" t="s">
        <v>1205</v>
      </c>
      <c r="C81" s="477"/>
      <c r="D81" s="478" t="s">
        <v>582</v>
      </c>
      <c r="E81" s="479">
        <v>43701.36</v>
      </c>
      <c r="F81" s="479">
        <v>250</v>
      </c>
      <c r="G81" s="479">
        <v>125</v>
      </c>
      <c r="H81" s="480">
        <v>0</v>
      </c>
      <c r="I81" s="481">
        <v>0.04</v>
      </c>
      <c r="J81" s="481">
        <v>6.64</v>
      </c>
    </row>
    <row r="82" spans="1:10">
      <c r="A82" s="735"/>
      <c r="B82" s="476" t="s">
        <v>1206</v>
      </c>
      <c r="C82" s="477"/>
      <c r="D82" s="478" t="s">
        <v>583</v>
      </c>
      <c r="E82" s="479">
        <v>33299.769999999997</v>
      </c>
      <c r="F82" s="479">
        <v>150</v>
      </c>
      <c r="G82" s="479">
        <v>75</v>
      </c>
      <c r="H82" s="480">
        <v>0</v>
      </c>
      <c r="I82" s="481">
        <v>0.85</v>
      </c>
      <c r="J82" s="481">
        <v>50.82</v>
      </c>
    </row>
    <row r="83" spans="1:10">
      <c r="A83" s="161" t="s">
        <v>1168</v>
      </c>
      <c r="B83" s="387" t="s">
        <v>1207</v>
      </c>
      <c r="C83" s="441"/>
      <c r="D83" s="470" t="s">
        <v>590</v>
      </c>
      <c r="E83" s="471">
        <v>45975.67</v>
      </c>
      <c r="F83" s="471">
        <v>903</v>
      </c>
      <c r="G83" s="471">
        <v>451.5</v>
      </c>
      <c r="H83" s="472">
        <v>0</v>
      </c>
      <c r="I83" s="437">
        <v>0.05</v>
      </c>
      <c r="J83" s="437">
        <v>3.5</v>
      </c>
    </row>
    <row r="84" spans="1:10">
      <c r="A84" s="485" t="s">
        <v>1169</v>
      </c>
      <c r="B84" s="476" t="s">
        <v>1208</v>
      </c>
      <c r="C84" s="477"/>
      <c r="D84" s="478" t="s">
        <v>590</v>
      </c>
      <c r="E84" s="479">
        <v>37085.879999999997</v>
      </c>
      <c r="F84" s="479">
        <v>9405</v>
      </c>
      <c r="G84" s="479">
        <v>4702.5</v>
      </c>
      <c r="H84" s="480">
        <v>0</v>
      </c>
      <c r="I84" s="481">
        <v>0.67</v>
      </c>
      <c r="J84" s="481">
        <v>77.95</v>
      </c>
    </row>
    <row r="85" spans="1:10">
      <c r="A85" s="190"/>
      <c r="B85" s="191"/>
      <c r="C85" s="191"/>
      <c r="D85" s="192"/>
      <c r="E85" s="193"/>
      <c r="F85" s="194"/>
      <c r="G85" s="194"/>
      <c r="H85" s="195"/>
      <c r="I85" s="438"/>
      <c r="J85" s="438"/>
    </row>
    <row r="86" spans="1:10">
      <c r="I86" s="370"/>
      <c r="J86" s="370"/>
    </row>
    <row r="87" spans="1:10">
      <c r="A87" s="740" t="s">
        <v>604</v>
      </c>
      <c r="B87" s="741"/>
      <c r="I87" s="370"/>
      <c r="J87" s="370"/>
    </row>
    <row r="88" spans="1:10" ht="28.5">
      <c r="A88" s="170" t="s">
        <v>605</v>
      </c>
      <c r="B88" s="439">
        <v>627.25</v>
      </c>
      <c r="I88" s="370"/>
      <c r="J88" s="370"/>
    </row>
    <row r="89" spans="1:10" ht="42.75">
      <c r="A89" s="170" t="s">
        <v>606</v>
      </c>
      <c r="B89" s="439">
        <v>627.25</v>
      </c>
      <c r="I89" s="370"/>
      <c r="J89" s="370"/>
    </row>
    <row r="90" spans="1:10" ht="42.75">
      <c r="A90" s="170" t="s">
        <v>607</v>
      </c>
      <c r="B90" s="439">
        <v>376</v>
      </c>
    </row>
    <row r="91" spans="1:10" ht="28.5">
      <c r="A91" s="170" t="s">
        <v>608</v>
      </c>
      <c r="B91" s="489">
        <v>0.86319444444444438</v>
      </c>
    </row>
    <row r="92" spans="1:10">
      <c r="A92" s="487"/>
      <c r="B92" s="490"/>
    </row>
    <row r="93" spans="1:10">
      <c r="A93" s="718" t="s">
        <v>609</v>
      </c>
      <c r="B93" s="719"/>
      <c r="C93" s="720"/>
      <c r="D93" s="166"/>
      <c r="E93" s="721" t="s">
        <v>430</v>
      </c>
      <c r="F93" s="721"/>
      <c r="G93" s="721"/>
      <c r="H93" s="722"/>
      <c r="I93" s="723" t="s">
        <v>429</v>
      </c>
      <c r="J93" s="724"/>
    </row>
    <row r="94" spans="1:10" ht="42.75">
      <c r="A94" s="168" t="s">
        <v>426</v>
      </c>
      <c r="B94" s="167" t="s">
        <v>557</v>
      </c>
      <c r="C94" s="168" t="s">
        <v>425</v>
      </c>
      <c r="D94" s="169" t="s">
        <v>556</v>
      </c>
      <c r="E94" s="169" t="s">
        <v>537</v>
      </c>
      <c r="F94" s="169" t="s">
        <v>512</v>
      </c>
      <c r="G94" s="169" t="s">
        <v>513</v>
      </c>
      <c r="H94" s="169" t="s">
        <v>514</v>
      </c>
      <c r="I94" s="169" t="s">
        <v>515</v>
      </c>
      <c r="J94" s="169" t="s">
        <v>516</v>
      </c>
    </row>
    <row r="95" spans="1:10">
      <c r="A95" s="161" t="s">
        <v>975</v>
      </c>
      <c r="B95" s="387" t="s">
        <v>1209</v>
      </c>
      <c r="C95" s="441"/>
      <c r="D95" s="470" t="s">
        <v>583</v>
      </c>
      <c r="E95" s="471">
        <v>34865.480000000003</v>
      </c>
      <c r="F95" s="471">
        <v>200</v>
      </c>
      <c r="G95" s="471">
        <v>100</v>
      </c>
      <c r="H95" s="472">
        <v>0</v>
      </c>
      <c r="I95" s="437">
        <v>1.1000000000000001</v>
      </c>
      <c r="J95" s="437">
        <v>34.770000000000003</v>
      </c>
    </row>
    <row r="96" spans="1:10">
      <c r="A96" s="485" t="s">
        <v>1162</v>
      </c>
      <c r="B96" s="476" t="s">
        <v>1210</v>
      </c>
      <c r="C96" s="477"/>
      <c r="D96" s="478" t="s">
        <v>584</v>
      </c>
      <c r="E96" s="479">
        <v>31842.83</v>
      </c>
      <c r="F96" s="479">
        <v>221</v>
      </c>
      <c r="G96" s="479">
        <v>110.5</v>
      </c>
      <c r="H96" s="480">
        <v>0</v>
      </c>
      <c r="I96" s="481">
        <v>0.13</v>
      </c>
      <c r="J96" s="481">
        <v>22.31</v>
      </c>
    </row>
    <row r="97" spans="1:10">
      <c r="A97" s="742" t="s">
        <v>978</v>
      </c>
      <c r="B97" s="746" t="s">
        <v>1211</v>
      </c>
      <c r="C97" s="748" t="s">
        <v>581</v>
      </c>
      <c r="D97" s="473" t="s">
        <v>582</v>
      </c>
      <c r="E97" s="474">
        <v>11486.19</v>
      </c>
      <c r="F97" s="474">
        <v>52742</v>
      </c>
      <c r="G97" s="474">
        <v>26371</v>
      </c>
      <c r="H97" s="475">
        <v>41255.81</v>
      </c>
      <c r="I97" s="750">
        <v>0.82</v>
      </c>
      <c r="J97" s="750">
        <v>29.22</v>
      </c>
    </row>
    <row r="98" spans="1:10" ht="42.75">
      <c r="A98" s="752"/>
      <c r="B98" s="753"/>
      <c r="C98" s="754"/>
      <c r="D98" s="473" t="s">
        <v>586</v>
      </c>
      <c r="E98" s="474">
        <v>3853.49</v>
      </c>
      <c r="F98" s="474">
        <v>52742</v>
      </c>
      <c r="G98" s="474">
        <v>26371</v>
      </c>
      <c r="H98" s="475">
        <v>48888.51</v>
      </c>
      <c r="I98" s="755"/>
      <c r="J98" s="755"/>
    </row>
    <row r="99" spans="1:10" ht="42.75">
      <c r="A99" s="752"/>
      <c r="B99" s="753"/>
      <c r="C99" s="754"/>
      <c r="D99" s="473" t="s">
        <v>588</v>
      </c>
      <c r="E99" s="474">
        <v>-33144.94</v>
      </c>
      <c r="F99" s="474">
        <v>52742</v>
      </c>
      <c r="G99" s="474">
        <v>26371</v>
      </c>
      <c r="H99" s="475">
        <v>85886.94</v>
      </c>
      <c r="I99" s="755"/>
      <c r="J99" s="755"/>
    </row>
    <row r="100" spans="1:10">
      <c r="A100" s="752"/>
      <c r="B100" s="753"/>
      <c r="C100" s="754"/>
      <c r="D100" s="473" t="s">
        <v>579</v>
      </c>
      <c r="E100" s="474">
        <v>18.22</v>
      </c>
      <c r="F100" s="474">
        <v>52742</v>
      </c>
      <c r="G100" s="474">
        <v>26371</v>
      </c>
      <c r="H100" s="475">
        <v>52723.78</v>
      </c>
      <c r="I100" s="755"/>
      <c r="J100" s="755"/>
    </row>
    <row r="101" spans="1:10" ht="42.75">
      <c r="A101" s="752"/>
      <c r="B101" s="753"/>
      <c r="C101" s="754"/>
      <c r="D101" s="473" t="s">
        <v>587</v>
      </c>
      <c r="E101" s="474">
        <v>-13138.44</v>
      </c>
      <c r="F101" s="474">
        <v>52742</v>
      </c>
      <c r="G101" s="474">
        <v>26371</v>
      </c>
      <c r="H101" s="475">
        <v>65880.44</v>
      </c>
      <c r="I101" s="755"/>
      <c r="J101" s="755"/>
    </row>
    <row r="102" spans="1:10">
      <c r="A102" s="743"/>
      <c r="B102" s="747"/>
      <c r="C102" s="749"/>
      <c r="D102" s="473" t="s">
        <v>585</v>
      </c>
      <c r="E102" s="474">
        <v>-19337.150000000001</v>
      </c>
      <c r="F102" s="474">
        <v>52742</v>
      </c>
      <c r="G102" s="474">
        <v>26371</v>
      </c>
      <c r="H102" s="475">
        <v>72079.149999999994</v>
      </c>
      <c r="I102" s="751"/>
      <c r="J102" s="751"/>
    </row>
    <row r="103" spans="1:10">
      <c r="A103" s="733" t="s">
        <v>980</v>
      </c>
      <c r="B103" s="736" t="s">
        <v>1212</v>
      </c>
      <c r="C103" s="738" t="s">
        <v>581</v>
      </c>
      <c r="D103" s="478" t="s">
        <v>584</v>
      </c>
      <c r="E103" s="479">
        <v>32629.38</v>
      </c>
      <c r="F103" s="479">
        <v>10865</v>
      </c>
      <c r="G103" s="479">
        <v>5432.5</v>
      </c>
      <c r="H103" s="480">
        <v>0</v>
      </c>
      <c r="I103" s="730">
        <v>0.09</v>
      </c>
      <c r="J103" s="730">
        <v>14.28</v>
      </c>
    </row>
    <row r="104" spans="1:10" ht="28.5">
      <c r="A104" s="735"/>
      <c r="B104" s="737"/>
      <c r="C104" s="739"/>
      <c r="D104" s="482" t="s">
        <v>591</v>
      </c>
      <c r="E104" s="483">
        <v>-1165.6199999999999</v>
      </c>
      <c r="F104" s="483">
        <v>10865</v>
      </c>
      <c r="G104" s="483">
        <v>5432.5</v>
      </c>
      <c r="H104" s="484">
        <v>12030.62</v>
      </c>
      <c r="I104" s="732"/>
      <c r="J104" s="732"/>
    </row>
    <row r="105" spans="1:10">
      <c r="A105" s="161" t="s">
        <v>1166</v>
      </c>
      <c r="B105" s="387" t="s">
        <v>1213</v>
      </c>
      <c r="C105" s="441"/>
      <c r="D105" s="470" t="s">
        <v>582</v>
      </c>
      <c r="E105" s="471">
        <v>43576.36</v>
      </c>
      <c r="F105" s="471">
        <v>150</v>
      </c>
      <c r="G105" s="471">
        <v>75</v>
      </c>
      <c r="H105" s="472">
        <v>0</v>
      </c>
      <c r="I105" s="437">
        <v>0.11</v>
      </c>
      <c r="J105" s="437">
        <v>8.2799999999999994</v>
      </c>
    </row>
    <row r="106" spans="1:10">
      <c r="A106" s="485" t="s">
        <v>1167</v>
      </c>
      <c r="B106" s="476" t="s">
        <v>1214</v>
      </c>
      <c r="C106" s="477"/>
      <c r="D106" s="478" t="s">
        <v>590</v>
      </c>
      <c r="E106" s="479">
        <v>45524.17</v>
      </c>
      <c r="F106" s="479">
        <v>903</v>
      </c>
      <c r="G106" s="479">
        <v>451.5</v>
      </c>
      <c r="H106" s="480">
        <v>0</v>
      </c>
      <c r="I106" s="481">
        <v>7.0000000000000007E-2</v>
      </c>
      <c r="J106" s="481">
        <v>4.47</v>
      </c>
    </row>
    <row r="107" spans="1:10">
      <c r="A107" s="161" t="s">
        <v>1168</v>
      </c>
      <c r="B107" s="387" t="s">
        <v>1215</v>
      </c>
      <c r="C107" s="441"/>
      <c r="D107" s="470" t="s">
        <v>583</v>
      </c>
      <c r="E107" s="471">
        <v>33224.769999999997</v>
      </c>
      <c r="F107" s="471">
        <v>3586</v>
      </c>
      <c r="G107" s="471">
        <v>1793</v>
      </c>
      <c r="H107" s="472">
        <v>0</v>
      </c>
      <c r="I107" s="437">
        <v>15.94</v>
      </c>
      <c r="J107" s="437">
        <v>504.28</v>
      </c>
    </row>
    <row r="108" spans="1:10">
      <c r="A108" s="190"/>
      <c r="B108" s="191"/>
      <c r="C108" s="191"/>
      <c r="D108" s="192"/>
      <c r="E108" s="193"/>
      <c r="F108" s="194"/>
      <c r="G108" s="194"/>
      <c r="H108" s="195"/>
      <c r="I108" s="438"/>
      <c r="J108" s="438"/>
    </row>
    <row r="109" spans="1:10">
      <c r="I109" s="370"/>
      <c r="J109" s="370"/>
    </row>
    <row r="110" spans="1:10">
      <c r="A110" s="740" t="s">
        <v>610</v>
      </c>
      <c r="B110" s="741"/>
      <c r="I110" s="370"/>
      <c r="J110" s="370"/>
    </row>
    <row r="111" spans="1:10" ht="28.5">
      <c r="A111" s="170" t="s">
        <v>611</v>
      </c>
      <c r="B111" s="439">
        <v>583</v>
      </c>
      <c r="I111" s="370"/>
      <c r="J111" s="370"/>
    </row>
    <row r="112" spans="1:10" ht="42.75">
      <c r="A112" s="170" t="s">
        <v>612</v>
      </c>
      <c r="B112" s="439">
        <v>583</v>
      </c>
      <c r="I112" s="370"/>
      <c r="J112" s="370"/>
    </row>
    <row r="113" spans="1:10" ht="42.75">
      <c r="A113" s="170" t="s">
        <v>613</v>
      </c>
      <c r="B113" s="439">
        <v>700.04</v>
      </c>
    </row>
    <row r="114" spans="1:10" ht="28.5">
      <c r="A114" s="170" t="s">
        <v>614</v>
      </c>
      <c r="B114" s="486">
        <v>1.1222222222222222</v>
      </c>
    </row>
    <row r="115" spans="1:10">
      <c r="A115" s="487"/>
      <c r="B115" s="488"/>
    </row>
    <row r="116" spans="1:10">
      <c r="A116" s="718" t="s">
        <v>615</v>
      </c>
      <c r="B116" s="719"/>
      <c r="C116" s="720"/>
      <c r="D116" s="166"/>
      <c r="E116" s="721" t="s">
        <v>430</v>
      </c>
      <c r="F116" s="721"/>
      <c r="G116" s="721"/>
      <c r="H116" s="722"/>
      <c r="I116" s="723" t="s">
        <v>429</v>
      </c>
      <c r="J116" s="724"/>
    </row>
    <row r="117" spans="1:10" ht="42.75">
      <c r="A117" s="168" t="s">
        <v>426</v>
      </c>
      <c r="B117" s="167" t="s">
        <v>557</v>
      </c>
      <c r="C117" s="168" t="s">
        <v>425</v>
      </c>
      <c r="D117" s="169" t="s">
        <v>556</v>
      </c>
      <c r="E117" s="169" t="s">
        <v>537</v>
      </c>
      <c r="F117" s="169" t="s">
        <v>512</v>
      </c>
      <c r="G117" s="169" t="s">
        <v>513</v>
      </c>
      <c r="H117" s="169" t="s">
        <v>514</v>
      </c>
      <c r="I117" s="169" t="s">
        <v>515</v>
      </c>
      <c r="J117" s="169" t="s">
        <v>516</v>
      </c>
    </row>
    <row r="118" spans="1:10">
      <c r="A118" s="742" t="s">
        <v>1162</v>
      </c>
      <c r="B118" s="387" t="s">
        <v>1216</v>
      </c>
      <c r="C118" s="441"/>
      <c r="D118" s="470" t="s">
        <v>584</v>
      </c>
      <c r="E118" s="471">
        <v>31732.33</v>
      </c>
      <c r="F118" s="471">
        <v>5400</v>
      </c>
      <c r="G118" s="471">
        <v>2700</v>
      </c>
      <c r="H118" s="472">
        <v>0</v>
      </c>
      <c r="I118" s="437">
        <v>0.4</v>
      </c>
      <c r="J118" s="437">
        <v>27.44</v>
      </c>
    </row>
    <row r="119" spans="1:10">
      <c r="A119" s="743"/>
      <c r="B119" s="387" t="s">
        <v>1217</v>
      </c>
      <c r="C119" s="441"/>
      <c r="D119" s="470" t="s">
        <v>583</v>
      </c>
      <c r="E119" s="471">
        <v>34765.480000000003</v>
      </c>
      <c r="F119" s="471">
        <v>5405</v>
      </c>
      <c r="G119" s="471">
        <v>2702.5</v>
      </c>
      <c r="H119" s="472">
        <v>0</v>
      </c>
      <c r="I119" s="437">
        <v>0.42</v>
      </c>
      <c r="J119" s="437">
        <v>52.76</v>
      </c>
    </row>
    <row r="120" spans="1:10" ht="28.5">
      <c r="A120" s="733" t="s">
        <v>982</v>
      </c>
      <c r="B120" s="736" t="s">
        <v>1218</v>
      </c>
      <c r="C120" s="738" t="s">
        <v>581</v>
      </c>
      <c r="D120" s="482" t="s">
        <v>591</v>
      </c>
      <c r="E120" s="483">
        <v>-6598.12</v>
      </c>
      <c r="F120" s="483">
        <v>10557</v>
      </c>
      <c r="G120" s="483">
        <v>5278.5</v>
      </c>
      <c r="H120" s="484">
        <v>17155.12</v>
      </c>
      <c r="I120" s="730">
        <v>7.0000000000000007E-2</v>
      </c>
      <c r="J120" s="730">
        <v>20.95</v>
      </c>
    </row>
    <row r="121" spans="1:10">
      <c r="A121" s="735"/>
      <c r="B121" s="737"/>
      <c r="C121" s="739"/>
      <c r="D121" s="482" t="s">
        <v>579</v>
      </c>
      <c r="E121" s="483">
        <v>18.45</v>
      </c>
      <c r="F121" s="483">
        <v>10557</v>
      </c>
      <c r="G121" s="483">
        <v>5278.5</v>
      </c>
      <c r="H121" s="484">
        <v>10538.55</v>
      </c>
      <c r="I121" s="732"/>
      <c r="J121" s="732"/>
    </row>
    <row r="122" spans="1:10">
      <c r="A122" s="161" t="s">
        <v>1166</v>
      </c>
      <c r="B122" s="387" t="s">
        <v>1219</v>
      </c>
      <c r="C122" s="441"/>
      <c r="D122" s="470" t="s">
        <v>582</v>
      </c>
      <c r="E122" s="471">
        <v>43501.36</v>
      </c>
      <c r="F122" s="471">
        <v>150</v>
      </c>
      <c r="G122" s="471">
        <v>75</v>
      </c>
      <c r="H122" s="472">
        <v>0</v>
      </c>
      <c r="I122" s="437">
        <v>0.09</v>
      </c>
      <c r="J122" s="437">
        <v>8.31</v>
      </c>
    </row>
    <row r="123" spans="1:10">
      <c r="A123" s="485" t="s">
        <v>986</v>
      </c>
      <c r="B123" s="476" t="s">
        <v>1220</v>
      </c>
      <c r="C123" s="477"/>
      <c r="D123" s="478" t="s">
        <v>590</v>
      </c>
      <c r="E123" s="479">
        <v>45072.67</v>
      </c>
      <c r="F123" s="479">
        <v>250</v>
      </c>
      <c r="G123" s="479">
        <v>125</v>
      </c>
      <c r="H123" s="480">
        <v>0</v>
      </c>
      <c r="I123" s="481">
        <v>0.03</v>
      </c>
      <c r="J123" s="481">
        <v>5.39</v>
      </c>
    </row>
    <row r="124" spans="1:10">
      <c r="A124" s="190"/>
      <c r="B124" s="191"/>
      <c r="C124" s="191"/>
      <c r="D124" s="192"/>
      <c r="E124" s="193"/>
      <c r="F124" s="194"/>
      <c r="G124" s="194"/>
      <c r="H124" s="195"/>
      <c r="I124" s="438"/>
      <c r="J124" s="438"/>
    </row>
    <row r="125" spans="1:10">
      <c r="I125" s="370"/>
      <c r="J125" s="370"/>
    </row>
    <row r="126" spans="1:10">
      <c r="A126" s="740" t="s">
        <v>616</v>
      </c>
      <c r="B126" s="741"/>
      <c r="I126" s="370"/>
      <c r="J126" s="370"/>
    </row>
    <row r="127" spans="1:10" ht="28.5">
      <c r="A127" s="170" t="s">
        <v>617</v>
      </c>
      <c r="B127" s="439">
        <v>258.95999999999998</v>
      </c>
      <c r="I127" s="370"/>
      <c r="J127" s="370"/>
    </row>
    <row r="128" spans="1:10" ht="42.75">
      <c r="A128" s="170" t="s">
        <v>618</v>
      </c>
      <c r="B128" s="439">
        <v>258.95999999999998</v>
      </c>
      <c r="I128" s="370"/>
      <c r="J128" s="370"/>
    </row>
    <row r="129" spans="1:10" ht="42.75">
      <c r="A129" s="170" t="s">
        <v>619</v>
      </c>
      <c r="B129" s="439">
        <v>704.98</v>
      </c>
    </row>
    <row r="130" spans="1:10" ht="28.5">
      <c r="A130" s="170" t="s">
        <v>620</v>
      </c>
      <c r="B130" s="489">
        <v>0.76041666666666663</v>
      </c>
    </row>
    <row r="131" spans="1:10">
      <c r="A131" s="487"/>
      <c r="B131" s="490"/>
    </row>
    <row r="132" spans="1:10">
      <c r="A132" s="718" t="s">
        <v>621</v>
      </c>
      <c r="B132" s="719"/>
      <c r="C132" s="720"/>
      <c r="D132" s="166"/>
      <c r="E132" s="721" t="s">
        <v>430</v>
      </c>
      <c r="F132" s="721"/>
      <c r="G132" s="721"/>
      <c r="H132" s="722"/>
      <c r="I132" s="723" t="s">
        <v>429</v>
      </c>
      <c r="J132" s="724"/>
    </row>
    <row r="133" spans="1:10" ht="42.75">
      <c r="A133" s="168" t="s">
        <v>426</v>
      </c>
      <c r="B133" s="167" t="s">
        <v>557</v>
      </c>
      <c r="C133" s="168" t="s">
        <v>425</v>
      </c>
      <c r="D133" s="169" t="s">
        <v>556</v>
      </c>
      <c r="E133" s="169" t="s">
        <v>537</v>
      </c>
      <c r="F133" s="169" t="s">
        <v>512</v>
      </c>
      <c r="G133" s="169" t="s">
        <v>513</v>
      </c>
      <c r="H133" s="169" t="s">
        <v>514</v>
      </c>
      <c r="I133" s="169" t="s">
        <v>515</v>
      </c>
      <c r="J133" s="169" t="s">
        <v>516</v>
      </c>
    </row>
    <row r="134" spans="1:10">
      <c r="A134" s="161" t="s">
        <v>1162</v>
      </c>
      <c r="B134" s="387" t="s">
        <v>1221</v>
      </c>
      <c r="C134" s="441"/>
      <c r="D134" s="470" t="s">
        <v>584</v>
      </c>
      <c r="E134" s="471">
        <v>29032.33</v>
      </c>
      <c r="F134" s="471">
        <v>250</v>
      </c>
      <c r="G134" s="471">
        <v>125</v>
      </c>
      <c r="H134" s="472">
        <v>0</v>
      </c>
      <c r="I134" s="437">
        <v>0.09</v>
      </c>
      <c r="J134" s="437">
        <v>31.22</v>
      </c>
    </row>
    <row r="135" spans="1:10">
      <c r="A135" s="485" t="s">
        <v>1163</v>
      </c>
      <c r="B135" s="476" t="s">
        <v>1222</v>
      </c>
      <c r="C135" s="477"/>
      <c r="D135" s="478" t="s">
        <v>583</v>
      </c>
      <c r="E135" s="479">
        <v>32062.98</v>
      </c>
      <c r="F135" s="479">
        <v>200</v>
      </c>
      <c r="G135" s="479">
        <v>100</v>
      </c>
      <c r="H135" s="480">
        <v>0</v>
      </c>
      <c r="I135" s="481">
        <v>0.12</v>
      </c>
      <c r="J135" s="481">
        <v>122</v>
      </c>
    </row>
    <row r="136" spans="1:10">
      <c r="A136" s="742" t="s">
        <v>982</v>
      </c>
      <c r="B136" s="746" t="s">
        <v>1223</v>
      </c>
      <c r="C136" s="748" t="s">
        <v>581</v>
      </c>
      <c r="D136" s="470" t="s">
        <v>590</v>
      </c>
      <c r="E136" s="471">
        <v>37785.57</v>
      </c>
      <c r="F136" s="471">
        <v>10857</v>
      </c>
      <c r="G136" s="471">
        <v>5428.5</v>
      </c>
      <c r="H136" s="472">
        <v>0</v>
      </c>
      <c r="I136" s="750">
        <v>0.1</v>
      </c>
      <c r="J136" s="750">
        <v>26.2</v>
      </c>
    </row>
    <row r="137" spans="1:10" ht="28.5">
      <c r="A137" s="743"/>
      <c r="B137" s="747"/>
      <c r="C137" s="749"/>
      <c r="D137" s="473" t="s">
        <v>591</v>
      </c>
      <c r="E137" s="474">
        <v>-11876.62</v>
      </c>
      <c r="F137" s="474">
        <v>10857</v>
      </c>
      <c r="G137" s="474">
        <v>5428.5</v>
      </c>
      <c r="H137" s="475">
        <v>22733.62</v>
      </c>
      <c r="I137" s="751"/>
      <c r="J137" s="751"/>
    </row>
    <row r="138" spans="1:10">
      <c r="A138" s="485" t="s">
        <v>1172</v>
      </c>
      <c r="B138" s="476" t="s">
        <v>1224</v>
      </c>
      <c r="C138" s="477"/>
      <c r="D138" s="478" t="s">
        <v>590</v>
      </c>
      <c r="E138" s="479">
        <v>44947.67</v>
      </c>
      <c r="F138" s="479">
        <v>600</v>
      </c>
      <c r="G138" s="479">
        <v>300</v>
      </c>
      <c r="H138" s="480">
        <v>0</v>
      </c>
      <c r="I138" s="481">
        <v>0.03</v>
      </c>
      <c r="J138" s="481">
        <v>7.5</v>
      </c>
    </row>
    <row r="139" spans="1:10">
      <c r="A139" s="161" t="s">
        <v>987</v>
      </c>
      <c r="B139" s="387" t="s">
        <v>1225</v>
      </c>
      <c r="C139" s="441"/>
      <c r="D139" s="470" t="s">
        <v>582</v>
      </c>
      <c r="E139" s="471">
        <v>43426.36</v>
      </c>
      <c r="F139" s="471">
        <v>4494</v>
      </c>
      <c r="G139" s="471">
        <v>2247</v>
      </c>
      <c r="H139" s="472">
        <v>0</v>
      </c>
      <c r="I139" s="437">
        <v>0.01</v>
      </c>
      <c r="J139" s="437">
        <v>11.94</v>
      </c>
    </row>
    <row r="140" spans="1:10">
      <c r="A140" s="190"/>
      <c r="B140" s="191"/>
      <c r="C140" s="191"/>
      <c r="D140" s="192"/>
      <c r="E140" s="193"/>
      <c r="F140" s="194"/>
      <c r="G140" s="194"/>
      <c r="H140" s="195"/>
      <c r="I140" s="438"/>
      <c r="J140" s="438"/>
    </row>
    <row r="141" spans="1:10">
      <c r="I141" s="370"/>
      <c r="J141" s="370"/>
    </row>
    <row r="142" spans="1:10">
      <c r="A142" s="740" t="s">
        <v>622</v>
      </c>
      <c r="B142" s="741"/>
      <c r="I142" s="370"/>
      <c r="J142" s="370"/>
    </row>
    <row r="143" spans="1:10" ht="28.5">
      <c r="A143" s="170" t="s">
        <v>623</v>
      </c>
      <c r="B143" s="439">
        <v>254.02</v>
      </c>
      <c r="I143" s="370"/>
      <c r="J143" s="370"/>
    </row>
    <row r="144" spans="1:10" ht="42.75">
      <c r="A144" s="170" t="s">
        <v>624</v>
      </c>
      <c r="B144" s="439">
        <v>254.02</v>
      </c>
      <c r="I144" s="370"/>
      <c r="J144" s="370"/>
    </row>
    <row r="145" spans="1:10" ht="42.75">
      <c r="A145" s="170" t="s">
        <v>625</v>
      </c>
      <c r="B145" s="439">
        <v>704.98</v>
      </c>
    </row>
    <row r="146" spans="1:10" ht="28.5">
      <c r="A146" s="170" t="s">
        <v>626</v>
      </c>
      <c r="B146" s="489">
        <v>0.31597222222222221</v>
      </c>
    </row>
    <row r="147" spans="1:10">
      <c r="A147" s="487"/>
      <c r="B147" s="490"/>
    </row>
    <row r="148" spans="1:10">
      <c r="A148" s="718" t="s">
        <v>627</v>
      </c>
      <c r="B148" s="719"/>
      <c r="C148" s="720"/>
      <c r="D148" s="166"/>
      <c r="E148" s="721" t="s">
        <v>430</v>
      </c>
      <c r="F148" s="721"/>
      <c r="G148" s="721"/>
      <c r="H148" s="722"/>
      <c r="I148" s="723" t="s">
        <v>429</v>
      </c>
      <c r="J148" s="724"/>
    </row>
    <row r="149" spans="1:10" ht="42.75">
      <c r="A149" s="168" t="s">
        <v>426</v>
      </c>
      <c r="B149" s="167" t="s">
        <v>557</v>
      </c>
      <c r="C149" s="168" t="s">
        <v>425</v>
      </c>
      <c r="D149" s="169" t="s">
        <v>556</v>
      </c>
      <c r="E149" s="169" t="s">
        <v>537</v>
      </c>
      <c r="F149" s="169" t="s">
        <v>512</v>
      </c>
      <c r="G149" s="169" t="s">
        <v>513</v>
      </c>
      <c r="H149" s="169" t="s">
        <v>514</v>
      </c>
      <c r="I149" s="169" t="s">
        <v>515</v>
      </c>
      <c r="J149" s="169" t="s">
        <v>516</v>
      </c>
    </row>
    <row r="150" spans="1:10">
      <c r="A150" s="161" t="s">
        <v>1163</v>
      </c>
      <c r="B150" s="387" t="s">
        <v>1226</v>
      </c>
      <c r="C150" s="441"/>
      <c r="D150" s="470" t="s">
        <v>584</v>
      </c>
      <c r="E150" s="471">
        <v>28907.33</v>
      </c>
      <c r="F150" s="471">
        <v>200</v>
      </c>
      <c r="G150" s="471">
        <v>100</v>
      </c>
      <c r="H150" s="472">
        <v>0</v>
      </c>
      <c r="I150" s="437">
        <v>0.08</v>
      </c>
      <c r="J150" s="437">
        <v>37.020000000000003</v>
      </c>
    </row>
    <row r="151" spans="1:10">
      <c r="A151" s="733" t="s">
        <v>1170</v>
      </c>
      <c r="B151" s="736" t="s">
        <v>1227</v>
      </c>
      <c r="C151" s="738" t="s">
        <v>581</v>
      </c>
      <c r="D151" s="478" t="s">
        <v>582</v>
      </c>
      <c r="E151" s="479">
        <v>35938.83</v>
      </c>
      <c r="F151" s="479">
        <v>2403</v>
      </c>
      <c r="G151" s="479">
        <v>1201.5</v>
      </c>
      <c r="H151" s="480">
        <v>0</v>
      </c>
      <c r="I151" s="730">
        <v>7.0000000000000007E-2</v>
      </c>
      <c r="J151" s="730">
        <v>33.68</v>
      </c>
    </row>
    <row r="152" spans="1:10" ht="28.5">
      <c r="A152" s="735"/>
      <c r="B152" s="737"/>
      <c r="C152" s="739"/>
      <c r="D152" s="482" t="s">
        <v>591</v>
      </c>
      <c r="E152" s="483">
        <v>-17305.12</v>
      </c>
      <c r="F152" s="483">
        <v>2403</v>
      </c>
      <c r="G152" s="483">
        <v>1201.5</v>
      </c>
      <c r="H152" s="484">
        <v>19708.12</v>
      </c>
      <c r="I152" s="732"/>
      <c r="J152" s="732"/>
    </row>
    <row r="153" spans="1:10">
      <c r="A153" s="161" t="s">
        <v>1171</v>
      </c>
      <c r="B153" s="387" t="s">
        <v>1228</v>
      </c>
      <c r="C153" s="441"/>
      <c r="D153" s="470" t="s">
        <v>582</v>
      </c>
      <c r="E153" s="471">
        <v>41179.360000000001</v>
      </c>
      <c r="F153" s="471">
        <v>601</v>
      </c>
      <c r="G153" s="471">
        <v>300.5</v>
      </c>
      <c r="H153" s="472">
        <v>0</v>
      </c>
      <c r="I153" s="437">
        <v>0.38</v>
      </c>
      <c r="J153" s="437">
        <v>12.39</v>
      </c>
    </row>
    <row r="154" spans="1:10">
      <c r="A154" s="485" t="s">
        <v>1167</v>
      </c>
      <c r="B154" s="476" t="s">
        <v>1229</v>
      </c>
      <c r="C154" s="477"/>
      <c r="D154" s="478" t="s">
        <v>590</v>
      </c>
      <c r="E154" s="479">
        <v>44647.67</v>
      </c>
      <c r="F154" s="479">
        <v>450</v>
      </c>
      <c r="G154" s="479">
        <v>225</v>
      </c>
      <c r="H154" s="480">
        <v>0</v>
      </c>
      <c r="I154" s="481">
        <v>0.13</v>
      </c>
      <c r="J154" s="481">
        <v>10.59</v>
      </c>
    </row>
    <row r="155" spans="1:10">
      <c r="A155" s="190"/>
      <c r="B155" s="191"/>
      <c r="C155" s="191"/>
      <c r="D155" s="192"/>
      <c r="E155" s="193"/>
      <c r="F155" s="194"/>
      <c r="G155" s="194"/>
      <c r="H155" s="195"/>
      <c r="I155" s="438"/>
      <c r="J155" s="438"/>
    </row>
    <row r="156" spans="1:10">
      <c r="I156" s="370"/>
      <c r="J156" s="370"/>
    </row>
    <row r="157" spans="1:10">
      <c r="A157" s="740" t="s">
        <v>628</v>
      </c>
      <c r="B157" s="741"/>
      <c r="I157" s="370"/>
      <c r="J157" s="370"/>
    </row>
    <row r="158" spans="1:10" ht="28.5">
      <c r="A158" s="170" t="s">
        <v>629</v>
      </c>
      <c r="B158" s="439">
        <v>254.02</v>
      </c>
      <c r="I158" s="370"/>
      <c r="J158" s="370"/>
    </row>
    <row r="159" spans="1:10" ht="42.75">
      <c r="A159" s="170" t="s">
        <v>630</v>
      </c>
      <c r="B159" s="439">
        <v>254.02</v>
      </c>
      <c r="I159" s="370"/>
      <c r="J159" s="370"/>
    </row>
    <row r="160" spans="1:10" ht="42.75">
      <c r="A160" s="170" t="s">
        <v>631</v>
      </c>
      <c r="B160" s="439">
        <v>704.98</v>
      </c>
    </row>
    <row r="161" spans="1:10" ht="28.5">
      <c r="A161" s="170" t="s">
        <v>632</v>
      </c>
      <c r="B161" s="489">
        <v>8.7500000000000008E-2</v>
      </c>
    </row>
    <row r="162" spans="1:10">
      <c r="A162" s="487"/>
      <c r="B162" s="490"/>
    </row>
    <row r="163" spans="1:10">
      <c r="A163" s="718" t="s">
        <v>633</v>
      </c>
      <c r="B163" s="719"/>
      <c r="C163" s="720"/>
      <c r="D163" s="166"/>
      <c r="E163" s="721" t="s">
        <v>430</v>
      </c>
      <c r="F163" s="721"/>
      <c r="G163" s="721"/>
      <c r="H163" s="722"/>
      <c r="I163" s="723" t="s">
        <v>429</v>
      </c>
      <c r="J163" s="724"/>
    </row>
    <row r="164" spans="1:10" ht="42.75">
      <c r="A164" s="168" t="s">
        <v>426</v>
      </c>
      <c r="B164" s="167" t="s">
        <v>557</v>
      </c>
      <c r="C164" s="168" t="s">
        <v>425</v>
      </c>
      <c r="D164" s="169" t="s">
        <v>556</v>
      </c>
      <c r="E164" s="169" t="s">
        <v>537</v>
      </c>
      <c r="F164" s="169" t="s">
        <v>512</v>
      </c>
      <c r="G164" s="169" t="s">
        <v>513</v>
      </c>
      <c r="H164" s="169" t="s">
        <v>514</v>
      </c>
      <c r="I164" s="169" t="s">
        <v>515</v>
      </c>
      <c r="J164" s="169" t="s">
        <v>516</v>
      </c>
    </row>
    <row r="165" spans="1:10">
      <c r="A165" s="161" t="s">
        <v>1162</v>
      </c>
      <c r="B165" s="387" t="s">
        <v>1230</v>
      </c>
      <c r="C165" s="441"/>
      <c r="D165" s="470" t="s">
        <v>584</v>
      </c>
      <c r="E165" s="471">
        <v>28807.33</v>
      </c>
      <c r="F165" s="471">
        <v>450</v>
      </c>
      <c r="G165" s="471">
        <v>225</v>
      </c>
      <c r="H165" s="472">
        <v>0</v>
      </c>
      <c r="I165" s="437">
        <v>0.11</v>
      </c>
      <c r="J165" s="437">
        <v>44.39</v>
      </c>
    </row>
    <row r="166" spans="1:10" ht="28.5">
      <c r="A166" s="485" t="s">
        <v>1165</v>
      </c>
      <c r="B166" s="476" t="s">
        <v>1231</v>
      </c>
      <c r="C166" s="477" t="s">
        <v>581</v>
      </c>
      <c r="D166" s="482" t="s">
        <v>591</v>
      </c>
      <c r="E166" s="483">
        <v>-18506.62</v>
      </c>
      <c r="F166" s="483">
        <v>2403</v>
      </c>
      <c r="G166" s="483">
        <v>1201.5</v>
      </c>
      <c r="H166" s="484">
        <v>20909.62</v>
      </c>
      <c r="I166" s="481">
        <v>0.33</v>
      </c>
      <c r="J166" s="481">
        <v>110.62</v>
      </c>
    </row>
    <row r="167" spans="1:10">
      <c r="A167" s="161" t="s">
        <v>987</v>
      </c>
      <c r="B167" s="387" t="s">
        <v>1232</v>
      </c>
      <c r="C167" s="441"/>
      <c r="D167" s="470" t="s">
        <v>582</v>
      </c>
      <c r="E167" s="471">
        <v>40878.86</v>
      </c>
      <c r="F167" s="471">
        <v>500</v>
      </c>
      <c r="G167" s="471">
        <v>250</v>
      </c>
      <c r="H167" s="472">
        <v>0</v>
      </c>
      <c r="I167" s="437">
        <v>0.03</v>
      </c>
      <c r="J167" s="437">
        <v>16.47</v>
      </c>
    </row>
    <row r="168" spans="1:10">
      <c r="A168" s="485" t="s">
        <v>1167</v>
      </c>
      <c r="B168" s="476" t="s">
        <v>1233</v>
      </c>
      <c r="C168" s="477"/>
      <c r="D168" s="478" t="s">
        <v>590</v>
      </c>
      <c r="E168" s="479">
        <v>44422.67</v>
      </c>
      <c r="F168" s="479">
        <v>251</v>
      </c>
      <c r="G168" s="479">
        <v>125.5</v>
      </c>
      <c r="H168" s="480">
        <v>0</v>
      </c>
      <c r="I168" s="481">
        <v>0.08</v>
      </c>
      <c r="J168" s="481">
        <v>13.97</v>
      </c>
    </row>
    <row r="169" spans="1:10">
      <c r="A169" s="190"/>
      <c r="B169" s="191"/>
      <c r="C169" s="191"/>
      <c r="D169" s="192"/>
      <c r="E169" s="193"/>
      <c r="F169" s="194"/>
      <c r="G169" s="194"/>
      <c r="H169" s="195"/>
      <c r="I169" s="438"/>
      <c r="J169" s="438"/>
    </row>
    <row r="170" spans="1:10">
      <c r="I170" s="370"/>
      <c r="J170" s="370"/>
    </row>
    <row r="171" spans="1:10">
      <c r="A171" s="740" t="s">
        <v>634</v>
      </c>
      <c r="B171" s="741"/>
      <c r="I171" s="370"/>
      <c r="J171" s="370"/>
    </row>
    <row r="172" spans="1:10" ht="28.5">
      <c r="A172" s="170" t="s">
        <v>635</v>
      </c>
      <c r="B172" s="439">
        <v>254.02</v>
      </c>
      <c r="I172" s="370"/>
      <c r="J172" s="370"/>
    </row>
    <row r="173" spans="1:10" ht="42.75">
      <c r="A173" s="170" t="s">
        <v>636</v>
      </c>
      <c r="B173" s="439">
        <v>254.02</v>
      </c>
      <c r="I173" s="370"/>
      <c r="J173" s="370"/>
    </row>
    <row r="174" spans="1:10" ht="42.75">
      <c r="A174" s="170" t="s">
        <v>637</v>
      </c>
      <c r="B174" s="439">
        <v>726.79</v>
      </c>
    </row>
    <row r="175" spans="1:10" ht="28.5">
      <c r="A175" s="170" t="s">
        <v>638</v>
      </c>
      <c r="B175" s="489">
        <v>5.5555555555555552E-2</v>
      </c>
    </row>
    <row r="176" spans="1:10">
      <c r="A176" s="487"/>
      <c r="B176" s="490"/>
    </row>
    <row r="177" spans="1:10">
      <c r="A177" s="718" t="s">
        <v>639</v>
      </c>
      <c r="B177" s="719"/>
      <c r="C177" s="720"/>
      <c r="D177" s="166"/>
      <c r="E177" s="721" t="s">
        <v>430</v>
      </c>
      <c r="F177" s="721"/>
      <c r="G177" s="721"/>
      <c r="H177" s="722"/>
      <c r="I177" s="723" t="s">
        <v>429</v>
      </c>
      <c r="J177" s="724"/>
    </row>
    <row r="178" spans="1:10" ht="42.75">
      <c r="A178" s="168" t="s">
        <v>426</v>
      </c>
      <c r="B178" s="167" t="s">
        <v>557</v>
      </c>
      <c r="C178" s="168" t="s">
        <v>425</v>
      </c>
      <c r="D178" s="169" t="s">
        <v>556</v>
      </c>
      <c r="E178" s="169" t="s">
        <v>537</v>
      </c>
      <c r="F178" s="169" t="s">
        <v>512</v>
      </c>
      <c r="G178" s="169" t="s">
        <v>513</v>
      </c>
      <c r="H178" s="169" t="s">
        <v>514</v>
      </c>
      <c r="I178" s="169" t="s">
        <v>515</v>
      </c>
      <c r="J178" s="169" t="s">
        <v>516</v>
      </c>
    </row>
    <row r="179" spans="1:10">
      <c r="A179" s="161" t="s">
        <v>975</v>
      </c>
      <c r="B179" s="387" t="s">
        <v>1234</v>
      </c>
      <c r="C179" s="441"/>
      <c r="D179" s="470" t="s">
        <v>584</v>
      </c>
      <c r="E179" s="471">
        <v>28582.33</v>
      </c>
      <c r="F179" s="471">
        <v>251</v>
      </c>
      <c r="G179" s="471">
        <v>125.5</v>
      </c>
      <c r="H179" s="472">
        <v>0</v>
      </c>
      <c r="I179" s="437">
        <v>0.4</v>
      </c>
      <c r="J179" s="437">
        <v>53.76</v>
      </c>
    </row>
    <row r="180" spans="1:10">
      <c r="A180" s="733" t="s">
        <v>1171</v>
      </c>
      <c r="B180" s="476" t="s">
        <v>1235</v>
      </c>
      <c r="C180" s="477"/>
      <c r="D180" s="478" t="s">
        <v>590</v>
      </c>
      <c r="E180" s="479">
        <v>44297.17</v>
      </c>
      <c r="F180" s="479">
        <v>450</v>
      </c>
      <c r="G180" s="479">
        <v>225</v>
      </c>
      <c r="H180" s="480">
        <v>0</v>
      </c>
      <c r="I180" s="481">
        <v>0.04</v>
      </c>
      <c r="J180" s="481">
        <v>16.079999999999998</v>
      </c>
    </row>
    <row r="181" spans="1:10">
      <c r="A181" s="735"/>
      <c r="B181" s="476" t="s">
        <v>1236</v>
      </c>
      <c r="C181" s="477"/>
      <c r="D181" s="478" t="s">
        <v>582</v>
      </c>
      <c r="E181" s="479">
        <v>40628.86</v>
      </c>
      <c r="F181" s="479">
        <v>900</v>
      </c>
      <c r="G181" s="479">
        <v>450</v>
      </c>
      <c r="H181" s="480">
        <v>0</v>
      </c>
      <c r="I181" s="481">
        <v>0.01</v>
      </c>
      <c r="J181" s="481">
        <v>21.46</v>
      </c>
    </row>
    <row r="182" spans="1:10">
      <c r="A182" s="190"/>
      <c r="B182" s="191"/>
      <c r="C182" s="191"/>
      <c r="D182" s="192"/>
      <c r="E182" s="193"/>
      <c r="F182" s="194"/>
      <c r="G182" s="194"/>
      <c r="H182" s="195"/>
      <c r="I182" s="438"/>
      <c r="J182" s="438"/>
    </row>
    <row r="183" spans="1:10">
      <c r="I183" s="370"/>
      <c r="J183" s="370"/>
    </row>
    <row r="184" spans="1:10">
      <c r="A184" s="740" t="s">
        <v>640</v>
      </c>
      <c r="B184" s="741"/>
      <c r="I184" s="370"/>
      <c r="J184" s="370"/>
    </row>
    <row r="185" spans="1:10" ht="28.5">
      <c r="A185" s="170" t="s">
        <v>641</v>
      </c>
      <c r="B185" s="439">
        <v>232.21</v>
      </c>
      <c r="I185" s="370"/>
      <c r="J185" s="370"/>
    </row>
    <row r="186" spans="1:10" ht="42.75">
      <c r="A186" s="170" t="s">
        <v>642</v>
      </c>
      <c r="B186" s="439">
        <v>232.21</v>
      </c>
      <c r="I186" s="370"/>
      <c r="J186" s="370"/>
    </row>
    <row r="187" spans="1:10" ht="42.75">
      <c r="A187" s="170" t="s">
        <v>643</v>
      </c>
      <c r="B187" s="439">
        <v>732.1</v>
      </c>
    </row>
    <row r="188" spans="1:10" ht="28.5">
      <c r="A188" s="170" t="s">
        <v>644</v>
      </c>
      <c r="B188" s="489">
        <v>1.4583333333333332E-2</v>
      </c>
    </row>
    <row r="189" spans="1:10">
      <c r="A189" s="487"/>
      <c r="B189" s="490"/>
    </row>
    <row r="190" spans="1:10">
      <c r="A190" s="718" t="s">
        <v>645</v>
      </c>
      <c r="B190" s="719"/>
      <c r="C190" s="720"/>
      <c r="D190" s="166"/>
      <c r="E190" s="721" t="s">
        <v>430</v>
      </c>
      <c r="F190" s="721"/>
      <c r="G190" s="721"/>
      <c r="H190" s="722"/>
      <c r="I190" s="723" t="s">
        <v>429</v>
      </c>
      <c r="J190" s="724"/>
    </row>
    <row r="191" spans="1:10" ht="42.75">
      <c r="A191" s="168" t="s">
        <v>426</v>
      </c>
      <c r="B191" s="167" t="s">
        <v>557</v>
      </c>
      <c r="C191" s="168" t="s">
        <v>425</v>
      </c>
      <c r="D191" s="169" t="s">
        <v>556</v>
      </c>
      <c r="E191" s="169" t="s">
        <v>537</v>
      </c>
      <c r="F191" s="169" t="s">
        <v>512</v>
      </c>
      <c r="G191" s="169" t="s">
        <v>513</v>
      </c>
      <c r="H191" s="169" t="s">
        <v>514</v>
      </c>
      <c r="I191" s="169" t="s">
        <v>515</v>
      </c>
      <c r="J191" s="169" t="s">
        <v>516</v>
      </c>
    </row>
    <row r="192" spans="1:10">
      <c r="A192" s="161" t="s">
        <v>1162</v>
      </c>
      <c r="B192" s="387" t="s">
        <v>1237</v>
      </c>
      <c r="C192" s="441"/>
      <c r="D192" s="470" t="s">
        <v>584</v>
      </c>
      <c r="E192" s="471">
        <v>28456.83</v>
      </c>
      <c r="F192" s="471">
        <v>251</v>
      </c>
      <c r="G192" s="471">
        <v>125.5</v>
      </c>
      <c r="H192" s="472">
        <v>0</v>
      </c>
      <c r="I192" s="437">
        <v>0.28999999999999998</v>
      </c>
      <c r="J192" s="437">
        <v>80.36</v>
      </c>
    </row>
    <row r="193" spans="1:10">
      <c r="A193" s="485" t="s">
        <v>1166</v>
      </c>
      <c r="B193" s="476" t="s">
        <v>1238</v>
      </c>
      <c r="C193" s="477"/>
      <c r="D193" s="478" t="s">
        <v>590</v>
      </c>
      <c r="E193" s="479">
        <v>44072.17</v>
      </c>
      <c r="F193" s="479">
        <v>150</v>
      </c>
      <c r="G193" s="479">
        <v>75</v>
      </c>
      <c r="H193" s="480">
        <v>0</v>
      </c>
      <c r="I193" s="481">
        <v>0.05</v>
      </c>
      <c r="J193" s="481">
        <v>17.05</v>
      </c>
    </row>
    <row r="194" spans="1:10">
      <c r="A194" s="161" t="s">
        <v>987</v>
      </c>
      <c r="B194" s="387" t="s">
        <v>1239</v>
      </c>
      <c r="C194" s="441"/>
      <c r="D194" s="470" t="s">
        <v>582</v>
      </c>
      <c r="E194" s="471">
        <v>40178.86</v>
      </c>
      <c r="F194" s="471">
        <v>70</v>
      </c>
      <c r="G194" s="471">
        <v>35</v>
      </c>
      <c r="H194" s="472">
        <v>0</v>
      </c>
      <c r="I194" s="437">
        <v>0.17</v>
      </c>
      <c r="J194" s="437">
        <v>24.5</v>
      </c>
    </row>
    <row r="195" spans="1:10">
      <c r="A195" s="190"/>
      <c r="B195" s="191"/>
      <c r="C195" s="191"/>
      <c r="D195" s="192"/>
      <c r="E195" s="193"/>
      <c r="F195" s="194"/>
      <c r="G195" s="194"/>
      <c r="H195" s="195"/>
      <c r="I195" s="438"/>
      <c r="J195" s="438"/>
    </row>
    <row r="196" spans="1:10">
      <c r="I196" s="370"/>
      <c r="J196" s="370"/>
    </row>
    <row r="197" spans="1:10">
      <c r="A197" s="740" t="s">
        <v>646</v>
      </c>
      <c r="B197" s="741"/>
      <c r="I197" s="370"/>
      <c r="J197" s="370"/>
    </row>
    <row r="198" spans="1:10" ht="28.5">
      <c r="A198" s="170" t="s">
        <v>647</v>
      </c>
      <c r="B198" s="439">
        <v>226.9</v>
      </c>
      <c r="I198" s="370"/>
      <c r="J198" s="370"/>
    </row>
    <row r="199" spans="1:10" ht="42.75">
      <c r="A199" s="170" t="s">
        <v>648</v>
      </c>
      <c r="B199" s="439">
        <v>226.9</v>
      </c>
      <c r="I199" s="370"/>
      <c r="J199" s="370"/>
    </row>
    <row r="200" spans="1:10" ht="42.75">
      <c r="A200" s="170" t="s">
        <v>649</v>
      </c>
      <c r="B200" s="439">
        <v>732.1</v>
      </c>
    </row>
    <row r="201" spans="1:10" ht="28.5">
      <c r="A201" s="170" t="s">
        <v>650</v>
      </c>
      <c r="B201" s="489">
        <v>1.6666666666666666E-2</v>
      </c>
    </row>
    <row r="202" spans="1:10">
      <c r="A202" s="487"/>
      <c r="B202" s="490"/>
    </row>
    <row r="203" spans="1:10">
      <c r="A203" s="718" t="s">
        <v>651</v>
      </c>
      <c r="B203" s="719"/>
      <c r="C203" s="720"/>
      <c r="D203" s="166"/>
      <c r="E203" s="721" t="s">
        <v>430</v>
      </c>
      <c r="F203" s="721"/>
      <c r="G203" s="721"/>
      <c r="H203" s="722"/>
      <c r="I203" s="723" t="s">
        <v>429</v>
      </c>
      <c r="J203" s="724"/>
    </row>
    <row r="204" spans="1:10" ht="42.75">
      <c r="A204" s="168" t="s">
        <v>426</v>
      </c>
      <c r="B204" s="167" t="s">
        <v>557</v>
      </c>
      <c r="C204" s="168" t="s">
        <v>425</v>
      </c>
      <c r="D204" s="169" t="s">
        <v>556</v>
      </c>
      <c r="E204" s="169" t="s">
        <v>537</v>
      </c>
      <c r="F204" s="169" t="s">
        <v>512</v>
      </c>
      <c r="G204" s="169" t="s">
        <v>513</v>
      </c>
      <c r="H204" s="169" t="s">
        <v>514</v>
      </c>
      <c r="I204" s="169" t="s">
        <v>515</v>
      </c>
      <c r="J204" s="169" t="s">
        <v>516</v>
      </c>
    </row>
    <row r="205" spans="1:10">
      <c r="A205" s="742" t="s">
        <v>975</v>
      </c>
      <c r="B205" s="746" t="s">
        <v>1240</v>
      </c>
      <c r="C205" s="748" t="s">
        <v>581</v>
      </c>
      <c r="D205" s="473" t="s">
        <v>578</v>
      </c>
      <c r="E205" s="474">
        <v>64.260000000000005</v>
      </c>
      <c r="F205" s="474">
        <v>190</v>
      </c>
      <c r="G205" s="474">
        <v>95</v>
      </c>
      <c r="H205" s="475">
        <v>125.74</v>
      </c>
      <c r="I205" s="750">
        <v>0.22</v>
      </c>
      <c r="J205" s="750">
        <v>103.08</v>
      </c>
    </row>
    <row r="206" spans="1:10">
      <c r="A206" s="743"/>
      <c r="B206" s="747"/>
      <c r="C206" s="749"/>
      <c r="D206" s="470" t="s">
        <v>584</v>
      </c>
      <c r="E206" s="471">
        <v>28331.33</v>
      </c>
      <c r="F206" s="471">
        <v>190</v>
      </c>
      <c r="G206" s="471">
        <v>95</v>
      </c>
      <c r="H206" s="472">
        <v>0</v>
      </c>
      <c r="I206" s="751"/>
      <c r="J206" s="751"/>
    </row>
    <row r="207" spans="1:10">
      <c r="A207" s="485" t="s">
        <v>1167</v>
      </c>
      <c r="B207" s="476" t="s">
        <v>1241</v>
      </c>
      <c r="C207" s="477"/>
      <c r="D207" s="478" t="s">
        <v>590</v>
      </c>
      <c r="E207" s="479">
        <v>43997.17</v>
      </c>
      <c r="F207" s="479">
        <v>251</v>
      </c>
      <c r="G207" s="479">
        <v>125.5</v>
      </c>
      <c r="H207" s="480">
        <v>0</v>
      </c>
      <c r="I207" s="481">
        <v>0.21</v>
      </c>
      <c r="J207" s="481">
        <v>19.37</v>
      </c>
    </row>
    <row r="208" spans="1:10">
      <c r="A208" s="161" t="s">
        <v>1168</v>
      </c>
      <c r="B208" s="387" t="s">
        <v>1242</v>
      </c>
      <c r="C208" s="441"/>
      <c r="D208" s="470" t="s">
        <v>582</v>
      </c>
      <c r="E208" s="471">
        <v>40143.86</v>
      </c>
      <c r="F208" s="471">
        <v>450</v>
      </c>
      <c r="G208" s="471">
        <v>225</v>
      </c>
      <c r="H208" s="472">
        <v>0</v>
      </c>
      <c r="I208" s="437">
        <v>0.13</v>
      </c>
      <c r="J208" s="437">
        <v>26.48</v>
      </c>
    </row>
    <row r="209" spans="1:10">
      <c r="A209" s="190"/>
      <c r="B209" s="191"/>
      <c r="C209" s="191"/>
      <c r="D209" s="192"/>
      <c r="E209" s="193"/>
      <c r="F209" s="194"/>
      <c r="G209" s="194"/>
      <c r="H209" s="195"/>
      <c r="I209" s="438"/>
      <c r="J209" s="438"/>
    </row>
    <row r="210" spans="1:10">
      <c r="I210" s="370"/>
      <c r="J210" s="370"/>
    </row>
    <row r="211" spans="1:10">
      <c r="A211" s="740" t="s">
        <v>652</v>
      </c>
      <c r="B211" s="741"/>
      <c r="I211" s="370"/>
      <c r="J211" s="370"/>
    </row>
    <row r="212" spans="1:10" ht="28.5">
      <c r="A212" s="170" t="s">
        <v>653</v>
      </c>
      <c r="B212" s="439">
        <v>226.9</v>
      </c>
      <c r="I212" s="370"/>
      <c r="J212" s="370"/>
    </row>
    <row r="213" spans="1:10" ht="42.75">
      <c r="A213" s="170" t="s">
        <v>654</v>
      </c>
      <c r="B213" s="439">
        <v>226.9</v>
      </c>
      <c r="I213" s="370"/>
      <c r="J213" s="370"/>
    </row>
    <row r="214" spans="1:10" ht="42.75">
      <c r="A214" s="170" t="s">
        <v>655</v>
      </c>
      <c r="B214" s="439">
        <v>732.1</v>
      </c>
    </row>
    <row r="215" spans="1:10" ht="28.5">
      <c r="A215" s="170" t="s">
        <v>656</v>
      </c>
      <c r="B215" s="489">
        <v>2.7083333333333334E-2</v>
      </c>
    </row>
    <row r="216" spans="1:10">
      <c r="A216" s="487"/>
      <c r="B216" s="490"/>
    </row>
    <row r="217" spans="1:10">
      <c r="A217" s="718" t="s">
        <v>657</v>
      </c>
      <c r="B217" s="719"/>
      <c r="C217" s="720"/>
      <c r="D217" s="166"/>
      <c r="E217" s="721" t="s">
        <v>430</v>
      </c>
      <c r="F217" s="721"/>
      <c r="G217" s="721"/>
      <c r="H217" s="722"/>
      <c r="I217" s="723" t="s">
        <v>429</v>
      </c>
      <c r="J217" s="724"/>
    </row>
    <row r="218" spans="1:10" ht="42.75">
      <c r="A218" s="168" t="s">
        <v>426</v>
      </c>
      <c r="B218" s="167" t="s">
        <v>557</v>
      </c>
      <c r="C218" s="168" t="s">
        <v>425</v>
      </c>
      <c r="D218" s="169" t="s">
        <v>556</v>
      </c>
      <c r="E218" s="169" t="s">
        <v>537</v>
      </c>
      <c r="F218" s="169" t="s">
        <v>512</v>
      </c>
      <c r="G218" s="169" t="s">
        <v>513</v>
      </c>
      <c r="H218" s="169" t="s">
        <v>514</v>
      </c>
      <c r="I218" s="169" t="s">
        <v>515</v>
      </c>
      <c r="J218" s="169" t="s">
        <v>516</v>
      </c>
    </row>
    <row r="219" spans="1:10">
      <c r="A219" s="161" t="s">
        <v>1163</v>
      </c>
      <c r="B219" s="387" t="s">
        <v>1243</v>
      </c>
      <c r="C219" s="441"/>
      <c r="D219" s="470" t="s">
        <v>584</v>
      </c>
      <c r="E219" s="471">
        <v>28236.33</v>
      </c>
      <c r="F219" s="471">
        <v>2474</v>
      </c>
      <c r="G219" s="471">
        <v>1237</v>
      </c>
      <c r="H219" s="472">
        <v>0</v>
      </c>
      <c r="I219" s="437">
        <v>2.08</v>
      </c>
      <c r="J219" s="437">
        <v>627.87</v>
      </c>
    </row>
    <row r="220" spans="1:10">
      <c r="A220" s="485" t="s">
        <v>1166</v>
      </c>
      <c r="B220" s="476" t="s">
        <v>1244</v>
      </c>
      <c r="C220" s="477"/>
      <c r="D220" s="478" t="s">
        <v>590</v>
      </c>
      <c r="E220" s="479">
        <v>43871.67</v>
      </c>
      <c r="F220" s="479">
        <v>200</v>
      </c>
      <c r="G220" s="479">
        <v>100</v>
      </c>
      <c r="H220" s="480">
        <v>0</v>
      </c>
      <c r="I220" s="481">
        <v>7.0000000000000007E-2</v>
      </c>
      <c r="J220" s="481">
        <v>23.46</v>
      </c>
    </row>
    <row r="221" spans="1:10">
      <c r="A221" s="161" t="s">
        <v>987</v>
      </c>
      <c r="B221" s="387" t="s">
        <v>1245</v>
      </c>
      <c r="C221" s="441"/>
      <c r="D221" s="470" t="s">
        <v>582</v>
      </c>
      <c r="E221" s="471">
        <v>39918.86</v>
      </c>
      <c r="F221" s="471">
        <v>450</v>
      </c>
      <c r="G221" s="471">
        <v>225</v>
      </c>
      <c r="H221" s="472">
        <v>0</v>
      </c>
      <c r="I221" s="437">
        <v>0.17</v>
      </c>
      <c r="J221" s="437">
        <v>29.67</v>
      </c>
    </row>
    <row r="222" spans="1:10">
      <c r="A222" s="190"/>
      <c r="B222" s="191"/>
      <c r="C222" s="191"/>
      <c r="D222" s="192"/>
      <c r="E222" s="193"/>
      <c r="F222" s="194"/>
      <c r="G222" s="194"/>
      <c r="H222" s="195"/>
      <c r="I222" s="438"/>
      <c r="J222" s="438"/>
    </row>
    <row r="223" spans="1:10">
      <c r="I223" s="370"/>
      <c r="J223" s="370"/>
    </row>
    <row r="224" spans="1:10">
      <c r="A224" s="740" t="s">
        <v>658</v>
      </c>
      <c r="B224" s="741"/>
      <c r="I224" s="370"/>
      <c r="J224" s="370"/>
    </row>
    <row r="225" spans="1:10" ht="28.5">
      <c r="A225" s="170" t="s">
        <v>659</v>
      </c>
      <c r="B225" s="439">
        <v>226.9</v>
      </c>
      <c r="I225" s="370"/>
      <c r="J225" s="370"/>
    </row>
    <row r="226" spans="1:10" ht="42.75">
      <c r="A226" s="170" t="s">
        <v>660</v>
      </c>
      <c r="B226" s="439">
        <v>226.9</v>
      </c>
      <c r="I226" s="370"/>
      <c r="J226" s="370"/>
    </row>
    <row r="227" spans="1:10" ht="42.75">
      <c r="A227" s="170" t="s">
        <v>661</v>
      </c>
      <c r="B227" s="439">
        <v>898.85</v>
      </c>
    </row>
    <row r="228" spans="1:10" ht="28.5">
      <c r="A228" s="170" t="s">
        <v>662</v>
      </c>
      <c r="B228" s="489">
        <v>7.4305555555555555E-2</v>
      </c>
    </row>
    <row r="229" spans="1:10">
      <c r="A229" s="487"/>
      <c r="B229" s="490"/>
    </row>
    <row r="230" spans="1:10">
      <c r="A230" s="718" t="s">
        <v>663</v>
      </c>
      <c r="B230" s="719"/>
      <c r="C230" s="720"/>
      <c r="D230" s="166"/>
      <c r="E230" s="721" t="s">
        <v>430</v>
      </c>
      <c r="F230" s="721"/>
      <c r="G230" s="721"/>
      <c r="H230" s="722"/>
      <c r="I230" s="723" t="s">
        <v>429</v>
      </c>
      <c r="J230" s="724"/>
    </row>
    <row r="231" spans="1:10" ht="42.75">
      <c r="A231" s="168" t="s">
        <v>426</v>
      </c>
      <c r="B231" s="167" t="s">
        <v>557</v>
      </c>
      <c r="C231" s="168" t="s">
        <v>425</v>
      </c>
      <c r="D231" s="169" t="s">
        <v>556</v>
      </c>
      <c r="E231" s="169" t="s">
        <v>537</v>
      </c>
      <c r="F231" s="169" t="s">
        <v>512</v>
      </c>
      <c r="G231" s="169" t="s">
        <v>513</v>
      </c>
      <c r="H231" s="169" t="s">
        <v>514</v>
      </c>
      <c r="I231" s="169" t="s">
        <v>515</v>
      </c>
      <c r="J231" s="169" t="s">
        <v>516</v>
      </c>
    </row>
    <row r="232" spans="1:10">
      <c r="A232" s="161" t="s">
        <v>1166</v>
      </c>
      <c r="B232" s="387" t="s">
        <v>1246</v>
      </c>
      <c r="C232" s="441"/>
      <c r="D232" s="470" t="s">
        <v>590</v>
      </c>
      <c r="E232" s="471">
        <v>43771.67</v>
      </c>
      <c r="F232" s="471">
        <v>200</v>
      </c>
      <c r="G232" s="471">
        <v>100</v>
      </c>
      <c r="H232" s="472">
        <v>0</v>
      </c>
      <c r="I232" s="437">
        <v>7.0000000000000007E-2</v>
      </c>
      <c r="J232" s="437">
        <v>24.89</v>
      </c>
    </row>
    <row r="233" spans="1:10">
      <c r="A233" s="485" t="s">
        <v>1167</v>
      </c>
      <c r="B233" s="476" t="s">
        <v>1247</v>
      </c>
      <c r="C233" s="477"/>
      <c r="D233" s="478" t="s">
        <v>582</v>
      </c>
      <c r="E233" s="479">
        <v>39693.86</v>
      </c>
      <c r="F233" s="479">
        <v>1451</v>
      </c>
      <c r="G233" s="479">
        <v>725.5</v>
      </c>
      <c r="H233" s="480">
        <v>0</v>
      </c>
      <c r="I233" s="481">
        <v>0.25</v>
      </c>
      <c r="J233" s="481">
        <v>32.17</v>
      </c>
    </row>
    <row r="234" spans="1:10">
      <c r="A234" s="190"/>
      <c r="B234" s="191"/>
      <c r="C234" s="191"/>
      <c r="D234" s="192"/>
      <c r="E234" s="193"/>
      <c r="F234" s="194"/>
      <c r="G234" s="194"/>
      <c r="H234" s="195"/>
      <c r="I234" s="438"/>
      <c r="J234" s="438"/>
    </row>
    <row r="235" spans="1:10">
      <c r="I235" s="370"/>
      <c r="J235" s="370"/>
    </row>
    <row r="236" spans="1:10">
      <c r="A236" s="740" t="s">
        <v>664</v>
      </c>
      <c r="B236" s="741"/>
      <c r="I236" s="370"/>
      <c r="J236" s="370"/>
    </row>
    <row r="237" spans="1:10" ht="28.5">
      <c r="A237" s="170" t="s">
        <v>665</v>
      </c>
      <c r="B237" s="439">
        <v>60.15</v>
      </c>
      <c r="I237" s="370"/>
      <c r="J237" s="370"/>
    </row>
    <row r="238" spans="1:10" ht="42.75">
      <c r="A238" s="170" t="s">
        <v>666</v>
      </c>
      <c r="B238" s="439">
        <v>60.15</v>
      </c>
      <c r="I238" s="370"/>
      <c r="J238" s="370"/>
    </row>
    <row r="239" spans="1:10" ht="42.75">
      <c r="A239" s="170" t="s">
        <v>667</v>
      </c>
      <c r="B239" s="439">
        <v>904.15</v>
      </c>
    </row>
    <row r="240" spans="1:10" ht="28.5">
      <c r="A240" s="170" t="s">
        <v>668</v>
      </c>
      <c r="B240" s="489">
        <v>0.19652777777777777</v>
      </c>
    </row>
    <row r="241" spans="1:10">
      <c r="A241" s="487"/>
      <c r="B241" s="490"/>
    </row>
    <row r="242" spans="1:10">
      <c r="A242" s="718" t="s">
        <v>669</v>
      </c>
      <c r="B242" s="719"/>
      <c r="C242" s="720"/>
      <c r="D242" s="166"/>
      <c r="E242" s="721" t="s">
        <v>430</v>
      </c>
      <c r="F242" s="721"/>
      <c r="G242" s="721"/>
      <c r="H242" s="722"/>
      <c r="I242" s="723" t="s">
        <v>429</v>
      </c>
      <c r="J242" s="724"/>
    </row>
    <row r="243" spans="1:10" ht="42.75">
      <c r="A243" s="168" t="s">
        <v>426</v>
      </c>
      <c r="B243" s="167" t="s">
        <v>557</v>
      </c>
      <c r="C243" s="168" t="s">
        <v>425</v>
      </c>
      <c r="D243" s="169" t="s">
        <v>556</v>
      </c>
      <c r="E243" s="169" t="s">
        <v>537</v>
      </c>
      <c r="F243" s="169" t="s">
        <v>512</v>
      </c>
      <c r="G243" s="169" t="s">
        <v>513</v>
      </c>
      <c r="H243" s="169" t="s">
        <v>514</v>
      </c>
      <c r="I243" s="169" t="s">
        <v>515</v>
      </c>
      <c r="J243" s="169" t="s">
        <v>516</v>
      </c>
    </row>
    <row r="244" spans="1:10">
      <c r="A244" s="161" t="s">
        <v>1171</v>
      </c>
      <c r="B244" s="387" t="s">
        <v>1248</v>
      </c>
      <c r="C244" s="441"/>
      <c r="D244" s="470" t="s">
        <v>590</v>
      </c>
      <c r="E244" s="471">
        <v>43671.67</v>
      </c>
      <c r="F244" s="471">
        <v>200</v>
      </c>
      <c r="G244" s="471">
        <v>100</v>
      </c>
      <c r="H244" s="472">
        <v>0</v>
      </c>
      <c r="I244" s="437">
        <v>0.08</v>
      </c>
      <c r="J244" s="437">
        <v>27.8</v>
      </c>
    </row>
    <row r="245" spans="1:10">
      <c r="A245" s="733" t="s">
        <v>987</v>
      </c>
      <c r="B245" s="736" t="s">
        <v>1249</v>
      </c>
      <c r="C245" s="738" t="s">
        <v>581</v>
      </c>
      <c r="D245" s="482" t="s">
        <v>579</v>
      </c>
      <c r="E245" s="483">
        <v>29.62</v>
      </c>
      <c r="F245" s="483">
        <v>200</v>
      </c>
      <c r="G245" s="483">
        <v>100</v>
      </c>
      <c r="H245" s="484">
        <v>170.38</v>
      </c>
      <c r="I245" s="730">
        <v>7.0000000000000007E-2</v>
      </c>
      <c r="J245" s="730">
        <v>40.74</v>
      </c>
    </row>
    <row r="246" spans="1:10">
      <c r="A246" s="735"/>
      <c r="B246" s="737"/>
      <c r="C246" s="739"/>
      <c r="D246" s="478" t="s">
        <v>582</v>
      </c>
      <c r="E246" s="479">
        <v>38968.36</v>
      </c>
      <c r="F246" s="479">
        <v>200</v>
      </c>
      <c r="G246" s="479">
        <v>100</v>
      </c>
      <c r="H246" s="480">
        <v>0</v>
      </c>
      <c r="I246" s="732"/>
      <c r="J246" s="732"/>
    </row>
    <row r="247" spans="1:10">
      <c r="A247" s="190"/>
      <c r="B247" s="191"/>
      <c r="C247" s="191"/>
      <c r="D247" s="192"/>
      <c r="E247" s="193"/>
      <c r="F247" s="194"/>
      <c r="G247" s="194"/>
      <c r="H247" s="195"/>
      <c r="I247" s="438"/>
      <c r="J247" s="438"/>
    </row>
    <row r="248" spans="1:10">
      <c r="I248" s="370"/>
      <c r="J248" s="370"/>
    </row>
    <row r="249" spans="1:10">
      <c r="A249" s="740" t="s">
        <v>670</v>
      </c>
      <c r="B249" s="741"/>
      <c r="I249" s="370"/>
      <c r="J249" s="370"/>
    </row>
    <row r="250" spans="1:10" ht="28.5">
      <c r="A250" s="170" t="s">
        <v>671</v>
      </c>
      <c r="B250" s="439">
        <v>54.85</v>
      </c>
      <c r="I250" s="370"/>
      <c r="J250" s="370"/>
    </row>
    <row r="251" spans="1:10" ht="42.75">
      <c r="A251" s="170" t="s">
        <v>672</v>
      </c>
      <c r="B251" s="439">
        <v>54.85</v>
      </c>
      <c r="I251" s="370"/>
      <c r="J251" s="370"/>
    </row>
    <row r="252" spans="1:10" ht="42.75">
      <c r="A252" s="170" t="s">
        <v>673</v>
      </c>
      <c r="B252" s="439">
        <v>904.15</v>
      </c>
    </row>
    <row r="253" spans="1:10" ht="28.5">
      <c r="A253" s="170" t="s">
        <v>674</v>
      </c>
      <c r="B253" s="489">
        <v>2.4305555555555556E-2</v>
      </c>
    </row>
    <row r="254" spans="1:10">
      <c r="A254" s="487"/>
      <c r="B254" s="490"/>
    </row>
    <row r="255" spans="1:10">
      <c r="A255" s="718" t="s">
        <v>675</v>
      </c>
      <c r="B255" s="719"/>
      <c r="C255" s="720"/>
      <c r="D255" s="166"/>
      <c r="E255" s="721" t="s">
        <v>430</v>
      </c>
      <c r="F255" s="721"/>
      <c r="G255" s="721"/>
      <c r="H255" s="722"/>
      <c r="I255" s="723" t="s">
        <v>429</v>
      </c>
      <c r="J255" s="724"/>
    </row>
    <row r="256" spans="1:10" ht="42.75">
      <c r="A256" s="168" t="s">
        <v>426</v>
      </c>
      <c r="B256" s="167" t="s">
        <v>557</v>
      </c>
      <c r="C256" s="168" t="s">
        <v>425</v>
      </c>
      <c r="D256" s="169" t="s">
        <v>556</v>
      </c>
      <c r="E256" s="169" t="s">
        <v>537</v>
      </c>
      <c r="F256" s="169" t="s">
        <v>512</v>
      </c>
      <c r="G256" s="169" t="s">
        <v>513</v>
      </c>
      <c r="H256" s="169" t="s">
        <v>514</v>
      </c>
      <c r="I256" s="169" t="s">
        <v>515</v>
      </c>
      <c r="J256" s="169" t="s">
        <v>516</v>
      </c>
    </row>
    <row r="257" spans="1:10">
      <c r="A257" s="742" t="s">
        <v>984</v>
      </c>
      <c r="B257" s="746" t="s">
        <v>1250</v>
      </c>
      <c r="C257" s="748" t="s">
        <v>581</v>
      </c>
      <c r="D257" s="473" t="s">
        <v>579</v>
      </c>
      <c r="E257" s="474">
        <v>31.76</v>
      </c>
      <c r="F257" s="474">
        <v>2949</v>
      </c>
      <c r="G257" s="474">
        <v>1474.5</v>
      </c>
      <c r="H257" s="475">
        <v>2917.24</v>
      </c>
      <c r="I257" s="750">
        <v>4.5199999999999996</v>
      </c>
      <c r="J257" s="750">
        <v>349.13</v>
      </c>
    </row>
    <row r="258" spans="1:10">
      <c r="A258" s="743"/>
      <c r="B258" s="747"/>
      <c r="C258" s="749"/>
      <c r="D258" s="470" t="s">
        <v>582</v>
      </c>
      <c r="E258" s="471">
        <v>38868.36</v>
      </c>
      <c r="F258" s="471">
        <v>2949</v>
      </c>
      <c r="G258" s="471">
        <v>1474.5</v>
      </c>
      <c r="H258" s="472">
        <v>0</v>
      </c>
      <c r="I258" s="751"/>
      <c r="J258" s="751"/>
    </row>
    <row r="259" spans="1:10">
      <c r="A259" s="485" t="s">
        <v>1168</v>
      </c>
      <c r="B259" s="476" t="s">
        <v>1251</v>
      </c>
      <c r="C259" s="477"/>
      <c r="D259" s="478" t="s">
        <v>590</v>
      </c>
      <c r="E259" s="479">
        <v>43571.67</v>
      </c>
      <c r="F259" s="479">
        <v>251</v>
      </c>
      <c r="G259" s="479">
        <v>125.5</v>
      </c>
      <c r="H259" s="480">
        <v>0</v>
      </c>
      <c r="I259" s="481">
        <v>0.24</v>
      </c>
      <c r="J259" s="481">
        <v>34.67</v>
      </c>
    </row>
    <row r="260" spans="1:10">
      <c r="A260" s="190"/>
      <c r="B260" s="191"/>
      <c r="C260" s="191"/>
      <c r="D260" s="192"/>
      <c r="E260" s="193"/>
      <c r="F260" s="194"/>
      <c r="G260" s="194"/>
      <c r="H260" s="195"/>
      <c r="I260" s="438"/>
      <c r="J260" s="438"/>
    </row>
    <row r="261" spans="1:10">
      <c r="I261" s="370"/>
      <c r="J261" s="370"/>
    </row>
    <row r="262" spans="1:10">
      <c r="A262" s="740" t="s">
        <v>676</v>
      </c>
      <c r="B262" s="741"/>
      <c r="I262" s="370"/>
      <c r="J262" s="370"/>
    </row>
    <row r="263" spans="1:10" ht="28.5">
      <c r="A263" s="170" t="s">
        <v>677</v>
      </c>
      <c r="B263" s="439">
        <v>54.85</v>
      </c>
      <c r="I263" s="370"/>
      <c r="J263" s="370"/>
    </row>
    <row r="264" spans="1:10" ht="42.75">
      <c r="A264" s="170" t="s">
        <v>678</v>
      </c>
      <c r="B264" s="439">
        <v>54.85</v>
      </c>
      <c r="I264" s="370"/>
      <c r="J264" s="370"/>
    </row>
    <row r="265" spans="1:10" ht="42.75">
      <c r="A265" s="170" t="s">
        <v>679</v>
      </c>
      <c r="B265" s="439">
        <v>904.15</v>
      </c>
    </row>
    <row r="266" spans="1:10" ht="28.5">
      <c r="A266" s="170" t="s">
        <v>680</v>
      </c>
      <c r="B266" s="489">
        <v>0.64861111111111114</v>
      </c>
    </row>
    <row r="267" spans="1:10">
      <c r="A267" s="487"/>
      <c r="B267" s="490"/>
    </row>
    <row r="268" spans="1:10">
      <c r="A268" s="718" t="s">
        <v>681</v>
      </c>
      <c r="B268" s="719"/>
      <c r="C268" s="720"/>
      <c r="D268" s="166"/>
      <c r="E268" s="721" t="s">
        <v>430</v>
      </c>
      <c r="F268" s="721"/>
      <c r="G268" s="721"/>
      <c r="H268" s="722"/>
      <c r="I268" s="723" t="s">
        <v>429</v>
      </c>
      <c r="J268" s="724"/>
    </row>
    <row r="269" spans="1:10" ht="42.75">
      <c r="A269" s="168" t="s">
        <v>426</v>
      </c>
      <c r="B269" s="167" t="s">
        <v>557</v>
      </c>
      <c r="C269" s="168" t="s">
        <v>425</v>
      </c>
      <c r="D269" s="169" t="s">
        <v>556</v>
      </c>
      <c r="E269" s="169" t="s">
        <v>537</v>
      </c>
      <c r="F269" s="169" t="s">
        <v>512</v>
      </c>
      <c r="G269" s="169" t="s">
        <v>513</v>
      </c>
      <c r="H269" s="169" t="s">
        <v>514</v>
      </c>
      <c r="I269" s="169" t="s">
        <v>515</v>
      </c>
      <c r="J269" s="169" t="s">
        <v>516</v>
      </c>
    </row>
    <row r="270" spans="1:10">
      <c r="A270" s="161" t="s">
        <v>1167</v>
      </c>
      <c r="B270" s="387" t="s">
        <v>1252</v>
      </c>
      <c r="C270" s="441"/>
      <c r="D270" s="470" t="s">
        <v>590</v>
      </c>
      <c r="E270" s="471">
        <v>43446.17</v>
      </c>
      <c r="F270" s="471">
        <v>300</v>
      </c>
      <c r="G270" s="471">
        <v>150</v>
      </c>
      <c r="H270" s="472">
        <v>0</v>
      </c>
      <c r="I270" s="437">
        <v>0.14000000000000001</v>
      </c>
      <c r="J270" s="437">
        <v>34.78</v>
      </c>
    </row>
    <row r="271" spans="1:10">
      <c r="A271" s="190"/>
      <c r="B271" s="191"/>
      <c r="C271" s="191"/>
      <c r="D271" s="192"/>
      <c r="E271" s="193"/>
      <c r="F271" s="194"/>
      <c r="G271" s="194"/>
      <c r="H271" s="195"/>
      <c r="I271" s="438"/>
      <c r="J271" s="438"/>
    </row>
    <row r="272" spans="1:10">
      <c r="I272" s="370"/>
      <c r="J272" s="370"/>
    </row>
    <row r="273" spans="1:10">
      <c r="A273" s="740" t="s">
        <v>682</v>
      </c>
      <c r="B273" s="741"/>
      <c r="I273" s="370"/>
      <c r="J273" s="370"/>
    </row>
    <row r="274" spans="1:10" ht="28.5">
      <c r="A274" s="170" t="s">
        <v>683</v>
      </c>
      <c r="B274" s="439">
        <v>54.85</v>
      </c>
      <c r="I274" s="370"/>
      <c r="J274" s="370"/>
    </row>
    <row r="275" spans="1:10" ht="42.75">
      <c r="A275" s="170" t="s">
        <v>684</v>
      </c>
      <c r="B275" s="439">
        <v>54.85</v>
      </c>
      <c r="I275" s="370"/>
      <c r="J275" s="370"/>
    </row>
    <row r="276" spans="1:10" ht="42.75">
      <c r="A276" s="170" t="s">
        <v>685</v>
      </c>
      <c r="B276" s="439">
        <v>904.15</v>
      </c>
    </row>
    <row r="277" spans="1:10" ht="28.5">
      <c r="A277" s="170" t="s">
        <v>686</v>
      </c>
      <c r="B277" s="489">
        <v>3.7499999999999999E-2</v>
      </c>
    </row>
    <row r="278" spans="1:10">
      <c r="A278" s="487"/>
      <c r="B278" s="490"/>
    </row>
    <row r="279" spans="1:10">
      <c r="A279" s="718" t="s">
        <v>687</v>
      </c>
      <c r="B279" s="719"/>
      <c r="C279" s="720"/>
      <c r="D279" s="166"/>
      <c r="E279" s="721" t="s">
        <v>430</v>
      </c>
      <c r="F279" s="721"/>
      <c r="G279" s="721"/>
      <c r="H279" s="722"/>
      <c r="I279" s="723" t="s">
        <v>429</v>
      </c>
      <c r="J279" s="724"/>
    </row>
    <row r="280" spans="1:10" ht="42.75">
      <c r="A280" s="168" t="s">
        <v>426</v>
      </c>
      <c r="B280" s="167" t="s">
        <v>557</v>
      </c>
      <c r="C280" s="168" t="s">
        <v>425</v>
      </c>
      <c r="D280" s="169" t="s">
        <v>556</v>
      </c>
      <c r="E280" s="169" t="s">
        <v>537</v>
      </c>
      <c r="F280" s="169" t="s">
        <v>512</v>
      </c>
      <c r="G280" s="169" t="s">
        <v>513</v>
      </c>
      <c r="H280" s="169" t="s">
        <v>514</v>
      </c>
      <c r="I280" s="169" t="s">
        <v>515</v>
      </c>
      <c r="J280" s="169" t="s">
        <v>516</v>
      </c>
    </row>
    <row r="281" spans="1:10">
      <c r="A281" s="742" t="s">
        <v>986</v>
      </c>
      <c r="B281" s="746" t="s">
        <v>1253</v>
      </c>
      <c r="C281" s="748" t="s">
        <v>581</v>
      </c>
      <c r="D281" s="470" t="s">
        <v>590</v>
      </c>
      <c r="E281" s="471">
        <v>43296.17</v>
      </c>
      <c r="F281" s="471">
        <v>1781</v>
      </c>
      <c r="G281" s="471">
        <v>890.5</v>
      </c>
      <c r="H281" s="472">
        <v>0</v>
      </c>
      <c r="I281" s="750">
        <v>0.28000000000000003</v>
      </c>
      <c r="J281" s="750">
        <v>62.32</v>
      </c>
    </row>
    <row r="282" spans="1:10">
      <c r="A282" s="743"/>
      <c r="B282" s="747"/>
      <c r="C282" s="749"/>
      <c r="D282" s="473" t="s">
        <v>579</v>
      </c>
      <c r="E282" s="474">
        <v>32.950000000000003</v>
      </c>
      <c r="F282" s="474">
        <v>1781</v>
      </c>
      <c r="G282" s="474">
        <v>890.5</v>
      </c>
      <c r="H282" s="475">
        <v>1748.05</v>
      </c>
      <c r="I282" s="751"/>
      <c r="J282" s="751"/>
    </row>
    <row r="283" spans="1:10">
      <c r="A283" s="190"/>
      <c r="B283" s="191"/>
      <c r="C283" s="191"/>
      <c r="D283" s="192"/>
      <c r="E283" s="193"/>
      <c r="F283" s="194"/>
      <c r="G283" s="194"/>
      <c r="H283" s="195"/>
      <c r="I283" s="438"/>
      <c r="J283" s="438"/>
    </row>
    <row r="284" spans="1:10">
      <c r="I284" s="370"/>
      <c r="J284" s="370"/>
    </row>
    <row r="285" spans="1:10">
      <c r="A285" s="740" t="s">
        <v>688</v>
      </c>
      <c r="B285" s="741"/>
      <c r="I285" s="370"/>
      <c r="J285" s="370"/>
    </row>
    <row r="286" spans="1:10" ht="28.5">
      <c r="A286" s="170" t="s">
        <v>689</v>
      </c>
      <c r="B286" s="439">
        <v>54.85</v>
      </c>
      <c r="I286" s="370"/>
      <c r="J286" s="370"/>
    </row>
    <row r="287" spans="1:10" ht="42.75">
      <c r="A287" s="170" t="s">
        <v>690</v>
      </c>
      <c r="B287" s="439">
        <v>54.85</v>
      </c>
      <c r="I287" s="370"/>
      <c r="J287" s="370"/>
    </row>
    <row r="288" spans="1:10" ht="42.75">
      <c r="A288" s="170" t="s">
        <v>691</v>
      </c>
      <c r="B288" s="439">
        <v>904.15</v>
      </c>
    </row>
    <row r="289" spans="1:10" ht="28.5">
      <c r="A289" s="170" t="s">
        <v>692</v>
      </c>
      <c r="B289" s="489">
        <v>0.15208333333333332</v>
      </c>
    </row>
    <row r="290" spans="1:10">
      <c r="A290" s="487"/>
      <c r="B290" s="490"/>
    </row>
    <row r="291" spans="1:10">
      <c r="A291" s="718" t="s">
        <v>693</v>
      </c>
      <c r="B291" s="719"/>
      <c r="C291" s="720"/>
      <c r="D291" s="166"/>
      <c r="E291" s="721" t="s">
        <v>430</v>
      </c>
      <c r="F291" s="721"/>
      <c r="G291" s="721"/>
      <c r="H291" s="722"/>
      <c r="I291" s="723" t="s">
        <v>429</v>
      </c>
      <c r="J291" s="724"/>
    </row>
    <row r="292" spans="1:10" ht="42.75">
      <c r="A292" s="168" t="s">
        <v>426</v>
      </c>
      <c r="B292" s="167" t="s">
        <v>557</v>
      </c>
      <c r="C292" s="168" t="s">
        <v>425</v>
      </c>
      <c r="D292" s="169" t="s">
        <v>556</v>
      </c>
      <c r="E292" s="169" t="s">
        <v>537</v>
      </c>
      <c r="F292" s="169" t="s">
        <v>512</v>
      </c>
      <c r="G292" s="169" t="s">
        <v>513</v>
      </c>
      <c r="H292" s="169" t="s">
        <v>514</v>
      </c>
      <c r="I292" s="169" t="s">
        <v>515</v>
      </c>
      <c r="J292" s="169" t="s">
        <v>516</v>
      </c>
    </row>
    <row r="293" spans="1:10">
      <c r="A293" s="742" t="s">
        <v>986</v>
      </c>
      <c r="B293" s="746" t="s">
        <v>1254</v>
      </c>
      <c r="C293" s="748" t="s">
        <v>581</v>
      </c>
      <c r="D293" s="470" t="s">
        <v>590</v>
      </c>
      <c r="E293" s="471">
        <v>42405.67</v>
      </c>
      <c r="F293" s="471">
        <v>1801</v>
      </c>
      <c r="G293" s="471">
        <v>900.5</v>
      </c>
      <c r="H293" s="472">
        <v>0</v>
      </c>
      <c r="I293" s="750">
        <v>0.14000000000000001</v>
      </c>
      <c r="J293" s="750">
        <v>66.13</v>
      </c>
    </row>
    <row r="294" spans="1:10">
      <c r="A294" s="743"/>
      <c r="B294" s="747"/>
      <c r="C294" s="749"/>
      <c r="D294" s="473" t="s">
        <v>579</v>
      </c>
      <c r="E294" s="474">
        <v>-857.55</v>
      </c>
      <c r="F294" s="474">
        <v>1801</v>
      </c>
      <c r="G294" s="474">
        <v>900.5</v>
      </c>
      <c r="H294" s="475">
        <v>2658.55</v>
      </c>
      <c r="I294" s="751"/>
      <c r="J294" s="751"/>
    </row>
    <row r="295" spans="1:10">
      <c r="A295" s="190"/>
      <c r="B295" s="191"/>
      <c r="C295" s="191"/>
      <c r="D295" s="192"/>
      <c r="E295" s="193"/>
      <c r="F295" s="194"/>
      <c r="G295" s="194"/>
      <c r="H295" s="195"/>
      <c r="I295" s="438"/>
      <c r="J295" s="438"/>
    </row>
    <row r="296" spans="1:10">
      <c r="I296" s="370"/>
      <c r="J296" s="370"/>
    </row>
    <row r="297" spans="1:10">
      <c r="A297" s="740" t="s">
        <v>694</v>
      </c>
      <c r="B297" s="741"/>
      <c r="I297" s="370"/>
      <c r="J297" s="370"/>
    </row>
    <row r="298" spans="1:10" ht="28.5">
      <c r="A298" s="170" t="s">
        <v>695</v>
      </c>
      <c r="B298" s="439">
        <v>54.85</v>
      </c>
      <c r="I298" s="370"/>
      <c r="J298" s="370"/>
    </row>
    <row r="299" spans="1:10" ht="42.75">
      <c r="A299" s="170" t="s">
        <v>696</v>
      </c>
      <c r="B299" s="439">
        <v>54.85</v>
      </c>
      <c r="I299" s="370"/>
      <c r="J299" s="370"/>
    </row>
    <row r="300" spans="1:10" ht="42.75">
      <c r="A300" s="170" t="s">
        <v>697</v>
      </c>
      <c r="B300" s="439">
        <v>904.15</v>
      </c>
    </row>
    <row r="301" spans="1:10" ht="28.5">
      <c r="A301" s="170" t="s">
        <v>698</v>
      </c>
      <c r="B301" s="489">
        <v>0.15625</v>
      </c>
    </row>
    <row r="302" spans="1:10">
      <c r="A302" s="487"/>
      <c r="B302" s="490"/>
    </row>
    <row r="303" spans="1:10">
      <c r="A303" s="718" t="s">
        <v>699</v>
      </c>
      <c r="B303" s="719"/>
      <c r="C303" s="720"/>
      <c r="D303" s="166"/>
      <c r="E303" s="721" t="s">
        <v>430</v>
      </c>
      <c r="F303" s="721"/>
      <c r="G303" s="721"/>
      <c r="H303" s="722"/>
      <c r="I303" s="723" t="s">
        <v>429</v>
      </c>
      <c r="J303" s="724"/>
    </row>
    <row r="304" spans="1:10" ht="42.75">
      <c r="A304" s="168" t="s">
        <v>426</v>
      </c>
      <c r="B304" s="167" t="s">
        <v>557</v>
      </c>
      <c r="C304" s="168" t="s">
        <v>425</v>
      </c>
      <c r="D304" s="169" t="s">
        <v>556</v>
      </c>
      <c r="E304" s="169" t="s">
        <v>537</v>
      </c>
      <c r="F304" s="169" t="s">
        <v>512</v>
      </c>
      <c r="G304" s="169" t="s">
        <v>513</v>
      </c>
      <c r="H304" s="169" t="s">
        <v>514</v>
      </c>
      <c r="I304" s="169" t="s">
        <v>515</v>
      </c>
      <c r="J304" s="169" t="s">
        <v>516</v>
      </c>
    </row>
    <row r="305" spans="1:10">
      <c r="A305" s="161" t="s">
        <v>1172</v>
      </c>
      <c r="B305" s="387" t="s">
        <v>1255</v>
      </c>
      <c r="C305" s="441"/>
      <c r="D305" s="470" t="s">
        <v>590</v>
      </c>
      <c r="E305" s="471">
        <v>41505.17</v>
      </c>
      <c r="F305" s="471">
        <v>1896</v>
      </c>
      <c r="G305" s="471">
        <v>948</v>
      </c>
      <c r="H305" s="472">
        <v>0</v>
      </c>
      <c r="I305" s="437">
        <v>0.38</v>
      </c>
      <c r="J305" s="437">
        <v>66.36</v>
      </c>
    </row>
    <row r="306" spans="1:10">
      <c r="A306" s="190"/>
      <c r="B306" s="191"/>
      <c r="C306" s="191"/>
      <c r="D306" s="192"/>
      <c r="E306" s="193"/>
      <c r="F306" s="194"/>
      <c r="G306" s="194"/>
      <c r="H306" s="195"/>
      <c r="I306" s="438"/>
      <c r="J306" s="438"/>
    </row>
    <row r="307" spans="1:10">
      <c r="I307" s="370"/>
      <c r="J307" s="370"/>
    </row>
    <row r="308" spans="1:10">
      <c r="A308" s="740" t="s">
        <v>700</v>
      </c>
      <c r="B308" s="741"/>
      <c r="I308" s="370"/>
      <c r="J308" s="370"/>
    </row>
    <row r="309" spans="1:10" ht="28.5">
      <c r="A309" s="170" t="s">
        <v>701</v>
      </c>
      <c r="B309" s="439">
        <v>54.85</v>
      </c>
      <c r="I309" s="370"/>
      <c r="J309" s="370"/>
    </row>
    <row r="310" spans="1:10" ht="42.75">
      <c r="A310" s="170" t="s">
        <v>702</v>
      </c>
      <c r="B310" s="439">
        <v>54.85</v>
      </c>
      <c r="I310" s="370"/>
      <c r="J310" s="370"/>
    </row>
    <row r="311" spans="1:10" ht="42.75">
      <c r="A311" s="170" t="s">
        <v>703</v>
      </c>
      <c r="B311" s="439">
        <v>958.61</v>
      </c>
    </row>
    <row r="312" spans="1:10" ht="28.5">
      <c r="A312" s="170" t="s">
        <v>704</v>
      </c>
      <c r="B312" s="489">
        <v>9.3055555555555558E-2</v>
      </c>
    </row>
    <row r="313" spans="1:10">
      <c r="A313" s="487"/>
      <c r="B313" s="490"/>
    </row>
    <row r="314" spans="1:10">
      <c r="A314" s="487"/>
      <c r="B314" s="490"/>
    </row>
  </sheetData>
  <mergeCells count="195">
    <mergeCell ref="A303:C303"/>
    <mergeCell ref="E303:H303"/>
    <mergeCell ref="I303:J303"/>
    <mergeCell ref="A308:B308"/>
    <mergeCell ref="A291:C291"/>
    <mergeCell ref="E291:H291"/>
    <mergeCell ref="I291:J291"/>
    <mergeCell ref="A297:B297"/>
    <mergeCell ref="B293:B294"/>
    <mergeCell ref="C293:C294"/>
    <mergeCell ref="I293:I294"/>
    <mergeCell ref="J293:J294"/>
    <mergeCell ref="A293:A294"/>
    <mergeCell ref="A285:B285"/>
    <mergeCell ref="B281:B282"/>
    <mergeCell ref="C281:C282"/>
    <mergeCell ref="I281:I282"/>
    <mergeCell ref="J281:J282"/>
    <mergeCell ref="A281:A282"/>
    <mergeCell ref="A268:C268"/>
    <mergeCell ref="E268:H268"/>
    <mergeCell ref="I268:J268"/>
    <mergeCell ref="A273:B273"/>
    <mergeCell ref="A279:C279"/>
    <mergeCell ref="E279:H279"/>
    <mergeCell ref="I279:J279"/>
    <mergeCell ref="A255:C255"/>
    <mergeCell ref="E255:H255"/>
    <mergeCell ref="I255:J255"/>
    <mergeCell ref="A262:B262"/>
    <mergeCell ref="B257:B258"/>
    <mergeCell ref="C257:C258"/>
    <mergeCell ref="I257:I258"/>
    <mergeCell ref="J257:J258"/>
    <mergeCell ref="A257:A258"/>
    <mergeCell ref="A236:B236"/>
    <mergeCell ref="A242:C242"/>
    <mergeCell ref="E242:H242"/>
    <mergeCell ref="I242:J242"/>
    <mergeCell ref="A249:B249"/>
    <mergeCell ref="B245:B246"/>
    <mergeCell ref="C245:C246"/>
    <mergeCell ref="I245:I246"/>
    <mergeCell ref="J245:J246"/>
    <mergeCell ref="A245:A246"/>
    <mergeCell ref="A217:C217"/>
    <mergeCell ref="E217:H217"/>
    <mergeCell ref="I217:J217"/>
    <mergeCell ref="A224:B224"/>
    <mergeCell ref="A230:C230"/>
    <mergeCell ref="E230:H230"/>
    <mergeCell ref="I230:J230"/>
    <mergeCell ref="A203:C203"/>
    <mergeCell ref="E203:H203"/>
    <mergeCell ref="I203:J203"/>
    <mergeCell ref="A211:B211"/>
    <mergeCell ref="B205:B206"/>
    <mergeCell ref="C205:C206"/>
    <mergeCell ref="I205:I206"/>
    <mergeCell ref="J205:J206"/>
    <mergeCell ref="A205:A206"/>
    <mergeCell ref="A184:B184"/>
    <mergeCell ref="A180:A181"/>
    <mergeCell ref="A190:C190"/>
    <mergeCell ref="E190:H190"/>
    <mergeCell ref="I190:J190"/>
    <mergeCell ref="A197:B197"/>
    <mergeCell ref="A163:C163"/>
    <mergeCell ref="E163:H163"/>
    <mergeCell ref="I163:J163"/>
    <mergeCell ref="A171:B171"/>
    <mergeCell ref="A177:C177"/>
    <mergeCell ref="E177:H177"/>
    <mergeCell ref="I177:J177"/>
    <mergeCell ref="A148:C148"/>
    <mergeCell ref="E148:H148"/>
    <mergeCell ref="I148:J148"/>
    <mergeCell ref="A157:B157"/>
    <mergeCell ref="B151:B152"/>
    <mergeCell ref="C151:C152"/>
    <mergeCell ref="I151:I152"/>
    <mergeCell ref="J151:J152"/>
    <mergeCell ref="A151:A152"/>
    <mergeCell ref="A110:B110"/>
    <mergeCell ref="A120:A121"/>
    <mergeCell ref="A132:C132"/>
    <mergeCell ref="E132:H132"/>
    <mergeCell ref="I132:J132"/>
    <mergeCell ref="A142:B142"/>
    <mergeCell ref="B136:B137"/>
    <mergeCell ref="C136:C137"/>
    <mergeCell ref="I136:I137"/>
    <mergeCell ref="J136:J137"/>
    <mergeCell ref="A136:A137"/>
    <mergeCell ref="A116:C116"/>
    <mergeCell ref="E116:H116"/>
    <mergeCell ref="I116:J116"/>
    <mergeCell ref="A126:B126"/>
    <mergeCell ref="A118:A119"/>
    <mergeCell ref="B120:B121"/>
    <mergeCell ref="C120:C121"/>
    <mergeCell ref="I120:I121"/>
    <mergeCell ref="J120:J121"/>
    <mergeCell ref="B97:B102"/>
    <mergeCell ref="C97:C102"/>
    <mergeCell ref="I97:I102"/>
    <mergeCell ref="J97:J102"/>
    <mergeCell ref="A97:A102"/>
    <mergeCell ref="B103:B104"/>
    <mergeCell ref="C103:C104"/>
    <mergeCell ref="I103:I104"/>
    <mergeCell ref="J103:J104"/>
    <mergeCell ref="A103:A104"/>
    <mergeCell ref="J78:J79"/>
    <mergeCell ref="A78:A79"/>
    <mergeCell ref="A81:A82"/>
    <mergeCell ref="A93:C93"/>
    <mergeCell ref="E93:H93"/>
    <mergeCell ref="I93:J93"/>
    <mergeCell ref="A87:B87"/>
    <mergeCell ref="A73:A74"/>
    <mergeCell ref="B75:B77"/>
    <mergeCell ref="C75:C77"/>
    <mergeCell ref="I75:I77"/>
    <mergeCell ref="J75:J77"/>
    <mergeCell ref="A75:A77"/>
    <mergeCell ref="B78:B79"/>
    <mergeCell ref="C78:C79"/>
    <mergeCell ref="I78:I79"/>
    <mergeCell ref="B60:B61"/>
    <mergeCell ref="C60:C61"/>
    <mergeCell ref="I60:I61"/>
    <mergeCell ref="J60:J61"/>
    <mergeCell ref="A60:A61"/>
    <mergeCell ref="A70:C70"/>
    <mergeCell ref="E70:H70"/>
    <mergeCell ref="I70:J70"/>
    <mergeCell ref="J51:J53"/>
    <mergeCell ref="A51:A53"/>
    <mergeCell ref="B54:B55"/>
    <mergeCell ref="C54:C55"/>
    <mergeCell ref="I54:I55"/>
    <mergeCell ref="J54:J55"/>
    <mergeCell ref="A54:A55"/>
    <mergeCell ref="A64:B64"/>
    <mergeCell ref="B47:B48"/>
    <mergeCell ref="C47:C48"/>
    <mergeCell ref="I47:I48"/>
    <mergeCell ref="J47:J48"/>
    <mergeCell ref="A46:A48"/>
    <mergeCell ref="A49:A50"/>
    <mergeCell ref="B51:B53"/>
    <mergeCell ref="C51:C53"/>
    <mergeCell ref="I51:I53"/>
    <mergeCell ref="A44:C44"/>
    <mergeCell ref="E44:H44"/>
    <mergeCell ref="I44:J44"/>
    <mergeCell ref="J25:J26"/>
    <mergeCell ref="A25:A26"/>
    <mergeCell ref="B27:B28"/>
    <mergeCell ref="C27:C28"/>
    <mergeCell ref="I27:I28"/>
    <mergeCell ref="J27:J28"/>
    <mergeCell ref="A27:A28"/>
    <mergeCell ref="J17:J21"/>
    <mergeCell ref="A17:A21"/>
    <mergeCell ref="B23:B24"/>
    <mergeCell ref="C23:C24"/>
    <mergeCell ref="I23:I24"/>
    <mergeCell ref="J23:J24"/>
    <mergeCell ref="A23:A24"/>
    <mergeCell ref="A38:B38"/>
    <mergeCell ref="A12:A13"/>
    <mergeCell ref="A14:A15"/>
    <mergeCell ref="B17:B21"/>
    <mergeCell ref="C17:C21"/>
    <mergeCell ref="I17:I21"/>
    <mergeCell ref="B25:B26"/>
    <mergeCell ref="C25:C26"/>
    <mergeCell ref="I25:I26"/>
    <mergeCell ref="A31:A32"/>
    <mergeCell ref="B34:B35"/>
    <mergeCell ref="C34:C35"/>
    <mergeCell ref="I34:I35"/>
    <mergeCell ref="J34:J35"/>
    <mergeCell ref="A34:A35"/>
    <mergeCell ref="A10:C10"/>
    <mergeCell ref="E10:H10"/>
    <mergeCell ref="I10:J10"/>
    <mergeCell ref="A1:F1"/>
    <mergeCell ref="A2:F2"/>
    <mergeCell ref="A3:F3"/>
    <mergeCell ref="A5:F5"/>
    <mergeCell ref="A6:E6"/>
    <mergeCell ref="A7:E7"/>
  </mergeCells>
  <hyperlinks>
    <hyperlink ref="A3:F3" r:id="rId1" display="Learn more about initial replication batching for Hyper-V to Azure" xr:uid="{00000000-0004-0000-0B00-000000000000}"/>
  </hyperlinks>
  <pageMargins left="0.7" right="0.7" top="0.75" bottom="0.75" header="0.3" footer="0.3"/>
  <pageSetup orientation="portrait" r:id="rId2"/>
  <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O173"/>
  <sheetViews>
    <sheetView zoomScale="83" zoomScaleNormal="85" workbookViewId="0">
      <selection activeCell="A2" sqref="A2:G2"/>
    </sheetView>
  </sheetViews>
  <sheetFormatPr defaultColWidth="9" defaultRowHeight="14.25"/>
  <cols>
    <col min="1" max="1" width="30.73046875" style="71" customWidth="1"/>
    <col min="2" max="2" width="22.73046875" style="71" customWidth="1"/>
    <col min="3" max="4" width="20.73046875" style="71" customWidth="1"/>
    <col min="5" max="5" width="30.73046875" style="71" customWidth="1"/>
    <col min="6" max="10" width="20.73046875" style="71" customWidth="1"/>
    <col min="11" max="11" width="32.1328125" style="71" customWidth="1"/>
    <col min="12" max="12" width="6" style="71" hidden="1" customWidth="1"/>
    <col min="13" max="15" width="20.73046875" style="74" customWidth="1"/>
    <col min="16" max="16" width="10.73046875" style="74" customWidth="1"/>
    <col min="17" max="19" width="20.73046875" style="74" customWidth="1"/>
    <col min="20" max="20" width="10.73046875" style="70" customWidth="1"/>
    <col min="21" max="21" width="20.73046875" style="71" customWidth="1"/>
    <col min="22" max="22" width="20.73046875" style="74" customWidth="1"/>
    <col min="23" max="23" width="20.73046875" style="72" customWidth="1"/>
    <col min="24" max="24" width="20.73046875" style="73" customWidth="1"/>
    <col min="25" max="26" width="20.73046875" style="71" customWidth="1"/>
    <col min="27" max="27" width="20.73046875" style="74" customWidth="1"/>
    <col min="28" max="28" width="10.73046875" style="70" customWidth="1"/>
    <col min="29" max="29" width="20.73046875" style="74" customWidth="1"/>
    <col min="30" max="30" width="10.73046875" style="74" customWidth="1"/>
    <col min="31" max="33" width="20.73046875" style="74" customWidth="1"/>
    <col min="34" max="34" width="12" style="70" customWidth="1"/>
    <col min="35" max="35" width="12" style="71" customWidth="1"/>
    <col min="36" max="36" width="20.59765625" style="71" customWidth="1"/>
    <col min="37" max="40" width="12" style="71" customWidth="1"/>
    <col min="41" max="41" width="25" style="71" customWidth="1"/>
    <col min="42" max="42" width="18.73046875" style="71" customWidth="1"/>
    <col min="43" max="43" width="20.265625" style="71" customWidth="1"/>
    <col min="44" max="44" width="15" style="71" customWidth="1"/>
    <col min="45" max="16384" width="9" style="71"/>
  </cols>
  <sheetData>
    <row r="1" spans="1:34" ht="64.5" customHeight="1">
      <c r="A1" s="756" t="s">
        <v>518</v>
      </c>
      <c r="B1" s="757"/>
      <c r="C1" s="757"/>
      <c r="D1" s="757"/>
      <c r="E1" s="757"/>
      <c r="F1" s="757"/>
      <c r="G1" s="757"/>
      <c r="H1" s="70"/>
      <c r="I1" s="70"/>
      <c r="J1" s="70"/>
      <c r="K1" s="70"/>
      <c r="L1" s="70"/>
      <c r="M1" s="70"/>
      <c r="N1" s="70"/>
      <c r="O1" s="70"/>
      <c r="P1" s="70"/>
      <c r="Q1" s="70"/>
      <c r="R1" s="70"/>
      <c r="S1" s="70"/>
      <c r="V1" s="70"/>
      <c r="AA1" s="70"/>
    </row>
    <row r="2" spans="1:34" s="76" customFormat="1" ht="21" customHeight="1">
      <c r="A2" s="764" t="str">
        <f>IF(Data!B67= "", "",_xlfn.CONCAT("Subcription ID: ",Data!B67,", ","Offer ID: ",Data!B68))</f>
        <v>Subcription ID: b364ed8d-4279-4bf8-8fd1-56f8fa0ae05c, Offer ID: MS-AZR-0003P</v>
      </c>
      <c r="B2" s="764"/>
      <c r="C2" s="764"/>
      <c r="D2" s="764"/>
      <c r="E2" s="764"/>
      <c r="F2" s="764"/>
      <c r="G2" s="764"/>
      <c r="H2" s="75"/>
      <c r="I2" s="75"/>
      <c r="J2" s="75"/>
      <c r="K2" s="75"/>
      <c r="L2" s="75"/>
      <c r="M2" s="75"/>
      <c r="N2" s="75"/>
      <c r="O2" s="75"/>
      <c r="P2" s="75"/>
      <c r="Q2" s="75"/>
      <c r="R2" s="75"/>
      <c r="S2" s="75"/>
      <c r="T2" s="75"/>
      <c r="V2" s="75"/>
      <c r="W2" s="77"/>
      <c r="X2" s="78"/>
      <c r="AA2" s="75"/>
      <c r="AB2" s="75"/>
      <c r="AC2" s="79"/>
      <c r="AD2" s="79"/>
      <c r="AE2" s="79"/>
      <c r="AF2" s="79"/>
      <c r="AG2" s="79"/>
      <c r="AH2" s="75"/>
    </row>
    <row r="3" spans="1:34" s="80" customFormat="1" ht="20.25" customHeight="1"/>
    <row r="4" spans="1:34" s="70" customFormat="1">
      <c r="A4" s="758" t="s">
        <v>155</v>
      </c>
      <c r="B4" s="758"/>
      <c r="C4" s="758"/>
      <c r="D4" s="81"/>
      <c r="E4" s="758" t="s">
        <v>156</v>
      </c>
      <c r="F4" s="758"/>
      <c r="G4" s="758"/>
      <c r="N4" s="74"/>
    </row>
    <row r="5" spans="1:34">
      <c r="A5" s="82"/>
      <c r="B5" s="83" t="s">
        <v>157</v>
      </c>
      <c r="C5" s="82" t="s">
        <v>158</v>
      </c>
      <c r="D5" s="84"/>
      <c r="E5" s="82"/>
      <c r="F5" s="82" t="s">
        <v>157</v>
      </c>
      <c r="G5" s="82" t="s">
        <v>158</v>
      </c>
      <c r="I5" s="70"/>
      <c r="J5" s="70"/>
      <c r="K5" s="70"/>
      <c r="L5" s="70"/>
      <c r="M5" s="70"/>
      <c r="O5" s="70"/>
      <c r="P5" s="70"/>
      <c r="Q5" s="70"/>
    </row>
    <row r="6" spans="1:34" ht="15.75" customHeight="1">
      <c r="A6" s="85" t="s">
        <v>159</v>
      </c>
      <c r="B6" s="394">
        <f>C6/12</f>
        <v>2576.7839999999942</v>
      </c>
      <c r="C6" s="394">
        <f>AA133</f>
        <v>30921.40799999993</v>
      </c>
      <c r="D6" s="84"/>
      <c r="E6" s="196" t="s">
        <v>167</v>
      </c>
      <c r="F6" s="761">
        <f>G6/12</f>
        <v>9000.4000000000015</v>
      </c>
      <c r="G6" s="761">
        <f>(V133 + (AC133*12)+C131)</f>
        <v>108004.80000000002</v>
      </c>
      <c r="I6" s="70"/>
      <c r="J6" s="70"/>
      <c r="K6" s="70"/>
      <c r="L6" s="70"/>
      <c r="M6" s="70"/>
      <c r="O6" s="70"/>
      <c r="P6" s="70"/>
      <c r="Q6" s="70"/>
    </row>
    <row r="7" spans="1:34">
      <c r="A7" s="85" t="s">
        <v>160</v>
      </c>
      <c r="B7" s="394">
        <f>C7/12</f>
        <v>7048.6462499999989</v>
      </c>
      <c r="C7" s="394">
        <f>Z133</f>
        <v>84583.75499999999</v>
      </c>
      <c r="D7" s="84"/>
      <c r="E7" s="86" t="s">
        <v>394</v>
      </c>
      <c r="F7" s="762"/>
      <c r="G7" s="762"/>
      <c r="I7" s="70"/>
      <c r="J7" s="70"/>
      <c r="K7" s="70"/>
      <c r="L7" s="70"/>
      <c r="M7" s="70"/>
      <c r="O7" s="70"/>
      <c r="P7" s="70"/>
      <c r="Q7" s="70"/>
    </row>
    <row r="8" spans="1:34" ht="15.75" customHeight="1">
      <c r="A8" s="85" t="s">
        <v>161</v>
      </c>
      <c r="B8" s="394">
        <f>C8/12</f>
        <v>436</v>
      </c>
      <c r="C8" s="394">
        <f>C131</f>
        <v>5232</v>
      </c>
      <c r="D8" s="84"/>
      <c r="E8" s="197" t="s">
        <v>508</v>
      </c>
      <c r="F8" s="762">
        <f>G8/12</f>
        <v>3161.0302499999998</v>
      </c>
      <c r="G8" s="762">
        <f>S133</f>
        <v>37932.362999999998</v>
      </c>
      <c r="I8" s="70"/>
      <c r="J8" s="70"/>
      <c r="K8" s="70"/>
      <c r="L8" s="70"/>
      <c r="M8" s="70"/>
      <c r="O8" s="70"/>
      <c r="P8" s="70"/>
      <c r="Q8" s="70"/>
    </row>
    <row r="9" spans="1:34">
      <c r="A9" s="85" t="s">
        <v>162</v>
      </c>
      <c r="B9" s="394">
        <f>C9/12</f>
        <v>2100</v>
      </c>
      <c r="C9" s="394">
        <f>AC133*12</f>
        <v>25200</v>
      </c>
      <c r="D9" s="84"/>
      <c r="E9" s="86" t="s">
        <v>393</v>
      </c>
      <c r="F9" s="763"/>
      <c r="G9" s="763"/>
      <c r="I9" s="70"/>
      <c r="J9" s="70"/>
      <c r="K9" s="70"/>
      <c r="L9" s="70"/>
      <c r="M9" s="70"/>
      <c r="O9" s="70"/>
      <c r="P9" s="70"/>
      <c r="Q9" s="70"/>
    </row>
    <row r="10" spans="1:34">
      <c r="A10" s="82" t="s">
        <v>163</v>
      </c>
      <c r="B10" s="395">
        <f>SUM(B6:B9)</f>
        <v>12161.430249999994</v>
      </c>
      <c r="C10" s="395">
        <f>SUM(C6:C9)</f>
        <v>145937.16299999991</v>
      </c>
      <c r="D10" s="84"/>
      <c r="E10" s="83" t="s">
        <v>163</v>
      </c>
      <c r="F10" s="87">
        <f>SUM(F6:F9)</f>
        <v>12161.430250000001</v>
      </c>
      <c r="G10" s="87">
        <f>SUM(G6:G9)</f>
        <v>145937.163</v>
      </c>
      <c r="H10" s="70"/>
      <c r="I10" s="88"/>
      <c r="J10" s="88"/>
      <c r="K10" s="88"/>
      <c r="L10" s="88"/>
    </row>
    <row r="11" spans="1:34" ht="15" customHeight="1">
      <c r="A11" s="70"/>
      <c r="B11" s="70"/>
      <c r="C11" s="70"/>
      <c r="D11" s="70"/>
      <c r="E11" s="89"/>
      <c r="F11" s="88"/>
      <c r="G11" s="88"/>
      <c r="H11" s="70"/>
      <c r="I11" s="88"/>
      <c r="J11" s="88"/>
      <c r="K11" s="88"/>
      <c r="L11" s="88"/>
    </row>
    <row r="12" spans="1:34" ht="17.649999999999999" hidden="1" customHeight="1" thickBot="1">
      <c r="A12" s="90" t="s">
        <v>164</v>
      </c>
      <c r="B12" s="91">
        <v>2</v>
      </c>
      <c r="C12" s="92"/>
      <c r="D12" s="93"/>
      <c r="E12" s="89"/>
      <c r="F12" s="88"/>
      <c r="G12" s="88"/>
      <c r="H12" s="70"/>
      <c r="I12" s="88"/>
      <c r="J12" s="88"/>
      <c r="K12" s="88"/>
      <c r="L12" s="88"/>
    </row>
    <row r="13" spans="1:34">
      <c r="A13" s="94"/>
      <c r="B13" s="759" t="s">
        <v>392</v>
      </c>
      <c r="C13" s="760"/>
      <c r="D13" s="760" t="s">
        <v>166</v>
      </c>
      <c r="E13" s="760"/>
      <c r="F13" s="760" t="s">
        <v>165</v>
      </c>
      <c r="G13" s="760"/>
      <c r="J13" s="70"/>
      <c r="K13" s="70"/>
      <c r="L13" s="70"/>
      <c r="M13" s="70"/>
      <c r="N13" s="70"/>
      <c r="O13" s="70"/>
      <c r="P13" s="70"/>
      <c r="Q13" s="70"/>
      <c r="R13" s="70"/>
      <c r="S13" s="70"/>
    </row>
    <row r="14" spans="1:34">
      <c r="A14" s="95"/>
      <c r="B14" s="95" t="s">
        <v>167</v>
      </c>
      <c r="C14" s="95" t="s">
        <v>168</v>
      </c>
      <c r="D14" s="95" t="s">
        <v>167</v>
      </c>
      <c r="E14" s="95" t="s">
        <v>168</v>
      </c>
      <c r="F14" s="95" t="s">
        <v>167</v>
      </c>
      <c r="G14" s="95" t="s">
        <v>168</v>
      </c>
      <c r="J14" s="70"/>
      <c r="K14" s="70"/>
      <c r="L14" s="70"/>
      <c r="M14" s="70"/>
      <c r="N14" s="70"/>
      <c r="O14" s="70"/>
      <c r="P14" s="70"/>
      <c r="Q14" s="70"/>
      <c r="R14" s="70"/>
      <c r="S14" s="70"/>
    </row>
    <row r="15" spans="1:34">
      <c r="A15" s="453" t="s">
        <v>3</v>
      </c>
      <c r="B15" s="275">
        <f>Data!AR4</f>
        <v>33877.199999999997</v>
      </c>
      <c r="C15" s="275">
        <f>Data!AS4</f>
        <v>3645.99</v>
      </c>
      <c r="D15" s="275">
        <f>B15-(B15*B29/100)</f>
        <v>33877.199999999997</v>
      </c>
      <c r="E15" s="275">
        <f>C15-(C15*B29/100)</f>
        <v>3645.99</v>
      </c>
      <c r="F15" s="275">
        <f>B15/12-(B15/12*B29/100)</f>
        <v>2823.1</v>
      </c>
      <c r="G15" s="275">
        <f>C15/12-(C15/12*B29/100)</f>
        <v>303.83249999999998</v>
      </c>
      <c r="J15" s="70"/>
      <c r="K15" s="70"/>
      <c r="L15" s="70"/>
      <c r="M15" s="70"/>
      <c r="N15" s="70"/>
      <c r="O15" s="70"/>
      <c r="P15" s="70"/>
      <c r="Q15" s="70"/>
      <c r="R15" s="70"/>
      <c r="S15" s="70"/>
    </row>
    <row r="16" spans="1:34">
      <c r="A16" s="453" t="s">
        <v>136</v>
      </c>
      <c r="B16" s="275">
        <f>Data!AR5</f>
        <v>42495.6</v>
      </c>
      <c r="C16" s="275">
        <f>Data!AS5</f>
        <v>3364.97</v>
      </c>
      <c r="D16" s="275">
        <f>B16-(B16*B29/100)</f>
        <v>42495.6</v>
      </c>
      <c r="E16" s="275">
        <f>C16-(C16*B29/100)</f>
        <v>3364.97</v>
      </c>
      <c r="F16" s="275">
        <f>B16/12-(B16/12*B29/100)</f>
        <v>3541.2999999999997</v>
      </c>
      <c r="G16" s="275">
        <f>C16/12-(C16/12*B29/100)</f>
        <v>280.41416666666663</v>
      </c>
      <c r="J16" s="70"/>
      <c r="K16" s="70"/>
      <c r="L16" s="70"/>
      <c r="M16" s="70"/>
      <c r="N16" s="70"/>
      <c r="O16" s="70"/>
      <c r="P16" s="70"/>
      <c r="Q16" s="70"/>
      <c r="R16" s="70"/>
      <c r="S16" s="70"/>
    </row>
    <row r="17" spans="1:33">
      <c r="A17" s="454" t="s">
        <v>163</v>
      </c>
      <c r="B17" s="276">
        <f t="shared" ref="B17" si="0">SUM(B15:B16)</f>
        <v>76372.799999999988</v>
      </c>
      <c r="C17" s="276">
        <f>SUM(C15:C16)</f>
        <v>7010.9599999999991</v>
      </c>
      <c r="D17" s="276">
        <f>SUM(D15:D16)</f>
        <v>76372.799999999988</v>
      </c>
      <c r="E17" s="276">
        <f>SUM(E15:E16)</f>
        <v>7010.9599999999991</v>
      </c>
      <c r="F17" s="276">
        <f>SUM(F15:F16)</f>
        <v>6364.4</v>
      </c>
      <c r="G17" s="276">
        <f>SUM(G15:G16)</f>
        <v>584.24666666666667</v>
      </c>
      <c r="J17" s="70"/>
      <c r="K17" s="70"/>
      <c r="L17" s="70"/>
      <c r="M17" s="70"/>
      <c r="N17" s="71"/>
      <c r="O17" s="71"/>
      <c r="P17" s="71"/>
      <c r="Q17" s="71"/>
      <c r="R17" s="71"/>
      <c r="S17" s="71"/>
      <c r="V17" s="71"/>
      <c r="AA17" s="71"/>
      <c r="AC17" s="71"/>
      <c r="AD17" s="71"/>
      <c r="AE17" s="71"/>
      <c r="AF17" s="71"/>
      <c r="AG17" s="71"/>
    </row>
    <row r="18" spans="1:33">
      <c r="D18" s="97"/>
      <c r="E18" s="70"/>
      <c r="I18" s="70"/>
      <c r="J18" s="70"/>
      <c r="K18" s="70"/>
      <c r="L18" s="70"/>
      <c r="M18" s="70"/>
      <c r="N18" s="71"/>
      <c r="O18" s="71"/>
      <c r="P18" s="71"/>
      <c r="Q18" s="71"/>
      <c r="R18" s="71"/>
      <c r="S18" s="71"/>
      <c r="V18" s="71"/>
      <c r="AA18" s="71"/>
      <c r="AC18" s="71"/>
      <c r="AD18" s="71"/>
      <c r="AE18" s="71"/>
      <c r="AF18" s="71"/>
      <c r="AG18" s="71"/>
    </row>
    <row r="19" spans="1:33">
      <c r="A19" s="781" t="s">
        <v>175</v>
      </c>
      <c r="B19" s="782"/>
      <c r="C19" s="783"/>
      <c r="E19" s="775" t="s">
        <v>544</v>
      </c>
      <c r="F19" s="776"/>
      <c r="G19" s="777"/>
      <c r="M19" s="71"/>
      <c r="N19" s="71"/>
      <c r="O19" s="71"/>
      <c r="P19" s="71"/>
      <c r="Q19" s="71"/>
      <c r="R19" s="71"/>
      <c r="S19" s="71"/>
      <c r="V19" s="71"/>
      <c r="AA19" s="71"/>
      <c r="AC19" s="71"/>
      <c r="AD19" s="71"/>
      <c r="AE19" s="71"/>
      <c r="AF19" s="71"/>
      <c r="AG19" s="71"/>
    </row>
    <row r="20" spans="1:33" ht="14.65" customHeight="1">
      <c r="A20" s="453" t="s">
        <v>176</v>
      </c>
      <c r="B20" s="778" t="s">
        <v>281</v>
      </c>
      <c r="C20" s="778"/>
      <c r="E20" s="452" t="s">
        <v>411</v>
      </c>
      <c r="F20" s="95" t="s">
        <v>252</v>
      </c>
      <c r="G20" s="149" t="s">
        <v>543</v>
      </c>
      <c r="M20" s="71"/>
      <c r="N20" s="71"/>
      <c r="O20" s="71"/>
      <c r="P20" s="71"/>
      <c r="Q20" s="70"/>
      <c r="R20" s="70"/>
      <c r="S20" s="71"/>
      <c r="V20" s="71"/>
      <c r="AA20" s="71"/>
      <c r="AC20" s="71"/>
      <c r="AD20" s="71"/>
      <c r="AE20" s="71"/>
      <c r="AF20" s="71"/>
      <c r="AG20" s="71"/>
    </row>
    <row r="21" spans="1:33" ht="14.25" customHeight="1">
      <c r="A21" s="453" t="s">
        <v>177</v>
      </c>
      <c r="B21" s="778" t="s">
        <v>224</v>
      </c>
      <c r="C21" s="778"/>
      <c r="E21" s="455" t="s">
        <v>194</v>
      </c>
      <c r="F21" s="102">
        <f>Data!AR9</f>
        <v>84</v>
      </c>
      <c r="G21" s="103">
        <f>Data!AS9</f>
        <v>30921.41</v>
      </c>
      <c r="M21" s="71"/>
      <c r="N21" s="71"/>
      <c r="O21" s="71"/>
      <c r="P21" s="71"/>
      <c r="Q21" s="70"/>
      <c r="R21" s="70"/>
      <c r="S21" s="71"/>
      <c r="V21" s="71"/>
      <c r="AA21" s="71"/>
      <c r="AC21" s="71"/>
      <c r="AD21" s="71"/>
      <c r="AE21" s="71"/>
      <c r="AF21" s="71"/>
      <c r="AG21" s="71"/>
    </row>
    <row r="22" spans="1:33" s="80" customFormat="1" ht="14.25" customHeight="1">
      <c r="A22" s="455" t="s">
        <v>391</v>
      </c>
      <c r="B22" s="779" t="str">
        <f>Prices!$T$3</f>
        <v>WestUS2</v>
      </c>
      <c r="C22" s="779"/>
      <c r="E22" s="455" t="s">
        <v>253</v>
      </c>
      <c r="F22" s="102">
        <f>Data!AR10</f>
        <v>0</v>
      </c>
      <c r="G22" s="103">
        <f>Data!AS10</f>
        <v>0</v>
      </c>
    </row>
    <row r="23" spans="1:33">
      <c r="H23" s="70"/>
      <c r="I23" s="70"/>
      <c r="J23" s="70"/>
      <c r="K23" s="70"/>
      <c r="L23" s="70"/>
      <c r="M23" s="106"/>
      <c r="N23" s="71"/>
      <c r="O23" s="71"/>
      <c r="P23" s="71"/>
      <c r="Q23" s="70"/>
      <c r="R23" s="70"/>
      <c r="S23" s="71"/>
      <c r="V23" s="71"/>
      <c r="AA23" s="71"/>
      <c r="AC23" s="71"/>
      <c r="AD23" s="71"/>
      <c r="AE23" s="71"/>
      <c r="AF23" s="71"/>
      <c r="AG23" s="71"/>
    </row>
    <row r="24" spans="1:33">
      <c r="A24" s="142" t="s">
        <v>412</v>
      </c>
      <c r="B24" s="98" t="s">
        <v>252</v>
      </c>
      <c r="C24" s="98" t="s">
        <v>169</v>
      </c>
      <c r="E24" s="784" t="s">
        <v>541</v>
      </c>
      <c r="F24" s="785"/>
      <c r="H24" s="70"/>
      <c r="I24" s="184"/>
      <c r="J24" s="70"/>
      <c r="K24" s="70"/>
      <c r="L24" s="70"/>
      <c r="N24" s="71"/>
      <c r="O24" s="71"/>
      <c r="P24" s="71"/>
      <c r="Q24" s="70"/>
      <c r="R24" s="70"/>
      <c r="S24" s="71"/>
      <c r="V24" s="71"/>
      <c r="AA24" s="71"/>
      <c r="AC24" s="71"/>
      <c r="AD24" s="71"/>
      <c r="AE24" s="71"/>
      <c r="AF24" s="71"/>
      <c r="AG24" s="71"/>
    </row>
    <row r="25" spans="1:33">
      <c r="A25" s="456" t="s">
        <v>171</v>
      </c>
      <c r="B25" s="101">
        <v>0</v>
      </c>
      <c r="C25" s="101" t="s">
        <v>172</v>
      </c>
      <c r="E25" s="456" t="s">
        <v>529</v>
      </c>
      <c r="F25" s="413" t="s">
        <v>150</v>
      </c>
      <c r="H25" s="70"/>
      <c r="I25" s="70"/>
      <c r="J25" s="70"/>
      <c r="K25" s="70"/>
      <c r="L25" s="70"/>
      <c r="N25" s="88"/>
      <c r="O25" s="88"/>
      <c r="P25" s="88"/>
      <c r="Q25" s="70"/>
      <c r="R25" s="70"/>
      <c r="S25" s="88"/>
      <c r="V25" s="88"/>
      <c r="AA25" s="88"/>
      <c r="AC25" s="107"/>
      <c r="AD25" s="107"/>
      <c r="AE25" s="107"/>
      <c r="AF25" s="107"/>
      <c r="AG25" s="107"/>
    </row>
    <row r="26" spans="1:33">
      <c r="A26" s="455" t="s">
        <v>174</v>
      </c>
      <c r="B26" s="101">
        <v>0</v>
      </c>
      <c r="C26" s="101" t="s">
        <v>172</v>
      </c>
      <c r="E26" s="458" t="s">
        <v>181</v>
      </c>
      <c r="F26" s="109" t="str">
        <f>Prices!AM3</f>
        <v>US Dollar ($)</v>
      </c>
      <c r="H26" s="70"/>
      <c r="I26" s="70"/>
      <c r="J26" s="70"/>
      <c r="K26" s="70"/>
      <c r="L26" s="70"/>
      <c r="M26" s="71"/>
      <c r="N26" s="88"/>
      <c r="O26" s="88"/>
      <c r="P26" s="88"/>
      <c r="Q26" s="70"/>
      <c r="R26" s="70"/>
      <c r="S26" s="88"/>
      <c r="V26" s="88"/>
      <c r="AA26" s="88"/>
      <c r="AC26" s="107"/>
      <c r="AD26" s="70"/>
      <c r="AE26" s="70"/>
      <c r="AF26" s="70"/>
      <c r="AG26" s="107"/>
    </row>
    <row r="27" spans="1:33">
      <c r="A27" s="70"/>
      <c r="B27" s="70"/>
      <c r="C27" s="88"/>
      <c r="E27" s="453" t="s">
        <v>164</v>
      </c>
      <c r="F27" s="101" t="s">
        <v>158</v>
      </c>
      <c r="G27" s="70"/>
      <c r="H27" s="70"/>
      <c r="I27" s="70"/>
      <c r="J27" s="70"/>
      <c r="K27" s="70"/>
      <c r="L27" s="70"/>
      <c r="M27" s="71"/>
      <c r="N27" s="88"/>
      <c r="O27" s="88"/>
      <c r="P27" s="88"/>
      <c r="Q27" s="70"/>
      <c r="R27" s="70"/>
      <c r="S27" s="88"/>
      <c r="V27" s="88"/>
      <c r="AA27" s="88"/>
      <c r="AC27" s="107"/>
      <c r="AD27" s="70"/>
      <c r="AE27" s="70"/>
      <c r="AF27" s="70"/>
      <c r="AG27" s="107"/>
    </row>
    <row r="28" spans="1:33">
      <c r="A28" s="784" t="s">
        <v>542</v>
      </c>
      <c r="B28" s="785"/>
      <c r="D28" s="70"/>
      <c r="E28" s="429"/>
      <c r="H28" s="70"/>
      <c r="I28" s="70"/>
      <c r="J28" s="70"/>
      <c r="K28" s="70"/>
      <c r="L28" s="70"/>
      <c r="M28" s="71"/>
      <c r="N28" s="88"/>
      <c r="O28" s="88"/>
      <c r="P28" s="88"/>
      <c r="Q28" s="70"/>
      <c r="R28" s="70"/>
      <c r="S28" s="88"/>
      <c r="V28" s="88"/>
      <c r="AA28" s="88"/>
      <c r="AC28" s="107"/>
      <c r="AD28" s="70"/>
      <c r="AE28" s="70"/>
      <c r="AF28" s="70"/>
      <c r="AG28" s="107"/>
    </row>
    <row r="29" spans="1:33">
      <c r="A29" s="457" t="s">
        <v>173</v>
      </c>
      <c r="B29" s="100">
        <v>0</v>
      </c>
      <c r="M29" s="70"/>
      <c r="N29" s="70"/>
      <c r="Q29" s="70"/>
      <c r="R29" s="70"/>
      <c r="W29" s="108"/>
      <c r="AD29" s="70"/>
      <c r="AE29" s="70"/>
      <c r="AF29" s="70"/>
    </row>
    <row r="30" spans="1:33">
      <c r="H30" s="70"/>
      <c r="I30" s="70"/>
      <c r="J30" s="70"/>
      <c r="K30" s="70"/>
      <c r="L30" s="70"/>
      <c r="M30" s="70"/>
      <c r="N30" s="70"/>
      <c r="O30" s="88"/>
      <c r="P30" s="88"/>
      <c r="Q30" s="88"/>
      <c r="R30" s="88"/>
      <c r="S30" s="88"/>
      <c r="V30" s="88"/>
      <c r="AA30" s="88"/>
      <c r="AC30" s="107"/>
      <c r="AD30" s="70"/>
      <c r="AE30" s="70"/>
      <c r="AF30" s="70"/>
      <c r="AG30" s="107"/>
    </row>
    <row r="31" spans="1:33" s="80" customFormat="1">
      <c r="B31"/>
    </row>
    <row r="32" spans="1:33" s="80" customFormat="1" ht="28.5" customHeight="1">
      <c r="A32" s="792" t="s">
        <v>395</v>
      </c>
      <c r="B32" s="792"/>
      <c r="C32" s="792"/>
      <c r="D32" s="792"/>
      <c r="E32" s="792"/>
      <c r="F32" s="792"/>
      <c r="G32" s="792"/>
      <c r="H32" s="792"/>
      <c r="I32" s="792"/>
      <c r="J32" s="792"/>
      <c r="K32" s="792"/>
      <c r="L32" s="792"/>
      <c r="M32" s="792"/>
      <c r="N32" s="792"/>
      <c r="O32" s="792"/>
      <c r="P32" s="792"/>
      <c r="Q32" s="792"/>
      <c r="R32" s="792"/>
      <c r="S32" s="792"/>
      <c r="T32" s="792"/>
      <c r="U32" s="792"/>
      <c r="V32" s="792"/>
      <c r="W32" s="792"/>
      <c r="X32" s="792"/>
      <c r="Y32" s="792"/>
      <c r="Z32" s="792"/>
      <c r="AA32" s="792"/>
      <c r="AB32" s="792"/>
      <c r="AC32" s="792"/>
      <c r="AD32" s="792"/>
      <c r="AE32" s="792"/>
      <c r="AF32" s="792"/>
      <c r="AG32" s="792"/>
    </row>
    <row r="33" spans="1:41" ht="15" customHeight="1">
      <c r="A33" s="786" t="s">
        <v>570</v>
      </c>
      <c r="B33" s="787"/>
      <c r="C33" s="787"/>
      <c r="D33" s="787"/>
      <c r="E33" s="787"/>
      <c r="F33" s="787"/>
      <c r="G33" s="787"/>
      <c r="H33" s="787"/>
      <c r="I33" s="787"/>
      <c r="J33" s="787"/>
      <c r="K33" s="787"/>
      <c r="L33" s="787"/>
      <c r="M33" s="787"/>
      <c r="N33" s="787"/>
      <c r="O33" s="787"/>
      <c r="P33" s="787"/>
      <c r="Q33" s="787"/>
      <c r="R33" s="787"/>
      <c r="S33" s="787"/>
      <c r="T33" s="787"/>
      <c r="U33" s="787"/>
      <c r="V33" s="787"/>
      <c r="W33" s="787"/>
      <c r="X33" s="787"/>
      <c r="Y33" s="787"/>
      <c r="Z33" s="787"/>
      <c r="AA33" s="787"/>
      <c r="AB33" s="787"/>
      <c r="AC33" s="787"/>
      <c r="AD33" s="787"/>
      <c r="AE33" s="787"/>
      <c r="AF33" s="787"/>
      <c r="AG33" s="788"/>
    </row>
    <row r="34" spans="1:41" ht="117.75" customHeight="1">
      <c r="A34" s="789"/>
      <c r="B34" s="790"/>
      <c r="C34" s="790"/>
      <c r="D34" s="790"/>
      <c r="E34" s="790"/>
      <c r="F34" s="790"/>
      <c r="G34" s="790"/>
      <c r="H34" s="790"/>
      <c r="I34" s="790"/>
      <c r="J34" s="790"/>
      <c r="K34" s="790"/>
      <c r="L34" s="790"/>
      <c r="M34" s="790"/>
      <c r="N34" s="790"/>
      <c r="O34" s="790"/>
      <c r="P34" s="790"/>
      <c r="Q34" s="790"/>
      <c r="R34" s="790"/>
      <c r="S34" s="790"/>
      <c r="T34" s="790"/>
      <c r="U34" s="790"/>
      <c r="V34" s="790"/>
      <c r="W34" s="790"/>
      <c r="X34" s="790"/>
      <c r="Y34" s="790"/>
      <c r="Z34" s="790"/>
      <c r="AA34" s="790"/>
      <c r="AB34" s="790"/>
      <c r="AC34" s="790"/>
      <c r="AD34" s="790"/>
      <c r="AE34" s="790"/>
      <c r="AF34" s="790"/>
      <c r="AG34" s="791"/>
    </row>
    <row r="35" spans="1:41" ht="17.649999999999999" customHeight="1">
      <c r="A35" s="780" t="str">
        <f>HYPERLINK(IF(Data!B5= 2, "https://aka.ms/asr-dp-h2a-cost-estimation","https://aka.ms/asr-dp-cost-estimation"),"Learn more about the cost estimation")</f>
        <v>Learn more about the cost estimation</v>
      </c>
      <c r="B35" s="780"/>
      <c r="C35" s="381"/>
      <c r="D35" s="381"/>
      <c r="E35" s="381"/>
      <c r="F35" s="381"/>
      <c r="G35" s="381"/>
      <c r="H35" s="381"/>
      <c r="I35" s="381"/>
      <c r="J35" s="381"/>
      <c r="K35" s="381"/>
      <c r="L35" s="381"/>
      <c r="M35" s="381"/>
      <c r="N35" s="381"/>
      <c r="O35" s="381"/>
      <c r="P35" s="381"/>
      <c r="Q35" s="381"/>
      <c r="R35" s="381"/>
      <c r="S35" s="381"/>
      <c r="T35" s="381"/>
      <c r="U35" s="381"/>
      <c r="V35" s="381"/>
      <c r="W35" s="381"/>
      <c r="X35" s="381"/>
      <c r="Y35" s="381"/>
      <c r="Z35" s="381"/>
      <c r="AA35" s="381"/>
      <c r="AB35" s="381"/>
      <c r="AC35" s="381"/>
      <c r="AD35" s="381"/>
      <c r="AE35" s="381"/>
      <c r="AF35" s="381"/>
      <c r="AG35" s="382"/>
      <c r="AH35"/>
    </row>
    <row r="36" spans="1:41" ht="21.75" customHeight="1">
      <c r="A36" s="794"/>
      <c r="B36" s="794"/>
      <c r="C36" s="794"/>
      <c r="D36" s="794"/>
      <c r="E36" s="794"/>
      <c r="F36" s="794"/>
      <c r="G36" s="794"/>
      <c r="H36" s="794"/>
      <c r="I36" s="794"/>
      <c r="J36" s="794"/>
      <c r="K36" s="794"/>
      <c r="L36" s="794"/>
      <c r="M36" s="794"/>
      <c r="N36" s="794"/>
      <c r="O36" s="794"/>
      <c r="P36" s="794"/>
      <c r="Q36" s="794"/>
      <c r="R36" s="794"/>
      <c r="S36" s="794"/>
      <c r="T36" s="794"/>
      <c r="U36" s="794"/>
      <c r="V36" s="794"/>
      <c r="W36" s="794"/>
      <c r="X36" s="794"/>
      <c r="Y36" s="794"/>
      <c r="Z36" s="794"/>
      <c r="AA36" s="794"/>
      <c r="AB36" s="794"/>
      <c r="AC36" s="794"/>
      <c r="AD36" s="794"/>
      <c r="AE36" s="794"/>
      <c r="AF36" s="794"/>
      <c r="AG36" s="794"/>
    </row>
    <row r="37" spans="1:41">
      <c r="A37" s="99"/>
      <c r="B37" s="99"/>
      <c r="C37" s="771" t="s">
        <v>182</v>
      </c>
      <c r="D37" s="771"/>
      <c r="E37" s="771"/>
      <c r="F37" s="771"/>
      <c r="G37" s="771"/>
      <c r="H37" s="771"/>
      <c r="I37" s="771"/>
      <c r="J37" s="771"/>
      <c r="K37" s="771"/>
      <c r="L37" s="104"/>
      <c r="M37" s="773" t="s">
        <v>396</v>
      </c>
      <c r="N37" s="773"/>
      <c r="O37" s="773"/>
      <c r="P37" s="99"/>
      <c r="Q37" s="772" t="s">
        <v>404</v>
      </c>
      <c r="R37" s="772"/>
      <c r="S37" s="772"/>
      <c r="T37" s="99"/>
      <c r="U37" s="770" t="s">
        <v>397</v>
      </c>
      <c r="V37" s="770"/>
      <c r="W37" s="770"/>
      <c r="X37" s="770"/>
      <c r="Y37" s="770"/>
      <c r="Z37" s="770"/>
      <c r="AA37" s="110" t="s">
        <v>398</v>
      </c>
      <c r="AB37" s="99"/>
      <c r="AC37" s="110" t="s">
        <v>399</v>
      </c>
      <c r="AD37" s="99"/>
      <c r="AE37" s="771" t="s">
        <v>403</v>
      </c>
      <c r="AF37" s="771"/>
      <c r="AG37" s="771"/>
      <c r="AI37" s="70"/>
      <c r="AJ37" s="70"/>
      <c r="AK37" s="70"/>
      <c r="AL37" s="70"/>
      <c r="AM37" s="70"/>
      <c r="AN37" s="70"/>
      <c r="AO37" s="70"/>
    </row>
    <row r="38" spans="1:41" s="73" customFormat="1" ht="87.75" customHeight="1">
      <c r="A38" s="95" t="s">
        <v>83</v>
      </c>
      <c r="B38" s="95" t="s">
        <v>252</v>
      </c>
      <c r="C38" s="149" t="s">
        <v>414</v>
      </c>
      <c r="D38" s="149" t="s">
        <v>415</v>
      </c>
      <c r="E38" s="95" t="s">
        <v>184</v>
      </c>
      <c r="F38" s="150" t="s">
        <v>416</v>
      </c>
      <c r="G38" s="111" t="s">
        <v>183</v>
      </c>
      <c r="H38" s="149" t="s">
        <v>417</v>
      </c>
      <c r="I38" s="95" t="s">
        <v>147</v>
      </c>
      <c r="J38" s="149" t="s">
        <v>418</v>
      </c>
      <c r="K38" s="149" t="s">
        <v>571</v>
      </c>
      <c r="L38" s="112" t="s">
        <v>269</v>
      </c>
      <c r="M38" s="113" t="str">
        <f>_xlfn.CONCAT("Total  Azure consumption 
per ", F27,
" 
(Compute + Storage + License )")</f>
        <v>Total  Azure consumption 
per Year 
(Compute + Storage + License )</v>
      </c>
      <c r="N38" s="113" t="str">
        <f>_xlfn.CONCAT("Steady state replication cost 
per ", F27,
"
(Storage)")</f>
        <v>Steady state replication cost 
per Year
(Storage)</v>
      </c>
      <c r="O38" s="113" t="str">
        <f>IF(F27 = "Year", _xlfn.CONCAT("Total DR-Drill cost
per ", F27,
"
(Compute  + Storage)"), _xlfn.CONCAT("Total DR-Drill cost (average) 
per ", F27,
"
(Compute  + Storage)"))</f>
        <v>Total DR-Drill cost
per Year
(Compute  + Storage)</v>
      </c>
      <c r="P38" s="114"/>
      <c r="Q38" s="115" t="s">
        <v>400</v>
      </c>
      <c r="R38" s="115" t="s">
        <v>401</v>
      </c>
      <c r="S38" s="115" t="s">
        <v>402</v>
      </c>
      <c r="T38" s="114"/>
      <c r="U38" s="113" t="s">
        <v>185</v>
      </c>
      <c r="V38" s="113" t="s">
        <v>186</v>
      </c>
      <c r="W38" s="116" t="str">
        <f>IF(F25="Yes","DR-Drill storage size (GB)
(Manged disk)", "DR-Drill storage size (GB)
(Unmanaged disk)")</f>
        <v>DR-Drill storage size (GB)
(Manged disk)</v>
      </c>
      <c r="X38" s="113" t="str">
        <f>IF(F25="Yes","DR-Drill storage cost (average) per month 
(Managed disk)","DR-Drill storage cost (average) per month
(Unmanaged disk)")</f>
        <v>DR-Drill storage cost (average) per month 
(Managed disk)</v>
      </c>
      <c r="Y38" s="113" t="s">
        <v>187</v>
      </c>
      <c r="Z38" s="113" t="s">
        <v>188</v>
      </c>
      <c r="AA38" s="405" t="s">
        <v>530</v>
      </c>
      <c r="AB38" s="114"/>
      <c r="AC38" s="115" t="s">
        <v>189</v>
      </c>
      <c r="AD38" s="114"/>
      <c r="AE38" s="115" t="s">
        <v>190</v>
      </c>
      <c r="AF38" s="115" t="s">
        <v>191</v>
      </c>
      <c r="AG38" s="115" t="s">
        <v>192</v>
      </c>
      <c r="AH38" s="117"/>
    </row>
    <row r="39" spans="1:41" s="84" customFormat="1">
      <c r="A39" s="415" t="s">
        <v>193</v>
      </c>
      <c r="B39" s="416"/>
      <c r="C39" s="417"/>
      <c r="D39" s="418" t="s">
        <v>229</v>
      </c>
      <c r="E39" s="416" t="s">
        <v>195</v>
      </c>
      <c r="F39" s="419">
        <v>0</v>
      </c>
      <c r="G39" s="420">
        <v>4</v>
      </c>
      <c r="H39" s="420">
        <v>7</v>
      </c>
      <c r="I39" s="469" t="s">
        <v>194</v>
      </c>
      <c r="J39" s="414" t="s">
        <v>180</v>
      </c>
      <c r="K39" s="421" t="s">
        <v>150</v>
      </c>
      <c r="L39" s="118" t="str">
        <f t="shared" ref="L39:L70" si="1">IF(AND(K39="No",ISNUMBER(SEARCH("Windows",I39))),_xlfn.CONCAT(D39,"_Windows"),D39)</f>
        <v>Standard_A0</v>
      </c>
      <c r="M39" s="388">
        <f t="shared" ref="M39:M70" si="2">IF($F$27="Month",N39+O39+(AC39*B39),N39+O39+(AC39*B39*12))</f>
        <v>0</v>
      </c>
      <c r="N39" s="388">
        <f t="shared" ref="N39:N70" si="3">IF($F$27="Month",U39,U39*12)</f>
        <v>0</v>
      </c>
      <c r="O39" s="388">
        <f t="shared" ref="O39:O70" si="4">IF($F$27="Month",Q39/12+R39/12,Q39+R39)</f>
        <v>0</v>
      </c>
      <c r="P39" s="389"/>
      <c r="Q39" s="388">
        <f>IF((OR(B39="",B39=0)),0,IFERROR(VLOOKUP(L39,Prices!$A$3:$D$300,3,FALSE),0)*B39*G39*H39*24)</f>
        <v>0</v>
      </c>
      <c r="R39" s="388">
        <f>IF(OR(B39="",B39=0),0,
 IF(E39="Standard",IF($F$25="Yes",W39*B39*G39*H39*Prices!$H$27/30,(F39*B39*G39*H39*VLOOKUP(J39,Prices!$G$21:$H$23,2,FALSE)/30)), W39*B39*G39*H39*Prices!$H$17/30))</f>
        <v>0</v>
      </c>
      <c r="S39" s="390">
        <f t="shared" ref="S39:S124" si="5">Q39+R39</f>
        <v>0</v>
      </c>
      <c r="T39" s="391"/>
      <c r="U39" s="388">
        <f>IF(E39="Standard",F39*B39*VLOOKUP(J39,Prices!$G$21:$H$23,2,FALSE),F39*B39*Prices!$H$17)</f>
        <v>0</v>
      </c>
      <c r="V39" s="388">
        <f t="shared" ref="V39:V124" si="6">U39*12</f>
        <v>0</v>
      </c>
      <c r="W39" s="392">
        <v>0</v>
      </c>
      <c r="X39" s="388">
        <f t="shared" ref="X39:X124" si="7">R39/12</f>
        <v>0</v>
      </c>
      <c r="Y39" s="388">
        <f t="shared" ref="Y39:Y124" si="8">Z39/12</f>
        <v>0</v>
      </c>
      <c r="Z39" s="388">
        <f t="shared" ref="Z39:Z123" si="9">V39+ R39</f>
        <v>0</v>
      </c>
      <c r="AA39" s="388">
        <f t="shared" ref="AA39:AA124" si="10">Q39</f>
        <v>0</v>
      </c>
      <c r="AB39" s="391"/>
      <c r="AC39" s="393">
        <f>IF(B39= 0,0,Prices!$AG$3*B39)</f>
        <v>0</v>
      </c>
      <c r="AD39" s="391"/>
      <c r="AE39" s="388">
        <f>IF((OR(B39="",B39=0)),0,B39*IFERROR(VLOOKUP(L39,Prices!$A$3:$D$300,3,FALSE),0)*24)</f>
        <v>0</v>
      </c>
      <c r="AF39" s="388">
        <f>IF((OR(B39="",B39=0)),0,IF(E39="Standard",IF($F$25="Yes",(W39*B39*Prices!$H$27)/30,(F39*B39*VLOOKUP(J39,Prices!$G$21:$H$23,2,FALSE)/30)),W39*B39*Prices!$H$17/30))</f>
        <v>0</v>
      </c>
      <c r="AG39" s="388">
        <f t="shared" ref="AG39:AG124" si="11">AE39+AF39</f>
        <v>0</v>
      </c>
      <c r="AH39" s="81"/>
    </row>
    <row r="40" spans="1:41" s="527" customFormat="1">
      <c r="A40" s="514" t="s">
        <v>990</v>
      </c>
      <c r="B40" s="515">
        <v>1</v>
      </c>
      <c r="C40" s="516" t="s">
        <v>352</v>
      </c>
      <c r="D40" s="517" t="s">
        <v>352</v>
      </c>
      <c r="E40" s="528" t="s">
        <v>3</v>
      </c>
      <c r="F40" s="518">
        <v>2949</v>
      </c>
      <c r="G40" s="519">
        <v>4</v>
      </c>
      <c r="H40" s="519">
        <v>7</v>
      </c>
      <c r="I40" s="520" t="s">
        <v>194</v>
      </c>
      <c r="J40" s="521" t="s">
        <v>180</v>
      </c>
      <c r="K40" s="522" t="s">
        <v>150</v>
      </c>
      <c r="L40" s="118" t="str">
        <f t="shared" si="1"/>
        <v>Standard_DS5_v2</v>
      </c>
      <c r="M40" s="388">
        <f t="shared" si="2"/>
        <v>5862.3306666666667</v>
      </c>
      <c r="N40" s="388">
        <f t="shared" si="3"/>
        <v>4954.32</v>
      </c>
      <c r="O40" s="388">
        <f t="shared" si="4"/>
        <v>608.01066666666668</v>
      </c>
      <c r="P40" s="523"/>
      <c r="Q40" s="388">
        <f>IF((OR(B40="",B40=0)),0,IFERROR(VLOOKUP(L40,Prices!$A$3:$D$300,3,FALSE),0)*B40*G40*H40*24)</f>
        <v>122.976</v>
      </c>
      <c r="R40" s="388">
        <f>IF(OR(B40="",B40=0),0,
 IF(E40="Standard",IF($F$25="Yes",W40*B40*G40*H40*Prices!$H$27/30,(F40*B40*G40*H40*VLOOKUP(J40,Prices!$G$21:$H$23,2,FALSE)/30)), W40*B40*G40*H40*Prices!$H$17/30))</f>
        <v>485.03466666666668</v>
      </c>
      <c r="S40" s="390">
        <f t="shared" si="5"/>
        <v>608.01066666666668</v>
      </c>
      <c r="T40" s="524"/>
      <c r="U40" s="388">
        <f>IF(E40="Standard",F40*B40*VLOOKUP(J40,Prices!$G$21:$H$23,2,FALSE),F40*B40*Prices!$H$17)</f>
        <v>412.86</v>
      </c>
      <c r="V40" s="388">
        <f t="shared" si="6"/>
        <v>4954.32</v>
      </c>
      <c r="W40" s="525">
        <v>3712</v>
      </c>
      <c r="X40" s="388">
        <f t="shared" si="7"/>
        <v>40.419555555555554</v>
      </c>
      <c r="Y40" s="388">
        <f t="shared" si="8"/>
        <v>453.27955555555553</v>
      </c>
      <c r="Z40" s="388">
        <f t="shared" si="9"/>
        <v>5439.3546666666662</v>
      </c>
      <c r="AA40" s="388">
        <f t="shared" si="10"/>
        <v>122.976</v>
      </c>
      <c r="AB40" s="524"/>
      <c r="AC40" s="393">
        <f>IF(B40= 0,0,Prices!$AG$3*B40)</f>
        <v>25</v>
      </c>
      <c r="AD40" s="524"/>
      <c r="AE40" s="388">
        <f>IF((OR(B40="",B40=0)),0,B40*IFERROR(VLOOKUP(L40,Prices!$A$3:$D$300,3,FALSE),0)*24)</f>
        <v>4.3919999999999995</v>
      </c>
      <c r="AF40" s="388">
        <f>IF((OR(B40="",B40=0)),0,IF(E40="Standard",IF($F$25="Yes",(W40*B40*Prices!$H$27)/30,(F40*B40*VLOOKUP(J40,Prices!$G$21:$H$23,2,FALSE)/30)),W40*B40*Prices!$H$17/30))</f>
        <v>17.32266666666667</v>
      </c>
      <c r="AG40" s="388">
        <f t="shared" si="11"/>
        <v>21.71466666666667</v>
      </c>
      <c r="AH40" s="526"/>
    </row>
    <row r="41" spans="1:41" s="527" customFormat="1">
      <c r="A41" s="514" t="s">
        <v>991</v>
      </c>
      <c r="B41" s="515">
        <v>1</v>
      </c>
      <c r="C41" s="516" t="s">
        <v>276</v>
      </c>
      <c r="D41" s="517" t="s">
        <v>276</v>
      </c>
      <c r="E41" s="515" t="s">
        <v>195</v>
      </c>
      <c r="F41" s="518">
        <v>200</v>
      </c>
      <c r="G41" s="519">
        <v>4</v>
      </c>
      <c r="H41" s="519">
        <v>7</v>
      </c>
      <c r="I41" s="520" t="s">
        <v>194</v>
      </c>
      <c r="J41" s="521" t="s">
        <v>180</v>
      </c>
      <c r="K41" s="522" t="s">
        <v>150</v>
      </c>
      <c r="L41" s="118" t="str">
        <f t="shared" si="1"/>
        <v>Standard_A2</v>
      </c>
      <c r="M41" s="388">
        <f t="shared" si="2"/>
        <v>443.59466666666668</v>
      </c>
      <c r="N41" s="388">
        <f t="shared" si="3"/>
        <v>120</v>
      </c>
      <c r="O41" s="388">
        <f t="shared" si="4"/>
        <v>23.594666666666669</v>
      </c>
      <c r="P41" s="523"/>
      <c r="Q41" s="388">
        <f>IF((OR(B41="",B41=0)),0,IFERROR(VLOOKUP(L41,Prices!$A$3:$D$300,3,FALSE),0)*B41*G41*H41*24)</f>
        <v>13.440000000000001</v>
      </c>
      <c r="R41" s="388">
        <f>IF(OR(B41="",B41=0),0,
 IF(E41="Standard",IF($F$25="Yes",W41*B41*G41*H41*Prices!$H$27/30,(F41*B41*G41*H41*VLOOKUP(J41,Prices!$G$21:$H$23,2,FALSE)/30)), W41*B41*G41*H41*Prices!$H$17/30))</f>
        <v>10.154666666666667</v>
      </c>
      <c r="S41" s="390">
        <f t="shared" si="5"/>
        <v>23.594666666666669</v>
      </c>
      <c r="T41" s="524"/>
      <c r="U41" s="388">
        <f>IF(E41="Standard",F41*B41*VLOOKUP(J41,Prices!$G$21:$H$23,2,FALSE),F41*B41*Prices!$H$17)</f>
        <v>10</v>
      </c>
      <c r="V41" s="388">
        <f t="shared" si="6"/>
        <v>120</v>
      </c>
      <c r="W41" s="525">
        <v>256</v>
      </c>
      <c r="X41" s="388">
        <f t="shared" si="7"/>
        <v>0.84622222222222232</v>
      </c>
      <c r="Y41" s="388">
        <f t="shared" si="8"/>
        <v>10.846222222222222</v>
      </c>
      <c r="Z41" s="388">
        <f t="shared" si="9"/>
        <v>130.15466666666666</v>
      </c>
      <c r="AA41" s="388">
        <f t="shared" si="10"/>
        <v>13.440000000000001</v>
      </c>
      <c r="AB41" s="524"/>
      <c r="AC41" s="393">
        <f>IF(B41= 0,0,Prices!$AG$3*B41)</f>
        <v>25</v>
      </c>
      <c r="AD41" s="524"/>
      <c r="AE41" s="388">
        <f>IF((OR(B41="",B41=0)),0,B41*IFERROR(VLOOKUP(L41,Prices!$A$3:$D$300,3,FALSE),0)*24)</f>
        <v>0.48</v>
      </c>
      <c r="AF41" s="388">
        <f>IF((OR(B41="",B41=0)),0,IF(E41="Standard",IF($F$25="Yes",(W41*B41*Prices!$H$27)/30,(F41*B41*VLOOKUP(J41,Prices!$G$21:$H$23,2,FALSE)/30)),W41*B41*Prices!$H$17/30))</f>
        <v>0.36266666666666669</v>
      </c>
      <c r="AG41" s="388">
        <f t="shared" si="11"/>
        <v>0.84266666666666667</v>
      </c>
      <c r="AH41" s="526"/>
    </row>
    <row r="42" spans="1:41" s="527" customFormat="1">
      <c r="A42" s="514" t="s">
        <v>992</v>
      </c>
      <c r="B42" s="515">
        <v>1</v>
      </c>
      <c r="C42" s="516" t="s">
        <v>276</v>
      </c>
      <c r="D42" s="517" t="s">
        <v>276</v>
      </c>
      <c r="E42" s="515" t="s">
        <v>195</v>
      </c>
      <c r="F42" s="518">
        <v>450</v>
      </c>
      <c r="G42" s="519">
        <v>4</v>
      </c>
      <c r="H42" s="519">
        <v>7</v>
      </c>
      <c r="I42" s="520" t="s">
        <v>194</v>
      </c>
      <c r="J42" s="521" t="s">
        <v>180</v>
      </c>
      <c r="K42" s="522" t="s">
        <v>150</v>
      </c>
      <c r="L42" s="118" t="str">
        <f t="shared" si="1"/>
        <v>Standard_A2</v>
      </c>
      <c r="M42" s="388">
        <f t="shared" si="2"/>
        <v>611.36533333333341</v>
      </c>
      <c r="N42" s="388">
        <f t="shared" si="3"/>
        <v>270</v>
      </c>
      <c r="O42" s="388">
        <f t="shared" si="4"/>
        <v>41.365333333333339</v>
      </c>
      <c r="P42" s="523"/>
      <c r="Q42" s="388">
        <f>IF((OR(B42="",B42=0)),0,IFERROR(VLOOKUP(L42,Prices!$A$3:$D$300,3,FALSE),0)*B42*G42*H42*24)</f>
        <v>13.440000000000001</v>
      </c>
      <c r="R42" s="388">
        <f>IF(OR(B42="",B42=0),0,
 IF(E42="Standard",IF($F$25="Yes",W42*B42*G42*H42*Prices!$H$27/30,(F42*B42*G42*H42*VLOOKUP(J42,Prices!$G$21:$H$23,2,FALSE)/30)), W42*B42*G42*H42*Prices!$H$17/30))</f>
        <v>27.925333333333338</v>
      </c>
      <c r="S42" s="390">
        <f t="shared" si="5"/>
        <v>41.365333333333339</v>
      </c>
      <c r="T42" s="524"/>
      <c r="U42" s="388">
        <f>IF(E42="Standard",F42*B42*VLOOKUP(J42,Prices!$G$21:$H$23,2,FALSE),F42*B42*Prices!$H$17)</f>
        <v>22.5</v>
      </c>
      <c r="V42" s="388">
        <f t="shared" si="6"/>
        <v>270</v>
      </c>
      <c r="W42" s="525">
        <v>704</v>
      </c>
      <c r="X42" s="388">
        <f t="shared" si="7"/>
        <v>2.3271111111111114</v>
      </c>
      <c r="Y42" s="388">
        <f t="shared" si="8"/>
        <v>24.827111111111112</v>
      </c>
      <c r="Z42" s="388">
        <f t="shared" si="9"/>
        <v>297.92533333333336</v>
      </c>
      <c r="AA42" s="388">
        <f t="shared" si="10"/>
        <v>13.440000000000001</v>
      </c>
      <c r="AB42" s="524"/>
      <c r="AC42" s="393">
        <f>IF(B42= 0,0,Prices!$AG$3*B42)</f>
        <v>25</v>
      </c>
      <c r="AD42" s="524"/>
      <c r="AE42" s="388">
        <f>IF((OR(B42="",B42=0)),0,B42*IFERROR(VLOOKUP(L42,Prices!$A$3:$D$300,3,FALSE),0)*24)</f>
        <v>0.48</v>
      </c>
      <c r="AF42" s="388">
        <f>IF((OR(B42="",B42=0)),0,IF(E42="Standard",IF($F$25="Yes",(W42*B42*Prices!$H$27)/30,(F42*B42*VLOOKUP(J42,Prices!$G$21:$H$23,2,FALSE)/30)),W42*B42*Prices!$H$17/30))</f>
        <v>0.9973333333333334</v>
      </c>
      <c r="AG42" s="388">
        <f t="shared" si="11"/>
        <v>1.4773333333333334</v>
      </c>
      <c r="AH42" s="526"/>
    </row>
    <row r="43" spans="1:41" s="527" customFormat="1">
      <c r="A43" s="514" t="s">
        <v>993</v>
      </c>
      <c r="B43" s="515">
        <v>1</v>
      </c>
      <c r="C43" s="516" t="s">
        <v>342</v>
      </c>
      <c r="D43" s="517" t="s">
        <v>342</v>
      </c>
      <c r="E43" s="515" t="s">
        <v>195</v>
      </c>
      <c r="F43" s="518">
        <v>177</v>
      </c>
      <c r="G43" s="519">
        <v>4</v>
      </c>
      <c r="H43" s="519">
        <v>7</v>
      </c>
      <c r="I43" s="520" t="s">
        <v>194</v>
      </c>
      <c r="J43" s="521" t="s">
        <v>180</v>
      </c>
      <c r="K43" s="522" t="s">
        <v>150</v>
      </c>
      <c r="L43" s="118" t="str">
        <f t="shared" si="1"/>
        <v>Standard_D5_v2</v>
      </c>
      <c r="M43" s="388">
        <f t="shared" si="2"/>
        <v>536.79200000000003</v>
      </c>
      <c r="N43" s="388">
        <f t="shared" si="3"/>
        <v>106.19999999999999</v>
      </c>
      <c r="O43" s="388">
        <f t="shared" si="4"/>
        <v>130.59200000000001</v>
      </c>
      <c r="P43" s="523"/>
      <c r="Q43" s="388">
        <f>IF((OR(B43="",B43=0)),0,IFERROR(VLOOKUP(L43,Prices!$A$3:$D$300,3,FALSE),0)*B43*G43*H43*24)</f>
        <v>122.976</v>
      </c>
      <c r="R43" s="388">
        <f>IF(OR(B43="",B43=0),0,
 IF(E43="Standard",IF($F$25="Yes",W43*B43*G43*H43*Prices!$H$27/30,(F43*B43*G43*H43*VLOOKUP(J43,Prices!$G$21:$H$23,2,FALSE)/30)), W43*B43*G43*H43*Prices!$H$17/30))</f>
        <v>7.6160000000000005</v>
      </c>
      <c r="S43" s="390">
        <f t="shared" si="5"/>
        <v>130.59200000000001</v>
      </c>
      <c r="T43" s="524"/>
      <c r="U43" s="388">
        <f>IF(E43="Standard",F43*B43*VLOOKUP(J43,Prices!$G$21:$H$23,2,FALSE),F43*B43*Prices!$H$17)</f>
        <v>8.85</v>
      </c>
      <c r="V43" s="388">
        <f t="shared" si="6"/>
        <v>106.19999999999999</v>
      </c>
      <c r="W43" s="525">
        <v>192</v>
      </c>
      <c r="X43" s="388">
        <f t="shared" si="7"/>
        <v>0.63466666666666671</v>
      </c>
      <c r="Y43" s="388">
        <f t="shared" si="8"/>
        <v>9.4846666666666657</v>
      </c>
      <c r="Z43" s="388">
        <f t="shared" si="9"/>
        <v>113.81599999999999</v>
      </c>
      <c r="AA43" s="388">
        <f t="shared" si="10"/>
        <v>122.976</v>
      </c>
      <c r="AB43" s="524"/>
      <c r="AC43" s="393">
        <f>IF(B43= 0,0,Prices!$AG$3*B43)</f>
        <v>25</v>
      </c>
      <c r="AD43" s="524"/>
      <c r="AE43" s="388">
        <f>IF((OR(B43="",B43=0)),0,B43*IFERROR(VLOOKUP(L43,Prices!$A$3:$D$300,3,FALSE),0)*24)</f>
        <v>4.3919999999999995</v>
      </c>
      <c r="AF43" s="388">
        <f>IF((OR(B43="",B43=0)),0,IF(E43="Standard",IF($F$25="Yes",(W43*B43*Prices!$H$27)/30,(F43*B43*VLOOKUP(J43,Prices!$G$21:$H$23,2,FALSE)/30)),W43*B43*Prices!$H$17/30))</f>
        <v>0.27200000000000002</v>
      </c>
      <c r="AG43" s="388">
        <f t="shared" si="11"/>
        <v>4.6639999999999997</v>
      </c>
      <c r="AH43" s="526"/>
    </row>
    <row r="44" spans="1:41" s="527" customFormat="1">
      <c r="A44" s="514" t="s">
        <v>994</v>
      </c>
      <c r="B44" s="515">
        <v>1</v>
      </c>
      <c r="C44" s="516" t="s">
        <v>342</v>
      </c>
      <c r="D44" s="517" t="s">
        <v>342</v>
      </c>
      <c r="E44" s="515" t="s">
        <v>195</v>
      </c>
      <c r="F44" s="518">
        <v>900</v>
      </c>
      <c r="G44" s="519">
        <v>4</v>
      </c>
      <c r="H44" s="519">
        <v>7</v>
      </c>
      <c r="I44" s="520" t="s">
        <v>194</v>
      </c>
      <c r="J44" s="521" t="s">
        <v>180</v>
      </c>
      <c r="K44" s="522" t="s">
        <v>150</v>
      </c>
      <c r="L44" s="118" t="str">
        <f t="shared" si="1"/>
        <v>Standard_D5_v2</v>
      </c>
      <c r="M44" s="388">
        <f t="shared" si="2"/>
        <v>1006.1333333333333</v>
      </c>
      <c r="N44" s="388">
        <f t="shared" si="3"/>
        <v>540</v>
      </c>
      <c r="O44" s="388">
        <f t="shared" si="4"/>
        <v>166.13333333333333</v>
      </c>
      <c r="P44" s="523"/>
      <c r="Q44" s="388">
        <f>IF((OR(B44="",B44=0)),0,IFERROR(VLOOKUP(L44,Prices!$A$3:$D$300,3,FALSE),0)*B44*G44*H44*24)</f>
        <v>122.976</v>
      </c>
      <c r="R44" s="388">
        <f>IF(OR(B44="",B44=0),0,
 IF(E44="Standard",IF($F$25="Yes",W44*B44*G44*H44*Prices!$H$27/30,(F44*B44*G44*H44*VLOOKUP(J44,Prices!$G$21:$H$23,2,FALSE)/30)), W44*B44*G44*H44*Prices!$H$17/30))</f>
        <v>43.157333333333334</v>
      </c>
      <c r="S44" s="390">
        <f t="shared" si="5"/>
        <v>166.13333333333333</v>
      </c>
      <c r="T44" s="524"/>
      <c r="U44" s="388">
        <f>IF(E44="Standard",F44*B44*VLOOKUP(J44,Prices!$G$21:$H$23,2,FALSE),F44*B44*Prices!$H$17)</f>
        <v>45</v>
      </c>
      <c r="V44" s="388">
        <f t="shared" si="6"/>
        <v>540</v>
      </c>
      <c r="W44" s="525">
        <v>1088</v>
      </c>
      <c r="X44" s="388">
        <f t="shared" si="7"/>
        <v>3.5964444444444443</v>
      </c>
      <c r="Y44" s="388">
        <f t="shared" si="8"/>
        <v>48.596444444444444</v>
      </c>
      <c r="Z44" s="388">
        <f t="shared" si="9"/>
        <v>583.15733333333333</v>
      </c>
      <c r="AA44" s="388">
        <f t="shared" si="10"/>
        <v>122.976</v>
      </c>
      <c r="AB44" s="524"/>
      <c r="AC44" s="393">
        <f>IF(B44= 0,0,Prices!$AG$3*B44)</f>
        <v>25</v>
      </c>
      <c r="AD44" s="524"/>
      <c r="AE44" s="388">
        <f>IF((OR(B44="",B44=0)),0,B44*IFERROR(VLOOKUP(L44,Prices!$A$3:$D$300,3,FALSE),0)*24)</f>
        <v>4.3919999999999995</v>
      </c>
      <c r="AF44" s="388">
        <f>IF((OR(B44="",B44=0)),0,IF(E44="Standard",IF($F$25="Yes",(W44*B44*Prices!$H$27)/30,(F44*B44*VLOOKUP(J44,Prices!$G$21:$H$23,2,FALSE)/30)),W44*B44*Prices!$H$17/30))</f>
        <v>1.5413333333333334</v>
      </c>
      <c r="AG44" s="388">
        <f t="shared" si="11"/>
        <v>5.9333333333333327</v>
      </c>
      <c r="AH44" s="526"/>
    </row>
    <row r="45" spans="1:41" s="527" customFormat="1">
      <c r="A45" s="514" t="s">
        <v>995</v>
      </c>
      <c r="B45" s="515">
        <v>1</v>
      </c>
      <c r="C45" s="516" t="s">
        <v>350</v>
      </c>
      <c r="D45" s="517" t="s">
        <v>350</v>
      </c>
      <c r="E45" s="528" t="s">
        <v>3</v>
      </c>
      <c r="F45" s="518">
        <v>601</v>
      </c>
      <c r="G45" s="519">
        <v>4</v>
      </c>
      <c r="H45" s="519">
        <v>7</v>
      </c>
      <c r="I45" s="520" t="s">
        <v>194</v>
      </c>
      <c r="J45" s="521" t="s">
        <v>180</v>
      </c>
      <c r="K45" s="522" t="s">
        <v>150</v>
      </c>
      <c r="L45" s="118" t="str">
        <f t="shared" si="1"/>
        <v>Standard_DS3_v2</v>
      </c>
      <c r="M45" s="388">
        <f t="shared" si="2"/>
        <v>1440.9440000000002</v>
      </c>
      <c r="N45" s="388">
        <f t="shared" si="3"/>
        <v>1009.6800000000002</v>
      </c>
      <c r="O45" s="388">
        <f t="shared" si="4"/>
        <v>131.26400000000001</v>
      </c>
      <c r="P45" s="523"/>
      <c r="Q45" s="388">
        <f>IF((OR(B45="",B45=0)),0,IFERROR(VLOOKUP(L45,Prices!$A$3:$D$300,3,FALSE),0)*B45*G45*H45*24)</f>
        <v>30.911999999999999</v>
      </c>
      <c r="R45" s="388">
        <f>IF(OR(B45="",B45=0),0,
 IF(E45="Standard",IF($F$25="Yes",W45*B45*G45*H45*Prices!$H$27/30,(F45*B45*G45*H45*VLOOKUP(J45,Prices!$G$21:$H$23,2,FALSE)/30)), W45*B45*G45*H45*Prices!$H$17/30))</f>
        <v>100.35200000000002</v>
      </c>
      <c r="S45" s="390">
        <f t="shared" si="5"/>
        <v>131.26400000000001</v>
      </c>
      <c r="T45" s="524"/>
      <c r="U45" s="388">
        <f>IF(E45="Standard",F45*B45*VLOOKUP(J45,Prices!$G$21:$H$23,2,FALSE),F45*B45*Prices!$H$17)</f>
        <v>84.140000000000015</v>
      </c>
      <c r="V45" s="388">
        <f t="shared" si="6"/>
        <v>1009.6800000000002</v>
      </c>
      <c r="W45" s="525">
        <v>768</v>
      </c>
      <c r="X45" s="388">
        <f t="shared" si="7"/>
        <v>8.3626666666666676</v>
      </c>
      <c r="Y45" s="388">
        <f t="shared" si="8"/>
        <v>92.502666666666684</v>
      </c>
      <c r="Z45" s="388">
        <f t="shared" si="9"/>
        <v>1110.0320000000002</v>
      </c>
      <c r="AA45" s="388">
        <f t="shared" si="10"/>
        <v>30.911999999999999</v>
      </c>
      <c r="AB45" s="524"/>
      <c r="AC45" s="393">
        <f>IF(B45= 0,0,Prices!$AG$3*B45)</f>
        <v>25</v>
      </c>
      <c r="AD45" s="524"/>
      <c r="AE45" s="388">
        <f>IF((OR(B45="",B45=0)),0,B45*IFERROR(VLOOKUP(L45,Prices!$A$3:$D$300,3,FALSE),0)*24)</f>
        <v>1.1040000000000001</v>
      </c>
      <c r="AF45" s="388">
        <f>IF((OR(B45="",B45=0)),0,IF(E45="Standard",IF($F$25="Yes",(W45*B45*Prices!$H$27)/30,(F45*B45*VLOOKUP(J45,Prices!$G$21:$H$23,2,FALSE)/30)),W45*B45*Prices!$H$17/30))</f>
        <v>3.5840000000000005</v>
      </c>
      <c r="AG45" s="388">
        <f t="shared" si="11"/>
        <v>4.6880000000000006</v>
      </c>
      <c r="AH45" s="526"/>
    </row>
    <row r="46" spans="1:41" s="527" customFormat="1">
      <c r="A46" s="514" t="s">
        <v>996</v>
      </c>
      <c r="B46" s="515">
        <v>1</v>
      </c>
      <c r="C46" s="516" t="s">
        <v>342</v>
      </c>
      <c r="D46" s="517" t="s">
        <v>342</v>
      </c>
      <c r="E46" s="515" t="s">
        <v>195</v>
      </c>
      <c r="F46" s="518">
        <v>1494</v>
      </c>
      <c r="G46" s="519">
        <v>4</v>
      </c>
      <c r="H46" s="519">
        <v>7</v>
      </c>
      <c r="I46" s="520" t="s">
        <v>194</v>
      </c>
      <c r="J46" s="521" t="s">
        <v>180</v>
      </c>
      <c r="K46" s="522" t="s">
        <v>150</v>
      </c>
      <c r="L46" s="118" t="str">
        <f t="shared" si="1"/>
        <v>Standard_D5_v2</v>
      </c>
      <c r="M46" s="388">
        <f t="shared" si="2"/>
        <v>1401.8826666666669</v>
      </c>
      <c r="N46" s="388">
        <f t="shared" si="3"/>
        <v>896.40000000000009</v>
      </c>
      <c r="O46" s="388">
        <f t="shared" si="4"/>
        <v>205.48266666666666</v>
      </c>
      <c r="P46" s="523"/>
      <c r="Q46" s="388">
        <f>IF((OR(B46="",B46=0)),0,IFERROR(VLOOKUP(L46,Prices!$A$3:$D$300,3,FALSE),0)*B46*G46*H46*24)</f>
        <v>122.976</v>
      </c>
      <c r="R46" s="388">
        <f>IF(OR(B46="",B46=0),0,
 IF(E46="Standard",IF($F$25="Yes",W46*B46*G46*H46*Prices!$H$27/30,(F46*B46*G46*H46*VLOOKUP(J46,Prices!$G$21:$H$23,2,FALSE)/30)), W46*B46*G46*H46*Prices!$H$17/30))</f>
        <v>82.506666666666675</v>
      </c>
      <c r="S46" s="390">
        <f t="shared" si="5"/>
        <v>205.48266666666666</v>
      </c>
      <c r="T46" s="524"/>
      <c r="U46" s="388">
        <f>IF(E46="Standard",F46*B46*VLOOKUP(J46,Prices!$G$21:$H$23,2,FALSE),F46*B46*Prices!$H$17)</f>
        <v>74.7</v>
      </c>
      <c r="V46" s="388">
        <f t="shared" si="6"/>
        <v>896.40000000000009</v>
      </c>
      <c r="W46" s="525">
        <v>2080</v>
      </c>
      <c r="X46" s="388">
        <f t="shared" si="7"/>
        <v>6.8755555555555565</v>
      </c>
      <c r="Y46" s="388">
        <f t="shared" si="8"/>
        <v>81.575555555555567</v>
      </c>
      <c r="Z46" s="388">
        <f t="shared" si="9"/>
        <v>978.90666666666675</v>
      </c>
      <c r="AA46" s="388">
        <f t="shared" si="10"/>
        <v>122.976</v>
      </c>
      <c r="AB46" s="524"/>
      <c r="AC46" s="393">
        <f>IF(B46= 0,0,Prices!$AG$3*B46)</f>
        <v>25</v>
      </c>
      <c r="AD46" s="524"/>
      <c r="AE46" s="388">
        <f>IF((OR(B46="",B46=0)),0,B46*IFERROR(VLOOKUP(L46,Prices!$A$3:$D$300,3,FALSE),0)*24)</f>
        <v>4.3919999999999995</v>
      </c>
      <c r="AF46" s="388">
        <f>IF((OR(B46="",B46=0)),0,IF(E46="Standard",IF($F$25="Yes",(W46*B46*Prices!$H$27)/30,(F46*B46*VLOOKUP(J46,Prices!$G$21:$H$23,2,FALSE)/30)),W46*B46*Prices!$H$17/30))</f>
        <v>2.9466666666666668</v>
      </c>
      <c r="AG46" s="388">
        <f t="shared" si="11"/>
        <v>7.3386666666666667</v>
      </c>
      <c r="AH46" s="526"/>
    </row>
    <row r="47" spans="1:41" s="527" customFormat="1">
      <c r="A47" s="514" t="s">
        <v>997</v>
      </c>
      <c r="B47" s="515">
        <v>1</v>
      </c>
      <c r="C47" s="516" t="s">
        <v>372</v>
      </c>
      <c r="D47" s="517" t="s">
        <v>372</v>
      </c>
      <c r="E47" s="515" t="s">
        <v>195</v>
      </c>
      <c r="F47" s="518">
        <v>120</v>
      </c>
      <c r="G47" s="519">
        <v>4</v>
      </c>
      <c r="H47" s="519">
        <v>7</v>
      </c>
      <c r="I47" s="520" t="s">
        <v>194</v>
      </c>
      <c r="J47" s="521" t="s">
        <v>180</v>
      </c>
      <c r="K47" s="522" t="s">
        <v>150</v>
      </c>
      <c r="L47" s="118" t="str">
        <f t="shared" si="1"/>
        <v>Standard_G5</v>
      </c>
      <c r="M47" s="388">
        <f t="shared" si="2"/>
        <v>5648.8426666666655</v>
      </c>
      <c r="N47" s="388">
        <f t="shared" si="3"/>
        <v>72</v>
      </c>
      <c r="O47" s="388">
        <f t="shared" si="4"/>
        <v>5276.8426666666655</v>
      </c>
      <c r="P47" s="523"/>
      <c r="Q47" s="388">
        <f>IF((OR(B47="",B47=0)),0,IFERROR(VLOOKUP(L47,Prices!$A$3:$D$300,3,FALSE),0)*B47*G47*H47*24)</f>
        <v>5270.4959999999992</v>
      </c>
      <c r="R47" s="388">
        <f>IF(OR(B47="",B47=0),0,
 IF(E47="Standard",IF($F$25="Yes",W47*B47*G47*H47*Prices!$H$27/30,(F47*B47*G47*H47*VLOOKUP(J47,Prices!$G$21:$H$23,2,FALSE)/30)), W47*B47*G47*H47*Prices!$H$17/30))</f>
        <v>6.3466666666666667</v>
      </c>
      <c r="S47" s="390">
        <f t="shared" si="5"/>
        <v>5276.8426666666655</v>
      </c>
      <c r="T47" s="524"/>
      <c r="U47" s="388">
        <f>IF(E47="Standard",F47*B47*VLOOKUP(J47,Prices!$G$21:$H$23,2,FALSE),F47*B47*Prices!$H$17)</f>
        <v>6</v>
      </c>
      <c r="V47" s="388">
        <f t="shared" si="6"/>
        <v>72</v>
      </c>
      <c r="W47" s="525">
        <v>160</v>
      </c>
      <c r="X47" s="388">
        <f t="shared" si="7"/>
        <v>0.52888888888888885</v>
      </c>
      <c r="Y47" s="388">
        <f t="shared" si="8"/>
        <v>6.528888888888889</v>
      </c>
      <c r="Z47" s="388">
        <f t="shared" si="9"/>
        <v>78.346666666666664</v>
      </c>
      <c r="AA47" s="388">
        <f t="shared" si="10"/>
        <v>5270.4959999999992</v>
      </c>
      <c r="AB47" s="524"/>
      <c r="AC47" s="393">
        <f>IF(B47= 0,0,Prices!$AG$3*B47)</f>
        <v>25</v>
      </c>
      <c r="AD47" s="524"/>
      <c r="AE47" s="388">
        <f>IF((OR(B47="",B47=0)),0,B47*IFERROR(VLOOKUP(L47,Prices!$A$3:$D$300,3,FALSE),0)*24)</f>
        <v>188.232</v>
      </c>
      <c r="AF47" s="388">
        <f>IF((OR(B47="",B47=0)),0,IF(E47="Standard",IF($F$25="Yes",(W47*B47*Prices!$H$27)/30,(F47*B47*VLOOKUP(J47,Prices!$G$21:$H$23,2,FALSE)/30)),W47*B47*Prices!$H$17/30))</f>
        <v>0.22666666666666668</v>
      </c>
      <c r="AG47" s="388">
        <f t="shared" si="11"/>
        <v>188.45866666666666</v>
      </c>
      <c r="AH47" s="526"/>
    </row>
    <row r="48" spans="1:41" s="527" customFormat="1">
      <c r="A48" s="514" t="s">
        <v>998</v>
      </c>
      <c r="B48" s="515">
        <v>1</v>
      </c>
      <c r="C48" s="516" t="s">
        <v>280</v>
      </c>
      <c r="D48" s="517" t="s">
        <v>280</v>
      </c>
      <c r="E48" s="515" t="s">
        <v>195</v>
      </c>
      <c r="F48" s="518">
        <v>251</v>
      </c>
      <c r="G48" s="519">
        <v>4</v>
      </c>
      <c r="H48" s="519">
        <v>7</v>
      </c>
      <c r="I48" s="520" t="s">
        <v>194</v>
      </c>
      <c r="J48" s="521" t="s">
        <v>180</v>
      </c>
      <c r="K48" s="522" t="s">
        <v>150</v>
      </c>
      <c r="L48" s="118" t="str">
        <f t="shared" si="1"/>
        <v>Standard_A4</v>
      </c>
      <c r="M48" s="388">
        <f t="shared" si="2"/>
        <v>735.45333333333338</v>
      </c>
      <c r="N48" s="388">
        <f t="shared" si="3"/>
        <v>150.60000000000002</v>
      </c>
      <c r="O48" s="388">
        <f t="shared" si="4"/>
        <v>284.8533333333333</v>
      </c>
      <c r="P48" s="523"/>
      <c r="Q48" s="388">
        <f>IF((OR(B48="",B48=0)),0,IFERROR(VLOOKUP(L48,Prices!$A$3:$D$300,3,FALSE),0)*B48*G48*H48*24)</f>
        <v>272.15999999999997</v>
      </c>
      <c r="R48" s="388">
        <f>IF(OR(B48="",B48=0),0,
 IF(E48="Standard",IF($F$25="Yes",W48*B48*G48*H48*Prices!$H$27/30,(F48*B48*G48*H48*VLOOKUP(J48,Prices!$G$21:$H$23,2,FALSE)/30)), W48*B48*G48*H48*Prices!$H$17/30))</f>
        <v>12.693333333333333</v>
      </c>
      <c r="S48" s="390">
        <f t="shared" si="5"/>
        <v>284.8533333333333</v>
      </c>
      <c r="T48" s="524"/>
      <c r="U48" s="388">
        <f>IF(E48="Standard",F48*B48*VLOOKUP(J48,Prices!$G$21:$H$23,2,FALSE),F48*B48*Prices!$H$17)</f>
        <v>12.55</v>
      </c>
      <c r="V48" s="388">
        <f t="shared" si="6"/>
        <v>150.60000000000002</v>
      </c>
      <c r="W48" s="525">
        <v>320</v>
      </c>
      <c r="X48" s="388">
        <f t="shared" si="7"/>
        <v>1.0577777777777777</v>
      </c>
      <c r="Y48" s="388">
        <f t="shared" si="8"/>
        <v>13.607777777777779</v>
      </c>
      <c r="Z48" s="388">
        <f t="shared" si="9"/>
        <v>163.29333333333335</v>
      </c>
      <c r="AA48" s="388">
        <f t="shared" si="10"/>
        <v>272.15999999999997</v>
      </c>
      <c r="AB48" s="524"/>
      <c r="AC48" s="393">
        <f>IF(B48= 0,0,Prices!$AG$3*B48)</f>
        <v>25</v>
      </c>
      <c r="AD48" s="524"/>
      <c r="AE48" s="388">
        <f>IF((OR(B48="",B48=0)),0,B48*IFERROR(VLOOKUP(L48,Prices!$A$3:$D$300,3,FALSE),0)*24)</f>
        <v>9.7200000000000006</v>
      </c>
      <c r="AF48" s="388">
        <f>IF((OR(B48="",B48=0)),0,IF(E48="Standard",IF($F$25="Yes",(W48*B48*Prices!$H$27)/30,(F48*B48*VLOOKUP(J48,Prices!$G$21:$H$23,2,FALSE)/30)),W48*B48*Prices!$H$17/30))</f>
        <v>0.45333333333333337</v>
      </c>
      <c r="AG48" s="388">
        <f t="shared" si="11"/>
        <v>10.173333333333334</v>
      </c>
      <c r="AH48" s="526"/>
    </row>
    <row r="49" spans="1:34" s="527" customFormat="1">
      <c r="A49" s="514" t="s">
        <v>999</v>
      </c>
      <c r="B49" s="515">
        <v>1</v>
      </c>
      <c r="C49" s="516" t="s">
        <v>276</v>
      </c>
      <c r="D49" s="517" t="s">
        <v>276</v>
      </c>
      <c r="E49" s="515" t="s">
        <v>195</v>
      </c>
      <c r="F49" s="518">
        <v>190</v>
      </c>
      <c r="G49" s="519">
        <v>4</v>
      </c>
      <c r="H49" s="519">
        <v>7</v>
      </c>
      <c r="I49" s="520" t="s">
        <v>194</v>
      </c>
      <c r="J49" s="521" t="s">
        <v>180</v>
      </c>
      <c r="K49" s="522" t="s">
        <v>150</v>
      </c>
      <c r="L49" s="118" t="str">
        <f t="shared" si="1"/>
        <v>Standard_A2</v>
      </c>
      <c r="M49" s="388">
        <f t="shared" si="2"/>
        <v>437.59466666666668</v>
      </c>
      <c r="N49" s="388">
        <f t="shared" si="3"/>
        <v>114</v>
      </c>
      <c r="O49" s="388">
        <f t="shared" si="4"/>
        <v>23.594666666666669</v>
      </c>
      <c r="P49" s="523"/>
      <c r="Q49" s="388">
        <f>IF((OR(B49="",B49=0)),0,IFERROR(VLOOKUP(L49,Prices!$A$3:$D$300,3,FALSE),0)*B49*G49*H49*24)</f>
        <v>13.440000000000001</v>
      </c>
      <c r="R49" s="388">
        <f>IF(OR(B49="",B49=0),0,
 IF(E49="Standard",IF($F$25="Yes",W49*B49*G49*H49*Prices!$H$27/30,(F49*B49*G49*H49*VLOOKUP(J49,Prices!$G$21:$H$23,2,FALSE)/30)), W49*B49*G49*H49*Prices!$H$17/30))</f>
        <v>10.154666666666667</v>
      </c>
      <c r="S49" s="390">
        <f t="shared" si="5"/>
        <v>23.594666666666669</v>
      </c>
      <c r="T49" s="524"/>
      <c r="U49" s="388">
        <f>IF(E49="Standard",F49*B49*VLOOKUP(J49,Prices!$G$21:$H$23,2,FALSE),F49*B49*Prices!$H$17)</f>
        <v>9.5</v>
      </c>
      <c r="V49" s="388">
        <f t="shared" si="6"/>
        <v>114</v>
      </c>
      <c r="W49" s="525">
        <v>256</v>
      </c>
      <c r="X49" s="388">
        <f t="shared" si="7"/>
        <v>0.84622222222222232</v>
      </c>
      <c r="Y49" s="388">
        <f t="shared" si="8"/>
        <v>10.346222222222222</v>
      </c>
      <c r="Z49" s="388">
        <f t="shared" si="9"/>
        <v>124.15466666666667</v>
      </c>
      <c r="AA49" s="388">
        <f t="shared" si="10"/>
        <v>13.440000000000001</v>
      </c>
      <c r="AB49" s="524"/>
      <c r="AC49" s="393">
        <f>IF(B49= 0,0,Prices!$AG$3*B49)</f>
        <v>25</v>
      </c>
      <c r="AD49" s="524"/>
      <c r="AE49" s="388">
        <f>IF((OR(B49="",B49=0)),0,B49*IFERROR(VLOOKUP(L49,Prices!$A$3:$D$300,3,FALSE),0)*24)</f>
        <v>0.48</v>
      </c>
      <c r="AF49" s="388">
        <f>IF((OR(B49="",B49=0)),0,IF(E49="Standard",IF($F$25="Yes",(W49*B49*Prices!$H$27)/30,(F49*B49*VLOOKUP(J49,Prices!$G$21:$H$23,2,FALSE)/30)),W49*B49*Prices!$H$17/30))</f>
        <v>0.36266666666666669</v>
      </c>
      <c r="AG49" s="388">
        <f t="shared" si="11"/>
        <v>0.84266666666666667</v>
      </c>
      <c r="AH49" s="526"/>
    </row>
    <row r="50" spans="1:34" s="527" customFormat="1">
      <c r="A50" s="514" t="s">
        <v>1000</v>
      </c>
      <c r="B50" s="515">
        <v>1</v>
      </c>
      <c r="C50" s="516" t="s">
        <v>276</v>
      </c>
      <c r="D50" s="517" t="s">
        <v>276</v>
      </c>
      <c r="E50" s="515" t="s">
        <v>195</v>
      </c>
      <c r="F50" s="518">
        <v>121</v>
      </c>
      <c r="G50" s="519">
        <v>4</v>
      </c>
      <c r="H50" s="519">
        <v>7</v>
      </c>
      <c r="I50" s="520" t="s">
        <v>194</v>
      </c>
      <c r="J50" s="521" t="s">
        <v>180</v>
      </c>
      <c r="K50" s="522" t="s">
        <v>150</v>
      </c>
      <c r="L50" s="118" t="str">
        <f t="shared" si="1"/>
        <v>Standard_A2</v>
      </c>
      <c r="M50" s="388">
        <f t="shared" si="2"/>
        <v>392.38666666666666</v>
      </c>
      <c r="N50" s="388">
        <f t="shared" si="3"/>
        <v>72.600000000000009</v>
      </c>
      <c r="O50" s="388">
        <f t="shared" si="4"/>
        <v>19.786666666666669</v>
      </c>
      <c r="P50" s="523"/>
      <c r="Q50" s="388">
        <f>IF((OR(B50="",B50=0)),0,IFERROR(VLOOKUP(L50,Prices!$A$3:$D$300,3,FALSE),0)*B50*G50*H50*24)</f>
        <v>13.440000000000001</v>
      </c>
      <c r="R50" s="388">
        <f>IF(OR(B50="",B50=0),0,
 IF(E50="Standard",IF($F$25="Yes",W50*B50*G50*H50*Prices!$H$27/30,(F50*B50*G50*H50*VLOOKUP(J50,Prices!$G$21:$H$23,2,FALSE)/30)), W50*B50*G50*H50*Prices!$H$17/30))</f>
        <v>6.3466666666666667</v>
      </c>
      <c r="S50" s="390">
        <f t="shared" si="5"/>
        <v>19.786666666666669</v>
      </c>
      <c r="T50" s="524"/>
      <c r="U50" s="388">
        <f>IF(E50="Standard",F50*B50*VLOOKUP(J50,Prices!$G$21:$H$23,2,FALSE),F50*B50*Prices!$H$17)</f>
        <v>6.0500000000000007</v>
      </c>
      <c r="V50" s="388">
        <f t="shared" si="6"/>
        <v>72.600000000000009</v>
      </c>
      <c r="W50" s="525">
        <v>160</v>
      </c>
      <c r="X50" s="388">
        <f t="shared" si="7"/>
        <v>0.52888888888888885</v>
      </c>
      <c r="Y50" s="388">
        <f t="shared" si="8"/>
        <v>6.5788888888888897</v>
      </c>
      <c r="Z50" s="388">
        <f t="shared" si="9"/>
        <v>78.946666666666673</v>
      </c>
      <c r="AA50" s="388">
        <f t="shared" si="10"/>
        <v>13.440000000000001</v>
      </c>
      <c r="AB50" s="524"/>
      <c r="AC50" s="393">
        <f>IF(B50= 0,0,Prices!$AG$3*B50)</f>
        <v>25</v>
      </c>
      <c r="AD50" s="524"/>
      <c r="AE50" s="388">
        <f>IF((OR(B50="",B50=0)),0,B50*IFERROR(VLOOKUP(L50,Prices!$A$3:$D$300,3,FALSE),0)*24)</f>
        <v>0.48</v>
      </c>
      <c r="AF50" s="388">
        <f>IF((OR(B50="",B50=0)),0,IF(E50="Standard",IF($F$25="Yes",(W50*B50*Prices!$H$27)/30,(F50*B50*VLOOKUP(J50,Prices!$G$21:$H$23,2,FALSE)/30)),W50*B50*Prices!$H$17/30))</f>
        <v>0.22666666666666668</v>
      </c>
      <c r="AG50" s="388">
        <f t="shared" si="11"/>
        <v>0.70666666666666667</v>
      </c>
      <c r="AH50" s="526"/>
    </row>
    <row r="51" spans="1:34" s="527" customFormat="1">
      <c r="A51" s="514" t="s">
        <v>1001</v>
      </c>
      <c r="B51" s="515">
        <v>1</v>
      </c>
      <c r="C51" s="516" t="s">
        <v>372</v>
      </c>
      <c r="D51" s="517" t="s">
        <v>372</v>
      </c>
      <c r="E51" s="515" t="s">
        <v>195</v>
      </c>
      <c r="F51" s="518">
        <v>200</v>
      </c>
      <c r="G51" s="519">
        <v>4</v>
      </c>
      <c r="H51" s="519">
        <v>7</v>
      </c>
      <c r="I51" s="520" t="s">
        <v>194</v>
      </c>
      <c r="J51" s="521" t="s">
        <v>180</v>
      </c>
      <c r="K51" s="522" t="s">
        <v>150</v>
      </c>
      <c r="L51" s="118" t="str">
        <f t="shared" si="1"/>
        <v>Standard_G5</v>
      </c>
      <c r="M51" s="388">
        <f t="shared" si="2"/>
        <v>5700.6506666666655</v>
      </c>
      <c r="N51" s="388">
        <f t="shared" si="3"/>
        <v>120</v>
      </c>
      <c r="O51" s="388">
        <f t="shared" si="4"/>
        <v>5280.6506666666655</v>
      </c>
      <c r="P51" s="523"/>
      <c r="Q51" s="388">
        <f>IF((OR(B51="",B51=0)),0,IFERROR(VLOOKUP(L51,Prices!$A$3:$D$300,3,FALSE),0)*B51*G51*H51*24)</f>
        <v>5270.4959999999992</v>
      </c>
      <c r="R51" s="388">
        <f>IF(OR(B51="",B51=0),0,
 IF(E51="Standard",IF($F$25="Yes",W51*B51*G51*H51*Prices!$H$27/30,(F51*B51*G51*H51*VLOOKUP(J51,Prices!$G$21:$H$23,2,FALSE)/30)), W51*B51*G51*H51*Prices!$H$17/30))</f>
        <v>10.154666666666667</v>
      </c>
      <c r="S51" s="390">
        <f t="shared" si="5"/>
        <v>5280.6506666666655</v>
      </c>
      <c r="T51" s="524"/>
      <c r="U51" s="388">
        <f>IF(E51="Standard",F51*B51*VLOOKUP(J51,Prices!$G$21:$H$23,2,FALSE),F51*B51*Prices!$H$17)</f>
        <v>10</v>
      </c>
      <c r="V51" s="388">
        <f t="shared" si="6"/>
        <v>120</v>
      </c>
      <c r="W51" s="525">
        <v>256</v>
      </c>
      <c r="X51" s="388">
        <f t="shared" si="7"/>
        <v>0.84622222222222232</v>
      </c>
      <c r="Y51" s="388">
        <f t="shared" si="8"/>
        <v>10.846222222222222</v>
      </c>
      <c r="Z51" s="388">
        <f t="shared" si="9"/>
        <v>130.15466666666666</v>
      </c>
      <c r="AA51" s="388">
        <f t="shared" si="10"/>
        <v>5270.4959999999992</v>
      </c>
      <c r="AB51" s="524"/>
      <c r="AC51" s="393">
        <f>IF(B51= 0,0,Prices!$AG$3*B51)</f>
        <v>25</v>
      </c>
      <c r="AD51" s="524"/>
      <c r="AE51" s="388">
        <f>IF((OR(B51="",B51=0)),0,B51*IFERROR(VLOOKUP(L51,Prices!$A$3:$D$300,3,FALSE),0)*24)</f>
        <v>188.232</v>
      </c>
      <c r="AF51" s="388">
        <f>IF((OR(B51="",B51=0)),0,IF(E51="Standard",IF($F$25="Yes",(W51*B51*Prices!$H$27)/30,(F51*B51*VLOOKUP(J51,Prices!$G$21:$H$23,2,FALSE)/30)),W51*B51*Prices!$H$17/30))</f>
        <v>0.36266666666666669</v>
      </c>
      <c r="AG51" s="388">
        <f t="shared" si="11"/>
        <v>188.59466666666665</v>
      </c>
      <c r="AH51" s="526"/>
    </row>
    <row r="52" spans="1:34" s="527" customFormat="1">
      <c r="A52" s="514" t="s">
        <v>1002</v>
      </c>
      <c r="B52" s="515">
        <v>1</v>
      </c>
      <c r="C52" s="516" t="s">
        <v>372</v>
      </c>
      <c r="D52" s="517" t="s">
        <v>372</v>
      </c>
      <c r="E52" s="515" t="s">
        <v>195</v>
      </c>
      <c r="F52" s="518">
        <v>200</v>
      </c>
      <c r="G52" s="519">
        <v>4</v>
      </c>
      <c r="H52" s="519">
        <v>7</v>
      </c>
      <c r="I52" s="520" t="s">
        <v>194</v>
      </c>
      <c r="J52" s="521" t="s">
        <v>180</v>
      </c>
      <c r="K52" s="522" t="s">
        <v>150</v>
      </c>
      <c r="L52" s="118" t="str">
        <f t="shared" si="1"/>
        <v>Standard_G5</v>
      </c>
      <c r="M52" s="388">
        <f t="shared" si="2"/>
        <v>5700.6506666666655</v>
      </c>
      <c r="N52" s="388">
        <f t="shared" si="3"/>
        <v>120</v>
      </c>
      <c r="O52" s="388">
        <f t="shared" si="4"/>
        <v>5280.6506666666655</v>
      </c>
      <c r="P52" s="523"/>
      <c r="Q52" s="388">
        <f>IF((OR(B52="",B52=0)),0,IFERROR(VLOOKUP(L52,Prices!$A$3:$D$300,3,FALSE),0)*B52*G52*H52*24)</f>
        <v>5270.4959999999992</v>
      </c>
      <c r="R52" s="388">
        <f>IF(OR(B52="",B52=0),0,
 IF(E52="Standard",IF($F$25="Yes",W52*B52*G52*H52*Prices!$H$27/30,(F52*B52*G52*H52*VLOOKUP(J52,Prices!$G$21:$H$23,2,FALSE)/30)), W52*B52*G52*H52*Prices!$H$17/30))</f>
        <v>10.154666666666667</v>
      </c>
      <c r="S52" s="390">
        <f t="shared" si="5"/>
        <v>5280.6506666666655</v>
      </c>
      <c r="T52" s="524"/>
      <c r="U52" s="388">
        <f>IF(E52="Standard",F52*B52*VLOOKUP(J52,Prices!$G$21:$H$23,2,FALSE),F52*B52*Prices!$H$17)</f>
        <v>10</v>
      </c>
      <c r="V52" s="388">
        <f t="shared" si="6"/>
        <v>120</v>
      </c>
      <c r="W52" s="525">
        <v>256</v>
      </c>
      <c r="X52" s="388">
        <f t="shared" si="7"/>
        <v>0.84622222222222232</v>
      </c>
      <c r="Y52" s="388">
        <f t="shared" si="8"/>
        <v>10.846222222222222</v>
      </c>
      <c r="Z52" s="388">
        <f t="shared" si="9"/>
        <v>130.15466666666666</v>
      </c>
      <c r="AA52" s="388">
        <f t="shared" si="10"/>
        <v>5270.4959999999992</v>
      </c>
      <c r="AB52" s="524"/>
      <c r="AC52" s="393">
        <f>IF(B52= 0,0,Prices!$AG$3*B52)</f>
        <v>25</v>
      </c>
      <c r="AD52" s="524"/>
      <c r="AE52" s="388">
        <f>IF((OR(B52="",B52=0)),0,B52*IFERROR(VLOOKUP(L52,Prices!$A$3:$D$300,3,FALSE),0)*24)</f>
        <v>188.232</v>
      </c>
      <c r="AF52" s="388">
        <f>IF((OR(B52="",B52=0)),0,IF(E52="Standard",IF($F$25="Yes",(W52*B52*Prices!$H$27)/30,(F52*B52*VLOOKUP(J52,Prices!$G$21:$H$23,2,FALSE)/30)),W52*B52*Prices!$H$17/30))</f>
        <v>0.36266666666666669</v>
      </c>
      <c r="AG52" s="388">
        <f t="shared" si="11"/>
        <v>188.59466666666665</v>
      </c>
      <c r="AH52" s="526"/>
    </row>
    <row r="53" spans="1:34" s="527" customFormat="1">
      <c r="A53" s="514" t="s">
        <v>1003</v>
      </c>
      <c r="B53" s="515">
        <v>1</v>
      </c>
      <c r="C53" s="516" t="s">
        <v>278</v>
      </c>
      <c r="D53" s="517" t="s">
        <v>278</v>
      </c>
      <c r="E53" s="515" t="s">
        <v>195</v>
      </c>
      <c r="F53" s="518">
        <v>392</v>
      </c>
      <c r="G53" s="519">
        <v>4</v>
      </c>
      <c r="H53" s="519">
        <v>7</v>
      </c>
      <c r="I53" s="520" t="s">
        <v>194</v>
      </c>
      <c r="J53" s="521" t="s">
        <v>180</v>
      </c>
      <c r="K53" s="522" t="s">
        <v>150</v>
      </c>
      <c r="L53" s="118" t="str">
        <f t="shared" si="1"/>
        <v>Standard_A3</v>
      </c>
      <c r="M53" s="388">
        <f t="shared" si="2"/>
        <v>693.79200000000003</v>
      </c>
      <c r="N53" s="388">
        <f t="shared" si="3"/>
        <v>235.20000000000002</v>
      </c>
      <c r="O53" s="388">
        <f t="shared" si="4"/>
        <v>158.59200000000004</v>
      </c>
      <c r="P53" s="523"/>
      <c r="Q53" s="388">
        <f>IF((OR(B53="",B53=0)),0,IFERROR(VLOOKUP(L53,Prices!$A$3:$D$300,3,FALSE),0)*B53*G53*H53*24)</f>
        <v>135.74400000000003</v>
      </c>
      <c r="R53" s="388">
        <f>IF(OR(B53="",B53=0),0,
 IF(E53="Standard",IF($F$25="Yes",W53*B53*G53*H53*Prices!$H$27/30,(F53*B53*G53*H53*VLOOKUP(J53,Prices!$G$21:$H$23,2,FALSE)/30)), W53*B53*G53*H53*Prices!$H$17/30))</f>
        <v>22.848000000000003</v>
      </c>
      <c r="S53" s="390">
        <f t="shared" si="5"/>
        <v>158.59200000000004</v>
      </c>
      <c r="T53" s="524"/>
      <c r="U53" s="388">
        <f>IF(E53="Standard",F53*B53*VLOOKUP(J53,Prices!$G$21:$H$23,2,FALSE),F53*B53*Prices!$H$17)</f>
        <v>19.600000000000001</v>
      </c>
      <c r="V53" s="388">
        <f t="shared" si="6"/>
        <v>235.20000000000002</v>
      </c>
      <c r="W53" s="525">
        <v>576</v>
      </c>
      <c r="X53" s="388">
        <f t="shared" si="7"/>
        <v>1.9040000000000001</v>
      </c>
      <c r="Y53" s="388">
        <f t="shared" si="8"/>
        <v>21.504000000000001</v>
      </c>
      <c r="Z53" s="388">
        <f t="shared" si="9"/>
        <v>258.048</v>
      </c>
      <c r="AA53" s="388">
        <f t="shared" si="10"/>
        <v>135.74400000000003</v>
      </c>
      <c r="AB53" s="524"/>
      <c r="AC53" s="393">
        <f>IF(B53= 0,0,Prices!$AG$3*B53)</f>
        <v>25</v>
      </c>
      <c r="AD53" s="524"/>
      <c r="AE53" s="388">
        <f>IF((OR(B53="",B53=0)),0,B53*IFERROR(VLOOKUP(L53,Prices!$A$3:$D$300,3,FALSE),0)*24)</f>
        <v>4.8480000000000008</v>
      </c>
      <c r="AF53" s="388">
        <f>IF((OR(B53="",B53=0)),0,IF(E53="Standard",IF($F$25="Yes",(W53*B53*Prices!$H$27)/30,(F53*B53*VLOOKUP(J53,Prices!$G$21:$H$23,2,FALSE)/30)),W53*B53*Prices!$H$17/30))</f>
        <v>0.81600000000000006</v>
      </c>
      <c r="AG53" s="388">
        <f t="shared" si="11"/>
        <v>5.6640000000000006</v>
      </c>
      <c r="AH53" s="526"/>
    </row>
    <row r="54" spans="1:34" s="527" customFormat="1">
      <c r="A54" s="514" t="s">
        <v>1004</v>
      </c>
      <c r="B54" s="515">
        <v>1</v>
      </c>
      <c r="C54" s="516" t="s">
        <v>278</v>
      </c>
      <c r="D54" s="517" t="s">
        <v>278</v>
      </c>
      <c r="E54" s="515" t="s">
        <v>195</v>
      </c>
      <c r="F54" s="518">
        <v>600</v>
      </c>
      <c r="G54" s="519">
        <v>4</v>
      </c>
      <c r="H54" s="519">
        <v>7</v>
      </c>
      <c r="I54" s="520" t="s">
        <v>194</v>
      </c>
      <c r="J54" s="521" t="s">
        <v>180</v>
      </c>
      <c r="K54" s="522" t="s">
        <v>150</v>
      </c>
      <c r="L54" s="118" t="str">
        <f t="shared" si="1"/>
        <v>Standard_A3</v>
      </c>
      <c r="M54" s="388">
        <f t="shared" si="2"/>
        <v>821.13066666666668</v>
      </c>
      <c r="N54" s="388">
        <f t="shared" si="3"/>
        <v>360</v>
      </c>
      <c r="O54" s="388">
        <f t="shared" si="4"/>
        <v>161.13066666666668</v>
      </c>
      <c r="P54" s="523"/>
      <c r="Q54" s="388">
        <f>IF((OR(B54="",B54=0)),0,IFERROR(VLOOKUP(L54,Prices!$A$3:$D$300,3,FALSE),0)*B54*G54*H54*24)</f>
        <v>135.74400000000003</v>
      </c>
      <c r="R54" s="388">
        <f>IF(OR(B54="",B54=0),0,
 IF(E54="Standard",IF($F$25="Yes",W54*B54*G54*H54*Prices!$H$27/30,(F54*B54*G54*H54*VLOOKUP(J54,Prices!$G$21:$H$23,2,FALSE)/30)), W54*B54*G54*H54*Prices!$H$17/30))</f>
        <v>25.386666666666667</v>
      </c>
      <c r="S54" s="390">
        <f t="shared" si="5"/>
        <v>161.13066666666668</v>
      </c>
      <c r="T54" s="524"/>
      <c r="U54" s="388">
        <f>IF(E54="Standard",F54*B54*VLOOKUP(J54,Prices!$G$21:$H$23,2,FALSE),F54*B54*Prices!$H$17)</f>
        <v>30</v>
      </c>
      <c r="V54" s="388">
        <f t="shared" si="6"/>
        <v>360</v>
      </c>
      <c r="W54" s="525">
        <v>640</v>
      </c>
      <c r="X54" s="388">
        <f t="shared" si="7"/>
        <v>2.1155555555555554</v>
      </c>
      <c r="Y54" s="388">
        <f t="shared" si="8"/>
        <v>32.115555555555552</v>
      </c>
      <c r="Z54" s="388">
        <f t="shared" si="9"/>
        <v>385.38666666666666</v>
      </c>
      <c r="AA54" s="388">
        <f t="shared" si="10"/>
        <v>135.74400000000003</v>
      </c>
      <c r="AB54" s="524"/>
      <c r="AC54" s="393">
        <f>IF(B54= 0,0,Prices!$AG$3*B54)</f>
        <v>25</v>
      </c>
      <c r="AD54" s="524"/>
      <c r="AE54" s="388">
        <f>IF((OR(B54="",B54=0)),0,B54*IFERROR(VLOOKUP(L54,Prices!$A$3:$D$300,3,FALSE),0)*24)</f>
        <v>4.8480000000000008</v>
      </c>
      <c r="AF54" s="388">
        <f>IF((OR(B54="",B54=0)),0,IF(E54="Standard",IF($F$25="Yes",(W54*B54*Prices!$H$27)/30,(F54*B54*VLOOKUP(J54,Prices!$G$21:$H$23,2,FALSE)/30)),W54*B54*Prices!$H$17/30))</f>
        <v>0.90666666666666673</v>
      </c>
      <c r="AG54" s="388">
        <f t="shared" si="11"/>
        <v>5.754666666666667</v>
      </c>
      <c r="AH54" s="526"/>
    </row>
    <row r="55" spans="1:34" s="527" customFormat="1">
      <c r="A55" s="514" t="s">
        <v>1005</v>
      </c>
      <c r="B55" s="515">
        <v>1</v>
      </c>
      <c r="C55" s="516" t="s">
        <v>351</v>
      </c>
      <c r="D55" s="517" t="s">
        <v>351</v>
      </c>
      <c r="E55" s="528" t="s">
        <v>3</v>
      </c>
      <c r="F55" s="518">
        <v>5037</v>
      </c>
      <c r="G55" s="519">
        <v>4</v>
      </c>
      <c r="H55" s="519">
        <v>7</v>
      </c>
      <c r="I55" s="520" t="s">
        <v>194</v>
      </c>
      <c r="J55" s="521" t="s">
        <v>180</v>
      </c>
      <c r="K55" s="522" t="s">
        <v>150</v>
      </c>
      <c r="L55" s="118" t="str">
        <f t="shared" si="1"/>
        <v>Standard_DS4_v2</v>
      </c>
      <c r="M55" s="388">
        <f t="shared" si="2"/>
        <v>9743.8773333333338</v>
      </c>
      <c r="N55" s="388">
        <f t="shared" si="3"/>
        <v>8462.16</v>
      </c>
      <c r="O55" s="388">
        <f t="shared" si="4"/>
        <v>981.71733333333339</v>
      </c>
      <c r="P55" s="523"/>
      <c r="Q55" s="388">
        <f>IF((OR(B55="",B55=0)),0,IFERROR(VLOOKUP(L55,Prices!$A$3:$D$300,3,FALSE),0)*B55*G55*H55*24)</f>
        <v>61.823999999999998</v>
      </c>
      <c r="R55" s="388">
        <f>IF(OR(B55="",B55=0),0,
 IF(E55="Standard",IF($F$25="Yes",W55*B55*G55*H55*Prices!$H$27/30,(F55*B55*G55*H55*VLOOKUP(J55,Prices!$G$21:$H$23,2,FALSE)/30)), W55*B55*G55*H55*Prices!$H$17/30))</f>
        <v>919.89333333333343</v>
      </c>
      <c r="S55" s="390">
        <f t="shared" si="5"/>
        <v>981.71733333333339</v>
      </c>
      <c r="T55" s="524"/>
      <c r="U55" s="388">
        <f>IF(E55="Standard",F55*B55*VLOOKUP(J55,Prices!$G$21:$H$23,2,FALSE),F55*B55*Prices!$H$17)</f>
        <v>705.18000000000006</v>
      </c>
      <c r="V55" s="388">
        <f t="shared" si="6"/>
        <v>8462.16</v>
      </c>
      <c r="W55" s="525">
        <v>7040</v>
      </c>
      <c r="X55" s="388">
        <f t="shared" si="7"/>
        <v>76.657777777777781</v>
      </c>
      <c r="Y55" s="388">
        <f t="shared" si="8"/>
        <v>781.83777777777777</v>
      </c>
      <c r="Z55" s="388">
        <f t="shared" si="9"/>
        <v>9382.0533333333333</v>
      </c>
      <c r="AA55" s="388">
        <f t="shared" si="10"/>
        <v>61.823999999999998</v>
      </c>
      <c r="AB55" s="524"/>
      <c r="AC55" s="393">
        <f>IF(B55= 0,0,Prices!$AG$3*B55)</f>
        <v>25</v>
      </c>
      <c r="AD55" s="524"/>
      <c r="AE55" s="388">
        <f>IF((OR(B55="",B55=0)),0,B55*IFERROR(VLOOKUP(L55,Prices!$A$3:$D$300,3,FALSE),0)*24)</f>
        <v>2.2080000000000002</v>
      </c>
      <c r="AF55" s="388">
        <f>IF((OR(B55="",B55=0)),0,IF(E55="Standard",IF($F$25="Yes",(W55*B55*Prices!$H$27)/30,(F55*B55*VLOOKUP(J55,Prices!$G$21:$H$23,2,FALSE)/30)),W55*B55*Prices!$H$17/30))</f>
        <v>32.853333333333339</v>
      </c>
      <c r="AG55" s="388">
        <f t="shared" si="11"/>
        <v>35.061333333333337</v>
      </c>
      <c r="AH55" s="526"/>
    </row>
    <row r="56" spans="1:34" s="527" customFormat="1">
      <c r="A56" s="514" t="s">
        <v>1006</v>
      </c>
      <c r="B56" s="515">
        <v>1</v>
      </c>
      <c r="C56" s="516" t="s">
        <v>352</v>
      </c>
      <c r="D56" s="517" t="s">
        <v>352</v>
      </c>
      <c r="E56" s="528" t="s">
        <v>3</v>
      </c>
      <c r="F56" s="518">
        <v>1896</v>
      </c>
      <c r="G56" s="519">
        <v>4</v>
      </c>
      <c r="H56" s="519">
        <v>7</v>
      </c>
      <c r="I56" s="520" t="s">
        <v>194</v>
      </c>
      <c r="J56" s="521" t="s">
        <v>180</v>
      </c>
      <c r="K56" s="522" t="s">
        <v>150</v>
      </c>
      <c r="L56" s="118" t="str">
        <f t="shared" si="1"/>
        <v>Standard_DS5_v2</v>
      </c>
      <c r="M56" s="388">
        <f t="shared" si="2"/>
        <v>3942.7626666666665</v>
      </c>
      <c r="N56" s="388">
        <f t="shared" si="3"/>
        <v>3185.2799999999997</v>
      </c>
      <c r="O56" s="388">
        <f t="shared" si="4"/>
        <v>457.48266666666672</v>
      </c>
      <c r="P56" s="523"/>
      <c r="Q56" s="388">
        <f>IF((OR(B56="",B56=0)),0,IFERROR(VLOOKUP(L56,Prices!$A$3:$D$300,3,FALSE),0)*B56*G56*H56*24)</f>
        <v>122.976</v>
      </c>
      <c r="R56" s="388">
        <f>IF(OR(B56="",B56=0),0,
 IF(E56="Standard",IF($F$25="Yes",W56*B56*G56*H56*Prices!$H$27/30,(F56*B56*G56*H56*VLOOKUP(J56,Prices!$G$21:$H$23,2,FALSE)/30)), W56*B56*G56*H56*Prices!$H$17/30))</f>
        <v>334.50666666666672</v>
      </c>
      <c r="S56" s="390">
        <f t="shared" si="5"/>
        <v>457.48266666666672</v>
      </c>
      <c r="T56" s="524"/>
      <c r="U56" s="388">
        <f>IF(E56="Standard",F56*B56*VLOOKUP(J56,Prices!$G$21:$H$23,2,FALSE),F56*B56*Prices!$H$17)</f>
        <v>265.44</v>
      </c>
      <c r="V56" s="388">
        <f t="shared" si="6"/>
        <v>3185.2799999999997</v>
      </c>
      <c r="W56" s="525">
        <v>2560</v>
      </c>
      <c r="X56" s="388">
        <f t="shared" si="7"/>
        <v>27.875555555555561</v>
      </c>
      <c r="Y56" s="388">
        <f t="shared" si="8"/>
        <v>293.31555555555553</v>
      </c>
      <c r="Z56" s="388">
        <f t="shared" si="9"/>
        <v>3519.7866666666664</v>
      </c>
      <c r="AA56" s="388">
        <f t="shared" si="10"/>
        <v>122.976</v>
      </c>
      <c r="AB56" s="524"/>
      <c r="AC56" s="393">
        <f>IF(B56= 0,0,Prices!$AG$3*B56)</f>
        <v>25</v>
      </c>
      <c r="AD56" s="524"/>
      <c r="AE56" s="388">
        <f>IF((OR(B56="",B56=0)),0,B56*IFERROR(VLOOKUP(L56,Prices!$A$3:$D$300,3,FALSE),0)*24)</f>
        <v>4.3919999999999995</v>
      </c>
      <c r="AF56" s="388">
        <f>IF((OR(B56="",B56=0)),0,IF(E56="Standard",IF($F$25="Yes",(W56*B56*Prices!$H$27)/30,(F56*B56*VLOOKUP(J56,Prices!$G$21:$H$23,2,FALSE)/30)),W56*B56*Prices!$H$17/30))</f>
        <v>11.946666666666667</v>
      </c>
      <c r="AG56" s="388">
        <f t="shared" si="11"/>
        <v>16.338666666666668</v>
      </c>
      <c r="AH56" s="526"/>
    </row>
    <row r="57" spans="1:34" s="527" customFormat="1">
      <c r="A57" s="514" t="s">
        <v>1007</v>
      </c>
      <c r="B57" s="515">
        <v>1</v>
      </c>
      <c r="C57" s="516" t="s">
        <v>342</v>
      </c>
      <c r="D57" s="517" t="s">
        <v>342</v>
      </c>
      <c r="E57" s="515" t="s">
        <v>195</v>
      </c>
      <c r="F57" s="518">
        <v>5400</v>
      </c>
      <c r="G57" s="519">
        <v>4</v>
      </c>
      <c r="H57" s="519">
        <v>7</v>
      </c>
      <c r="I57" s="520" t="s">
        <v>194</v>
      </c>
      <c r="J57" s="521" t="s">
        <v>180</v>
      </c>
      <c r="K57" s="522" t="s">
        <v>150</v>
      </c>
      <c r="L57" s="118" t="str">
        <f t="shared" si="1"/>
        <v>Standard_D5_v2</v>
      </c>
      <c r="M57" s="388">
        <f t="shared" si="2"/>
        <v>3909.2266666666665</v>
      </c>
      <c r="N57" s="388">
        <f t="shared" si="3"/>
        <v>3240</v>
      </c>
      <c r="O57" s="388">
        <f t="shared" si="4"/>
        <v>369.22666666666669</v>
      </c>
      <c r="P57" s="523"/>
      <c r="Q57" s="388">
        <f>IF((OR(B57="",B57=0)),0,IFERROR(VLOOKUP(L57,Prices!$A$3:$D$300,3,FALSE),0)*B57*G57*H57*24)</f>
        <v>122.976</v>
      </c>
      <c r="R57" s="388">
        <f>IF(OR(B57="",B57=0),0,
 IF(E57="Standard",IF($F$25="Yes",W57*B57*G57*H57*Prices!$H$27/30,(F57*B57*G57*H57*VLOOKUP(J57,Prices!$G$21:$H$23,2,FALSE)/30)), W57*B57*G57*H57*Prices!$H$17/30))</f>
        <v>246.25066666666669</v>
      </c>
      <c r="S57" s="390">
        <f t="shared" si="5"/>
        <v>369.22666666666669</v>
      </c>
      <c r="T57" s="524"/>
      <c r="U57" s="388">
        <f>IF(E57="Standard",F57*B57*VLOOKUP(J57,Prices!$G$21:$H$23,2,FALSE),F57*B57*Prices!$H$17)</f>
        <v>270</v>
      </c>
      <c r="V57" s="388">
        <f t="shared" si="6"/>
        <v>3240</v>
      </c>
      <c r="W57" s="525">
        <v>6208</v>
      </c>
      <c r="X57" s="388">
        <f t="shared" si="7"/>
        <v>20.520888888888891</v>
      </c>
      <c r="Y57" s="388">
        <f t="shared" si="8"/>
        <v>290.52088888888892</v>
      </c>
      <c r="Z57" s="388">
        <f t="shared" si="9"/>
        <v>3486.2506666666668</v>
      </c>
      <c r="AA57" s="388">
        <f t="shared" si="10"/>
        <v>122.976</v>
      </c>
      <c r="AB57" s="524"/>
      <c r="AC57" s="393">
        <f>IF(B57= 0,0,Prices!$AG$3*B57)</f>
        <v>25</v>
      </c>
      <c r="AD57" s="524"/>
      <c r="AE57" s="388">
        <f>IF((OR(B57="",B57=0)),0,B57*IFERROR(VLOOKUP(L57,Prices!$A$3:$D$300,3,FALSE),0)*24)</f>
        <v>4.3919999999999995</v>
      </c>
      <c r="AF57" s="388">
        <f>IF((OR(B57="",B57=0)),0,IF(E57="Standard",IF($F$25="Yes",(W57*B57*Prices!$H$27)/30,(F57*B57*VLOOKUP(J57,Prices!$G$21:$H$23,2,FALSE)/30)),W57*B57*Prices!$H$17/30))</f>
        <v>8.794666666666668</v>
      </c>
      <c r="AG57" s="388">
        <f t="shared" si="11"/>
        <v>13.186666666666667</v>
      </c>
      <c r="AH57" s="526"/>
    </row>
    <row r="58" spans="1:34" s="527" customFormat="1">
      <c r="A58" s="514" t="s">
        <v>1008</v>
      </c>
      <c r="B58" s="515">
        <v>1</v>
      </c>
      <c r="C58" s="516" t="s">
        <v>342</v>
      </c>
      <c r="D58" s="517" t="s">
        <v>342</v>
      </c>
      <c r="E58" s="515" t="s">
        <v>195</v>
      </c>
      <c r="F58" s="518">
        <v>250</v>
      </c>
      <c r="G58" s="519">
        <v>4</v>
      </c>
      <c r="H58" s="519">
        <v>7</v>
      </c>
      <c r="I58" s="520" t="s">
        <v>194</v>
      </c>
      <c r="J58" s="521" t="s">
        <v>180</v>
      </c>
      <c r="K58" s="522" t="s">
        <v>150</v>
      </c>
      <c r="L58" s="118" t="str">
        <f t="shared" si="1"/>
        <v>Standard_D5_v2</v>
      </c>
      <c r="M58" s="388">
        <f t="shared" si="2"/>
        <v>585.66933333333327</v>
      </c>
      <c r="N58" s="388">
        <f t="shared" si="3"/>
        <v>150</v>
      </c>
      <c r="O58" s="388">
        <f t="shared" si="4"/>
        <v>135.66933333333333</v>
      </c>
      <c r="P58" s="523"/>
      <c r="Q58" s="388">
        <f>IF((OR(B58="",B58=0)),0,IFERROR(VLOOKUP(L58,Prices!$A$3:$D$300,3,FALSE),0)*B58*G58*H58*24)</f>
        <v>122.976</v>
      </c>
      <c r="R58" s="388">
        <f>IF(OR(B58="",B58=0),0,
 IF(E58="Standard",IF($F$25="Yes",W58*B58*G58*H58*Prices!$H$27/30,(F58*B58*G58*H58*VLOOKUP(J58,Prices!$G$21:$H$23,2,FALSE)/30)), W58*B58*G58*H58*Prices!$H$17/30))</f>
        <v>12.693333333333333</v>
      </c>
      <c r="S58" s="390">
        <f t="shared" si="5"/>
        <v>135.66933333333333</v>
      </c>
      <c r="T58" s="524"/>
      <c r="U58" s="388">
        <f>IF(E58="Standard",F58*B58*VLOOKUP(J58,Prices!$G$21:$H$23,2,FALSE),F58*B58*Prices!$H$17)</f>
        <v>12.5</v>
      </c>
      <c r="V58" s="388">
        <f t="shared" si="6"/>
        <v>150</v>
      </c>
      <c r="W58" s="525">
        <v>320</v>
      </c>
      <c r="X58" s="388">
        <f t="shared" si="7"/>
        <v>1.0577777777777777</v>
      </c>
      <c r="Y58" s="388">
        <f t="shared" si="8"/>
        <v>13.557777777777778</v>
      </c>
      <c r="Z58" s="388">
        <f t="shared" si="9"/>
        <v>162.69333333333333</v>
      </c>
      <c r="AA58" s="388">
        <f t="shared" si="10"/>
        <v>122.976</v>
      </c>
      <c r="AB58" s="524"/>
      <c r="AC58" s="393">
        <f>IF(B58= 0,0,Prices!$AG$3*B58)</f>
        <v>25</v>
      </c>
      <c r="AD58" s="524"/>
      <c r="AE58" s="388">
        <f>IF((OR(B58="",B58=0)),0,B58*IFERROR(VLOOKUP(L58,Prices!$A$3:$D$300,3,FALSE),0)*24)</f>
        <v>4.3919999999999995</v>
      </c>
      <c r="AF58" s="388">
        <f>IF((OR(B58="",B58=0)),0,IF(E58="Standard",IF($F$25="Yes",(W58*B58*Prices!$H$27)/30,(F58*B58*VLOOKUP(J58,Prices!$G$21:$H$23,2,FALSE)/30)),W58*B58*Prices!$H$17/30))</f>
        <v>0.45333333333333337</v>
      </c>
      <c r="AG58" s="388">
        <f t="shared" si="11"/>
        <v>4.8453333333333326</v>
      </c>
      <c r="AH58" s="526"/>
    </row>
    <row r="59" spans="1:34" s="527" customFormat="1">
      <c r="A59" s="514" t="s">
        <v>1009</v>
      </c>
      <c r="B59" s="515">
        <v>1</v>
      </c>
      <c r="C59" s="516" t="s">
        <v>278</v>
      </c>
      <c r="D59" s="517" t="s">
        <v>278</v>
      </c>
      <c r="E59" s="515" t="s">
        <v>195</v>
      </c>
      <c r="F59" s="518">
        <v>251</v>
      </c>
      <c r="G59" s="519">
        <v>4</v>
      </c>
      <c r="H59" s="519">
        <v>7</v>
      </c>
      <c r="I59" s="520" t="s">
        <v>194</v>
      </c>
      <c r="J59" s="521" t="s">
        <v>180</v>
      </c>
      <c r="K59" s="522" t="s">
        <v>150</v>
      </c>
      <c r="L59" s="118" t="str">
        <f t="shared" si="1"/>
        <v>Standard_A3</v>
      </c>
      <c r="M59" s="388">
        <f t="shared" si="2"/>
        <v>599.03733333333344</v>
      </c>
      <c r="N59" s="388">
        <f t="shared" si="3"/>
        <v>150.60000000000002</v>
      </c>
      <c r="O59" s="388">
        <f t="shared" si="4"/>
        <v>148.43733333333336</v>
      </c>
      <c r="P59" s="523"/>
      <c r="Q59" s="388">
        <f>IF((OR(B59="",B59=0)),0,IFERROR(VLOOKUP(L59,Prices!$A$3:$D$300,3,FALSE),0)*B59*G59*H59*24)</f>
        <v>135.74400000000003</v>
      </c>
      <c r="R59" s="388">
        <f>IF(OR(B59="",B59=0),0,
 IF(E59="Standard",IF($F$25="Yes",W59*B59*G59*H59*Prices!$H$27/30,(F59*B59*G59*H59*VLOOKUP(J59,Prices!$G$21:$H$23,2,FALSE)/30)), W59*B59*G59*H59*Prices!$H$17/30))</f>
        <v>12.693333333333333</v>
      </c>
      <c r="S59" s="390">
        <f t="shared" si="5"/>
        <v>148.43733333333336</v>
      </c>
      <c r="T59" s="524"/>
      <c r="U59" s="388">
        <f>IF(E59="Standard",F59*B59*VLOOKUP(J59,Prices!$G$21:$H$23,2,FALSE),F59*B59*Prices!$H$17)</f>
        <v>12.55</v>
      </c>
      <c r="V59" s="388">
        <f t="shared" si="6"/>
        <v>150.60000000000002</v>
      </c>
      <c r="W59" s="525">
        <v>320</v>
      </c>
      <c r="X59" s="388">
        <f t="shared" si="7"/>
        <v>1.0577777777777777</v>
      </c>
      <c r="Y59" s="388">
        <f t="shared" si="8"/>
        <v>13.607777777777779</v>
      </c>
      <c r="Z59" s="388">
        <f t="shared" si="9"/>
        <v>163.29333333333335</v>
      </c>
      <c r="AA59" s="388">
        <f t="shared" si="10"/>
        <v>135.74400000000003</v>
      </c>
      <c r="AB59" s="524"/>
      <c r="AC59" s="393">
        <f>IF(B59= 0,0,Prices!$AG$3*B59)</f>
        <v>25</v>
      </c>
      <c r="AD59" s="524"/>
      <c r="AE59" s="388">
        <f>IF((OR(B59="",B59=0)),0,B59*IFERROR(VLOOKUP(L59,Prices!$A$3:$D$300,3,FALSE),0)*24)</f>
        <v>4.8480000000000008</v>
      </c>
      <c r="AF59" s="388">
        <f>IF((OR(B59="",B59=0)),0,IF(E59="Standard",IF($F$25="Yes",(W59*B59*Prices!$H$27)/30,(F59*B59*VLOOKUP(J59,Prices!$G$21:$H$23,2,FALSE)/30)),W59*B59*Prices!$H$17/30))</f>
        <v>0.45333333333333337</v>
      </c>
      <c r="AG59" s="388">
        <f t="shared" si="11"/>
        <v>5.3013333333333339</v>
      </c>
      <c r="AH59" s="526"/>
    </row>
    <row r="60" spans="1:34" s="527" customFormat="1">
      <c r="A60" s="514" t="s">
        <v>1010</v>
      </c>
      <c r="B60" s="515">
        <v>1</v>
      </c>
      <c r="C60" s="516" t="s">
        <v>276</v>
      </c>
      <c r="D60" s="517" t="s">
        <v>276</v>
      </c>
      <c r="E60" s="515" t="s">
        <v>195</v>
      </c>
      <c r="F60" s="518">
        <v>450</v>
      </c>
      <c r="G60" s="519">
        <v>4</v>
      </c>
      <c r="H60" s="519">
        <v>7</v>
      </c>
      <c r="I60" s="520" t="s">
        <v>194</v>
      </c>
      <c r="J60" s="521" t="s">
        <v>180</v>
      </c>
      <c r="K60" s="522" t="s">
        <v>150</v>
      </c>
      <c r="L60" s="118" t="str">
        <f t="shared" si="1"/>
        <v>Standard_A2</v>
      </c>
      <c r="M60" s="388">
        <f t="shared" si="2"/>
        <v>611.36533333333341</v>
      </c>
      <c r="N60" s="388">
        <f t="shared" si="3"/>
        <v>270</v>
      </c>
      <c r="O60" s="388">
        <f t="shared" si="4"/>
        <v>41.365333333333339</v>
      </c>
      <c r="P60" s="523"/>
      <c r="Q60" s="388">
        <f>IF((OR(B60="",B60=0)),0,IFERROR(VLOOKUP(L60,Prices!$A$3:$D$300,3,FALSE),0)*B60*G60*H60*24)</f>
        <v>13.440000000000001</v>
      </c>
      <c r="R60" s="388">
        <f>IF(OR(B60="",B60=0),0,
 IF(E60="Standard",IF($F$25="Yes",W60*B60*G60*H60*Prices!$H$27/30,(F60*B60*G60*H60*VLOOKUP(J60,Prices!$G$21:$H$23,2,FALSE)/30)), W60*B60*G60*H60*Prices!$H$17/30))</f>
        <v>27.925333333333338</v>
      </c>
      <c r="S60" s="390">
        <f t="shared" si="5"/>
        <v>41.365333333333339</v>
      </c>
      <c r="T60" s="524"/>
      <c r="U60" s="388">
        <f>IF(E60="Standard",F60*B60*VLOOKUP(J60,Prices!$G$21:$H$23,2,FALSE),F60*B60*Prices!$H$17)</f>
        <v>22.5</v>
      </c>
      <c r="V60" s="388">
        <f t="shared" si="6"/>
        <v>270</v>
      </c>
      <c r="W60" s="525">
        <v>704</v>
      </c>
      <c r="X60" s="388">
        <f t="shared" si="7"/>
        <v>2.3271111111111114</v>
      </c>
      <c r="Y60" s="388">
        <f t="shared" si="8"/>
        <v>24.827111111111112</v>
      </c>
      <c r="Z60" s="388">
        <f t="shared" si="9"/>
        <v>297.92533333333336</v>
      </c>
      <c r="AA60" s="388">
        <f t="shared" si="10"/>
        <v>13.440000000000001</v>
      </c>
      <c r="AB60" s="524"/>
      <c r="AC60" s="393">
        <f>IF(B60= 0,0,Prices!$AG$3*B60)</f>
        <v>25</v>
      </c>
      <c r="AD60" s="524"/>
      <c r="AE60" s="388">
        <f>IF((OR(B60="",B60=0)),0,B60*IFERROR(VLOOKUP(L60,Prices!$A$3:$D$300,3,FALSE),0)*24)</f>
        <v>0.48</v>
      </c>
      <c r="AF60" s="388">
        <f>IF((OR(B60="",B60=0)),0,IF(E60="Standard",IF($F$25="Yes",(W60*B60*Prices!$H$27)/30,(F60*B60*VLOOKUP(J60,Prices!$G$21:$H$23,2,FALSE)/30)),W60*B60*Prices!$H$17/30))</f>
        <v>0.9973333333333334</v>
      </c>
      <c r="AG60" s="388">
        <f t="shared" si="11"/>
        <v>1.4773333333333334</v>
      </c>
      <c r="AH60" s="526"/>
    </row>
    <row r="61" spans="1:34" s="527" customFormat="1">
      <c r="A61" s="514" t="s">
        <v>1011</v>
      </c>
      <c r="B61" s="515">
        <v>1</v>
      </c>
      <c r="C61" s="516" t="s">
        <v>276</v>
      </c>
      <c r="D61" s="517" t="s">
        <v>276</v>
      </c>
      <c r="E61" s="515" t="s">
        <v>195</v>
      </c>
      <c r="F61" s="518">
        <v>221</v>
      </c>
      <c r="G61" s="519">
        <v>4</v>
      </c>
      <c r="H61" s="519">
        <v>7</v>
      </c>
      <c r="I61" s="520" t="s">
        <v>194</v>
      </c>
      <c r="J61" s="521" t="s">
        <v>180</v>
      </c>
      <c r="K61" s="522" t="s">
        <v>150</v>
      </c>
      <c r="L61" s="118" t="str">
        <f t="shared" si="1"/>
        <v>Standard_A2</v>
      </c>
      <c r="M61" s="388">
        <f t="shared" si="2"/>
        <v>460.0026666666667</v>
      </c>
      <c r="N61" s="388">
        <f t="shared" si="3"/>
        <v>132.60000000000002</v>
      </c>
      <c r="O61" s="388">
        <f t="shared" si="4"/>
        <v>27.402666666666669</v>
      </c>
      <c r="P61" s="523"/>
      <c r="Q61" s="388">
        <f>IF((OR(B61="",B61=0)),0,IFERROR(VLOOKUP(L61,Prices!$A$3:$D$300,3,FALSE),0)*B61*G61*H61*24)</f>
        <v>13.440000000000001</v>
      </c>
      <c r="R61" s="388">
        <f>IF(OR(B61="",B61=0),0,
 IF(E61="Standard",IF($F$25="Yes",W61*B61*G61*H61*Prices!$H$27/30,(F61*B61*G61*H61*VLOOKUP(J61,Prices!$G$21:$H$23,2,FALSE)/30)), W61*B61*G61*H61*Prices!$H$17/30))</f>
        <v>13.962666666666669</v>
      </c>
      <c r="S61" s="390">
        <f t="shared" si="5"/>
        <v>27.402666666666669</v>
      </c>
      <c r="T61" s="524"/>
      <c r="U61" s="388">
        <f>IF(E61="Standard",F61*B61*VLOOKUP(J61,Prices!$G$21:$H$23,2,FALSE),F61*B61*Prices!$H$17)</f>
        <v>11.05</v>
      </c>
      <c r="V61" s="388">
        <f t="shared" si="6"/>
        <v>132.60000000000002</v>
      </c>
      <c r="W61" s="525">
        <v>352</v>
      </c>
      <c r="X61" s="388">
        <f t="shared" si="7"/>
        <v>1.1635555555555557</v>
      </c>
      <c r="Y61" s="388">
        <f t="shared" si="8"/>
        <v>12.213555555555558</v>
      </c>
      <c r="Z61" s="388">
        <f t="shared" si="9"/>
        <v>146.5626666666667</v>
      </c>
      <c r="AA61" s="388">
        <f t="shared" si="10"/>
        <v>13.440000000000001</v>
      </c>
      <c r="AB61" s="524"/>
      <c r="AC61" s="393">
        <f>IF(B61= 0,0,Prices!$AG$3*B61)</f>
        <v>25</v>
      </c>
      <c r="AD61" s="524"/>
      <c r="AE61" s="388">
        <f>IF((OR(B61="",B61=0)),0,B61*IFERROR(VLOOKUP(L61,Prices!$A$3:$D$300,3,FALSE),0)*24)</f>
        <v>0.48</v>
      </c>
      <c r="AF61" s="388">
        <f>IF((OR(B61="",B61=0)),0,IF(E61="Standard",IF($F$25="Yes",(W61*B61*Prices!$H$27)/30,(F61*B61*VLOOKUP(J61,Prices!$G$21:$H$23,2,FALSE)/30)),W61*B61*Prices!$H$17/30))</f>
        <v>0.4986666666666667</v>
      </c>
      <c r="AG61" s="388">
        <f t="shared" si="11"/>
        <v>0.97866666666666668</v>
      </c>
      <c r="AH61" s="526"/>
    </row>
    <row r="62" spans="1:34" s="527" customFormat="1">
      <c r="A62" s="514" t="s">
        <v>1012</v>
      </c>
      <c r="B62" s="515">
        <v>1</v>
      </c>
      <c r="C62" s="516" t="s">
        <v>342</v>
      </c>
      <c r="D62" s="517" t="s">
        <v>342</v>
      </c>
      <c r="E62" s="515" t="s">
        <v>195</v>
      </c>
      <c r="F62" s="518">
        <v>5405</v>
      </c>
      <c r="G62" s="519">
        <v>4</v>
      </c>
      <c r="H62" s="519">
        <v>7</v>
      </c>
      <c r="I62" s="520" t="s">
        <v>194</v>
      </c>
      <c r="J62" s="521" t="s">
        <v>180</v>
      </c>
      <c r="K62" s="522" t="s">
        <v>150</v>
      </c>
      <c r="L62" s="118" t="str">
        <f t="shared" si="1"/>
        <v>Standard_D5_v2</v>
      </c>
      <c r="M62" s="388">
        <f t="shared" si="2"/>
        <v>3912.2266666666665</v>
      </c>
      <c r="N62" s="388">
        <f t="shared" si="3"/>
        <v>3243</v>
      </c>
      <c r="O62" s="388">
        <f t="shared" si="4"/>
        <v>369.22666666666669</v>
      </c>
      <c r="P62" s="523"/>
      <c r="Q62" s="388">
        <f>IF((OR(B62="",B62=0)),0,IFERROR(VLOOKUP(L62,Prices!$A$3:$D$300,3,FALSE),0)*B62*G62*H62*24)</f>
        <v>122.976</v>
      </c>
      <c r="R62" s="388">
        <f>IF(OR(B62="",B62=0),0,
 IF(E62="Standard",IF($F$25="Yes",W62*B62*G62*H62*Prices!$H$27/30,(F62*B62*G62*H62*VLOOKUP(J62,Prices!$G$21:$H$23,2,FALSE)/30)), W62*B62*G62*H62*Prices!$H$17/30))</f>
        <v>246.25066666666669</v>
      </c>
      <c r="S62" s="390">
        <f t="shared" si="5"/>
        <v>369.22666666666669</v>
      </c>
      <c r="T62" s="524"/>
      <c r="U62" s="388">
        <f>IF(E62="Standard",F62*B62*VLOOKUP(J62,Prices!$G$21:$H$23,2,FALSE),F62*B62*Prices!$H$17)</f>
        <v>270.25</v>
      </c>
      <c r="V62" s="388">
        <f t="shared" si="6"/>
        <v>3243</v>
      </c>
      <c r="W62" s="525">
        <v>6208</v>
      </c>
      <c r="X62" s="388">
        <f t="shared" si="7"/>
        <v>20.520888888888891</v>
      </c>
      <c r="Y62" s="388">
        <f t="shared" si="8"/>
        <v>290.77088888888892</v>
      </c>
      <c r="Z62" s="388">
        <f t="shared" si="9"/>
        <v>3489.2506666666668</v>
      </c>
      <c r="AA62" s="388">
        <f t="shared" si="10"/>
        <v>122.976</v>
      </c>
      <c r="AB62" s="524"/>
      <c r="AC62" s="393">
        <f>IF(B62= 0,0,Prices!$AG$3*B62)</f>
        <v>25</v>
      </c>
      <c r="AD62" s="524"/>
      <c r="AE62" s="388">
        <f>IF((OR(B62="",B62=0)),0,B62*IFERROR(VLOOKUP(L62,Prices!$A$3:$D$300,3,FALSE),0)*24)</f>
        <v>4.3919999999999995</v>
      </c>
      <c r="AF62" s="388">
        <f>IF((OR(B62="",B62=0)),0,IF(E62="Standard",IF($F$25="Yes",(W62*B62*Prices!$H$27)/30,(F62*B62*VLOOKUP(J62,Prices!$G$21:$H$23,2,FALSE)/30)),W62*B62*Prices!$H$17/30))</f>
        <v>8.794666666666668</v>
      </c>
      <c r="AG62" s="388">
        <f t="shared" si="11"/>
        <v>13.186666666666667</v>
      </c>
      <c r="AH62" s="526"/>
    </row>
    <row r="63" spans="1:34" s="527" customFormat="1">
      <c r="A63" s="514" t="s">
        <v>1013</v>
      </c>
      <c r="B63" s="515">
        <v>1</v>
      </c>
      <c r="C63" s="516" t="s">
        <v>276</v>
      </c>
      <c r="D63" s="517" t="s">
        <v>276</v>
      </c>
      <c r="E63" s="515" t="s">
        <v>195</v>
      </c>
      <c r="F63" s="518">
        <v>450</v>
      </c>
      <c r="G63" s="519">
        <v>4</v>
      </c>
      <c r="H63" s="519">
        <v>7</v>
      </c>
      <c r="I63" s="520" t="s">
        <v>194</v>
      </c>
      <c r="J63" s="521" t="s">
        <v>180</v>
      </c>
      <c r="K63" s="522" t="s">
        <v>150</v>
      </c>
      <c r="L63" s="118" t="str">
        <f t="shared" si="1"/>
        <v>Standard_A2</v>
      </c>
      <c r="M63" s="388">
        <f t="shared" si="2"/>
        <v>611.36533333333341</v>
      </c>
      <c r="N63" s="388">
        <f t="shared" si="3"/>
        <v>270</v>
      </c>
      <c r="O63" s="388">
        <f t="shared" si="4"/>
        <v>41.365333333333339</v>
      </c>
      <c r="P63" s="523"/>
      <c r="Q63" s="388">
        <f>IF((OR(B63="",B63=0)),0,IFERROR(VLOOKUP(L63,Prices!$A$3:$D$300,3,FALSE),0)*B63*G63*H63*24)</f>
        <v>13.440000000000001</v>
      </c>
      <c r="R63" s="388">
        <f>IF(OR(B63="",B63=0),0,
 IF(E63="Standard",IF($F$25="Yes",W63*B63*G63*H63*Prices!$H$27/30,(F63*B63*G63*H63*VLOOKUP(J63,Prices!$G$21:$H$23,2,FALSE)/30)), W63*B63*G63*H63*Prices!$H$17/30))</f>
        <v>27.925333333333338</v>
      </c>
      <c r="S63" s="390">
        <f t="shared" si="5"/>
        <v>41.365333333333339</v>
      </c>
      <c r="T63" s="524"/>
      <c r="U63" s="388">
        <f>IF(E63="Standard",F63*B63*VLOOKUP(J63,Prices!$G$21:$H$23,2,FALSE),F63*B63*Prices!$H$17)</f>
        <v>22.5</v>
      </c>
      <c r="V63" s="388">
        <f t="shared" si="6"/>
        <v>270</v>
      </c>
      <c r="W63" s="525">
        <v>704</v>
      </c>
      <c r="X63" s="388">
        <f t="shared" si="7"/>
        <v>2.3271111111111114</v>
      </c>
      <c r="Y63" s="388">
        <f t="shared" si="8"/>
        <v>24.827111111111112</v>
      </c>
      <c r="Z63" s="388">
        <f t="shared" si="9"/>
        <v>297.92533333333336</v>
      </c>
      <c r="AA63" s="388">
        <f t="shared" si="10"/>
        <v>13.440000000000001</v>
      </c>
      <c r="AB63" s="524"/>
      <c r="AC63" s="393">
        <f>IF(B63= 0,0,Prices!$AG$3*B63)</f>
        <v>25</v>
      </c>
      <c r="AD63" s="524"/>
      <c r="AE63" s="388">
        <f>IF((OR(B63="",B63=0)),0,B63*IFERROR(VLOOKUP(L63,Prices!$A$3:$D$300,3,FALSE),0)*24)</f>
        <v>0.48</v>
      </c>
      <c r="AF63" s="388">
        <f>IF((OR(B63="",B63=0)),0,IF(E63="Standard",IF($F$25="Yes",(W63*B63*Prices!$H$27)/30,(F63*B63*VLOOKUP(J63,Prices!$G$21:$H$23,2,FALSE)/30)),W63*B63*Prices!$H$17/30))</f>
        <v>0.9973333333333334</v>
      </c>
      <c r="AG63" s="388">
        <f t="shared" si="11"/>
        <v>1.4773333333333334</v>
      </c>
      <c r="AH63" s="526"/>
    </row>
    <row r="64" spans="1:34" s="527" customFormat="1">
      <c r="A64" s="514" t="s">
        <v>1014</v>
      </c>
      <c r="B64" s="515">
        <v>1</v>
      </c>
      <c r="C64" s="516" t="s">
        <v>342</v>
      </c>
      <c r="D64" s="517" t="s">
        <v>342</v>
      </c>
      <c r="E64" s="515" t="s">
        <v>195</v>
      </c>
      <c r="F64" s="518">
        <v>250</v>
      </c>
      <c r="G64" s="519">
        <v>4</v>
      </c>
      <c r="H64" s="519">
        <v>7</v>
      </c>
      <c r="I64" s="520" t="s">
        <v>194</v>
      </c>
      <c r="J64" s="521" t="s">
        <v>180</v>
      </c>
      <c r="K64" s="522" t="s">
        <v>150</v>
      </c>
      <c r="L64" s="118" t="str">
        <f t="shared" si="1"/>
        <v>Standard_D5_v2</v>
      </c>
      <c r="M64" s="388">
        <f t="shared" si="2"/>
        <v>585.66933333333327</v>
      </c>
      <c r="N64" s="388">
        <f t="shared" si="3"/>
        <v>150</v>
      </c>
      <c r="O64" s="388">
        <f t="shared" si="4"/>
        <v>135.66933333333333</v>
      </c>
      <c r="P64" s="523"/>
      <c r="Q64" s="388">
        <f>IF((OR(B64="",B64=0)),0,IFERROR(VLOOKUP(L64,Prices!$A$3:$D$300,3,FALSE),0)*B64*G64*H64*24)</f>
        <v>122.976</v>
      </c>
      <c r="R64" s="388">
        <f>IF(OR(B64="",B64=0),0,
 IF(E64="Standard",IF($F$25="Yes",W64*B64*G64*H64*Prices!$H$27/30,(F64*B64*G64*H64*VLOOKUP(J64,Prices!$G$21:$H$23,2,FALSE)/30)), W64*B64*G64*H64*Prices!$H$17/30))</f>
        <v>12.693333333333333</v>
      </c>
      <c r="S64" s="390">
        <f t="shared" si="5"/>
        <v>135.66933333333333</v>
      </c>
      <c r="T64" s="524"/>
      <c r="U64" s="388">
        <f>IF(E64="Standard",F64*B64*VLOOKUP(J64,Prices!$G$21:$H$23,2,FALSE),F64*B64*Prices!$H$17)</f>
        <v>12.5</v>
      </c>
      <c r="V64" s="388">
        <f t="shared" si="6"/>
        <v>150</v>
      </c>
      <c r="W64" s="525">
        <v>320</v>
      </c>
      <c r="X64" s="388">
        <f t="shared" si="7"/>
        <v>1.0577777777777777</v>
      </c>
      <c r="Y64" s="388">
        <f t="shared" si="8"/>
        <v>13.557777777777778</v>
      </c>
      <c r="Z64" s="388">
        <f t="shared" si="9"/>
        <v>162.69333333333333</v>
      </c>
      <c r="AA64" s="388">
        <f t="shared" si="10"/>
        <v>122.976</v>
      </c>
      <c r="AB64" s="524"/>
      <c r="AC64" s="393">
        <f>IF(B64= 0,0,Prices!$AG$3*B64)</f>
        <v>25</v>
      </c>
      <c r="AD64" s="524"/>
      <c r="AE64" s="388">
        <f>IF((OR(B64="",B64=0)),0,B64*IFERROR(VLOOKUP(L64,Prices!$A$3:$D$300,3,FALSE),0)*24)</f>
        <v>4.3919999999999995</v>
      </c>
      <c r="AF64" s="388">
        <f>IF((OR(B64="",B64=0)),0,IF(E64="Standard",IF($F$25="Yes",(W64*B64*Prices!$H$27)/30,(F64*B64*VLOOKUP(J64,Prices!$G$21:$H$23,2,FALSE)/30)),W64*B64*Prices!$H$17/30))</f>
        <v>0.45333333333333337</v>
      </c>
      <c r="AG64" s="388">
        <f t="shared" si="11"/>
        <v>4.8453333333333326</v>
      </c>
      <c r="AH64" s="526"/>
    </row>
    <row r="65" spans="1:34" s="527" customFormat="1">
      <c r="A65" s="514" t="s">
        <v>1015</v>
      </c>
      <c r="B65" s="515">
        <v>1</v>
      </c>
      <c r="C65" s="516" t="s">
        <v>280</v>
      </c>
      <c r="D65" s="517" t="s">
        <v>280</v>
      </c>
      <c r="E65" s="515" t="s">
        <v>195</v>
      </c>
      <c r="F65" s="518">
        <v>1001</v>
      </c>
      <c r="G65" s="519">
        <v>4</v>
      </c>
      <c r="H65" s="519">
        <v>7</v>
      </c>
      <c r="I65" s="520" t="s">
        <v>194</v>
      </c>
      <c r="J65" s="521" t="s">
        <v>180</v>
      </c>
      <c r="K65" s="522" t="s">
        <v>150</v>
      </c>
      <c r="L65" s="118" t="str">
        <f t="shared" si="1"/>
        <v>Standard_A4</v>
      </c>
      <c r="M65" s="388">
        <f t="shared" si="2"/>
        <v>1215.9173333333333</v>
      </c>
      <c r="N65" s="388">
        <f t="shared" si="3"/>
        <v>600.6</v>
      </c>
      <c r="O65" s="388">
        <f t="shared" si="4"/>
        <v>315.31733333333329</v>
      </c>
      <c r="P65" s="523"/>
      <c r="Q65" s="388">
        <f>IF((OR(B65="",B65=0)),0,IFERROR(VLOOKUP(L65,Prices!$A$3:$D$300,3,FALSE),0)*B65*G65*H65*24)</f>
        <v>272.15999999999997</v>
      </c>
      <c r="R65" s="388">
        <f>IF(OR(B65="",B65=0),0,
 IF(E65="Standard",IF($F$25="Yes",W65*B65*G65*H65*Prices!$H$27/30,(F65*B65*G65*H65*VLOOKUP(J65,Prices!$G$21:$H$23,2,FALSE)/30)), W65*B65*G65*H65*Prices!$H$17/30))</f>
        <v>43.157333333333334</v>
      </c>
      <c r="S65" s="390">
        <f t="shared" si="5"/>
        <v>315.31733333333329</v>
      </c>
      <c r="T65" s="524"/>
      <c r="U65" s="388">
        <f>IF(E65="Standard",F65*B65*VLOOKUP(J65,Prices!$G$21:$H$23,2,FALSE),F65*B65*Prices!$H$17)</f>
        <v>50.050000000000004</v>
      </c>
      <c r="V65" s="388">
        <f t="shared" si="6"/>
        <v>600.6</v>
      </c>
      <c r="W65" s="525">
        <v>1088</v>
      </c>
      <c r="X65" s="388">
        <f t="shared" si="7"/>
        <v>3.5964444444444443</v>
      </c>
      <c r="Y65" s="388">
        <f t="shared" si="8"/>
        <v>53.646444444444448</v>
      </c>
      <c r="Z65" s="388">
        <f t="shared" si="9"/>
        <v>643.75733333333335</v>
      </c>
      <c r="AA65" s="388">
        <f t="shared" si="10"/>
        <v>272.15999999999997</v>
      </c>
      <c r="AB65" s="524"/>
      <c r="AC65" s="393">
        <f>IF(B65= 0,0,Prices!$AG$3*B65)</f>
        <v>25</v>
      </c>
      <c r="AD65" s="524"/>
      <c r="AE65" s="388">
        <f>IF((OR(B65="",B65=0)),0,B65*IFERROR(VLOOKUP(L65,Prices!$A$3:$D$300,3,FALSE),0)*24)</f>
        <v>9.7200000000000006</v>
      </c>
      <c r="AF65" s="388">
        <f>IF((OR(B65="",B65=0)),0,IF(E65="Standard",IF($F$25="Yes",(W65*B65*Prices!$H$27)/30,(F65*B65*VLOOKUP(J65,Prices!$G$21:$H$23,2,FALSE)/30)),W65*B65*Prices!$H$17/30))</f>
        <v>1.5413333333333334</v>
      </c>
      <c r="AG65" s="388">
        <f t="shared" si="11"/>
        <v>11.261333333333335</v>
      </c>
      <c r="AH65" s="526"/>
    </row>
    <row r="66" spans="1:34" s="527" customFormat="1">
      <c r="A66" s="514" t="s">
        <v>1016</v>
      </c>
      <c r="B66" s="515">
        <v>1</v>
      </c>
      <c r="C66" s="516" t="s">
        <v>280</v>
      </c>
      <c r="D66" s="517" t="s">
        <v>280</v>
      </c>
      <c r="E66" s="515" t="s">
        <v>195</v>
      </c>
      <c r="F66" s="518">
        <v>201</v>
      </c>
      <c r="G66" s="519">
        <v>4</v>
      </c>
      <c r="H66" s="519">
        <v>7</v>
      </c>
      <c r="I66" s="520" t="s">
        <v>194</v>
      </c>
      <c r="J66" s="521" t="s">
        <v>180</v>
      </c>
      <c r="K66" s="522" t="s">
        <v>150</v>
      </c>
      <c r="L66" s="118" t="str">
        <f t="shared" si="1"/>
        <v>Standard_A4</v>
      </c>
      <c r="M66" s="388">
        <f t="shared" si="2"/>
        <v>702.91466666666668</v>
      </c>
      <c r="N66" s="388">
        <f t="shared" si="3"/>
        <v>120.60000000000001</v>
      </c>
      <c r="O66" s="388">
        <f t="shared" si="4"/>
        <v>282.31466666666665</v>
      </c>
      <c r="P66" s="523"/>
      <c r="Q66" s="388">
        <f>IF((OR(B66="",B66=0)),0,IFERROR(VLOOKUP(L66,Prices!$A$3:$D$300,3,FALSE),0)*B66*G66*H66*24)</f>
        <v>272.15999999999997</v>
      </c>
      <c r="R66" s="388">
        <f>IF(OR(B66="",B66=0),0,
 IF(E66="Standard",IF($F$25="Yes",W66*B66*G66*H66*Prices!$H$27/30,(F66*B66*G66*H66*VLOOKUP(J66,Prices!$G$21:$H$23,2,FALSE)/30)), W66*B66*G66*H66*Prices!$H$17/30))</f>
        <v>10.154666666666667</v>
      </c>
      <c r="S66" s="390">
        <f t="shared" si="5"/>
        <v>282.31466666666665</v>
      </c>
      <c r="T66" s="524"/>
      <c r="U66" s="388">
        <f>IF(E66="Standard",F66*B66*VLOOKUP(J66,Prices!$G$21:$H$23,2,FALSE),F66*B66*Prices!$H$17)</f>
        <v>10.050000000000001</v>
      </c>
      <c r="V66" s="388">
        <f t="shared" si="6"/>
        <v>120.60000000000001</v>
      </c>
      <c r="W66" s="525">
        <v>256</v>
      </c>
      <c r="X66" s="388">
        <f t="shared" si="7"/>
        <v>0.84622222222222232</v>
      </c>
      <c r="Y66" s="388">
        <f t="shared" si="8"/>
        <v>10.896222222222223</v>
      </c>
      <c r="Z66" s="388">
        <f t="shared" si="9"/>
        <v>130.75466666666668</v>
      </c>
      <c r="AA66" s="388">
        <f t="shared" si="10"/>
        <v>272.15999999999997</v>
      </c>
      <c r="AB66" s="524"/>
      <c r="AC66" s="393">
        <f>IF(B66= 0,0,Prices!$AG$3*B66)</f>
        <v>25</v>
      </c>
      <c r="AD66" s="524"/>
      <c r="AE66" s="388">
        <f>IF((OR(B66="",B66=0)),0,B66*IFERROR(VLOOKUP(L66,Prices!$A$3:$D$300,3,FALSE),0)*24)</f>
        <v>9.7200000000000006</v>
      </c>
      <c r="AF66" s="388">
        <f>IF((OR(B66="",B66=0)),0,IF(E66="Standard",IF($F$25="Yes",(W66*B66*Prices!$H$27)/30,(F66*B66*VLOOKUP(J66,Prices!$G$21:$H$23,2,FALSE)/30)),W66*B66*Prices!$H$17/30))</f>
        <v>0.36266666666666669</v>
      </c>
      <c r="AG66" s="388">
        <f t="shared" si="11"/>
        <v>10.082666666666668</v>
      </c>
      <c r="AH66" s="526"/>
    </row>
    <row r="67" spans="1:34" s="527" customFormat="1">
      <c r="A67" s="514" t="s">
        <v>1017</v>
      </c>
      <c r="B67" s="515">
        <v>1</v>
      </c>
      <c r="C67" s="516" t="s">
        <v>276</v>
      </c>
      <c r="D67" s="517" t="s">
        <v>276</v>
      </c>
      <c r="E67" s="515" t="s">
        <v>195</v>
      </c>
      <c r="F67" s="518">
        <v>200</v>
      </c>
      <c r="G67" s="519">
        <v>4</v>
      </c>
      <c r="H67" s="519">
        <v>7</v>
      </c>
      <c r="I67" s="520" t="s">
        <v>194</v>
      </c>
      <c r="J67" s="521" t="s">
        <v>180</v>
      </c>
      <c r="K67" s="522" t="s">
        <v>150</v>
      </c>
      <c r="L67" s="118" t="str">
        <f t="shared" si="1"/>
        <v>Standard_A2</v>
      </c>
      <c r="M67" s="388">
        <f t="shared" si="2"/>
        <v>443.59466666666668</v>
      </c>
      <c r="N67" s="388">
        <f t="shared" si="3"/>
        <v>120</v>
      </c>
      <c r="O67" s="388">
        <f t="shared" si="4"/>
        <v>23.594666666666669</v>
      </c>
      <c r="P67" s="523"/>
      <c r="Q67" s="388">
        <f>IF((OR(B67="",B67=0)),0,IFERROR(VLOOKUP(L67,Prices!$A$3:$D$300,3,FALSE),0)*B67*G67*H67*24)</f>
        <v>13.440000000000001</v>
      </c>
      <c r="R67" s="388">
        <f>IF(OR(B67="",B67=0),0,
 IF(E67="Standard",IF($F$25="Yes",W67*B67*G67*H67*Prices!$H$27/30,(F67*B67*G67*H67*VLOOKUP(J67,Prices!$G$21:$H$23,2,FALSE)/30)), W67*B67*G67*H67*Prices!$H$17/30))</f>
        <v>10.154666666666667</v>
      </c>
      <c r="S67" s="390">
        <f t="shared" si="5"/>
        <v>23.594666666666669</v>
      </c>
      <c r="T67" s="524"/>
      <c r="U67" s="388">
        <f>IF(E67="Standard",F67*B67*VLOOKUP(J67,Prices!$G$21:$H$23,2,FALSE),F67*B67*Prices!$H$17)</f>
        <v>10</v>
      </c>
      <c r="V67" s="388">
        <f t="shared" si="6"/>
        <v>120</v>
      </c>
      <c r="W67" s="525">
        <v>256</v>
      </c>
      <c r="X67" s="388">
        <f t="shared" si="7"/>
        <v>0.84622222222222232</v>
      </c>
      <c r="Y67" s="388">
        <f t="shared" si="8"/>
        <v>10.846222222222222</v>
      </c>
      <c r="Z67" s="388">
        <f t="shared" si="9"/>
        <v>130.15466666666666</v>
      </c>
      <c r="AA67" s="388">
        <f t="shared" si="10"/>
        <v>13.440000000000001</v>
      </c>
      <c r="AB67" s="524"/>
      <c r="AC67" s="393">
        <f>IF(B67= 0,0,Prices!$AG$3*B67)</f>
        <v>25</v>
      </c>
      <c r="AD67" s="524"/>
      <c r="AE67" s="388">
        <f>IF((OR(B67="",B67=0)),0,B67*IFERROR(VLOOKUP(L67,Prices!$A$3:$D$300,3,FALSE),0)*24)</f>
        <v>0.48</v>
      </c>
      <c r="AF67" s="388">
        <f>IF((OR(B67="",B67=0)),0,IF(E67="Standard",IF($F$25="Yes",(W67*B67*Prices!$H$27)/30,(F67*B67*VLOOKUP(J67,Prices!$G$21:$H$23,2,FALSE)/30)),W67*B67*Prices!$H$17/30))</f>
        <v>0.36266666666666669</v>
      </c>
      <c r="AG67" s="388">
        <f t="shared" si="11"/>
        <v>0.84266666666666667</v>
      </c>
      <c r="AH67" s="526"/>
    </row>
    <row r="68" spans="1:34" s="527" customFormat="1">
      <c r="A68" s="514" t="s">
        <v>1018</v>
      </c>
      <c r="B68" s="515">
        <v>1</v>
      </c>
      <c r="C68" s="516" t="s">
        <v>298</v>
      </c>
      <c r="D68" s="517" t="s">
        <v>298</v>
      </c>
      <c r="E68" s="515" t="s">
        <v>195</v>
      </c>
      <c r="F68" s="518">
        <v>450</v>
      </c>
      <c r="G68" s="519">
        <v>4</v>
      </c>
      <c r="H68" s="519">
        <v>7</v>
      </c>
      <c r="I68" s="520" t="s">
        <v>194</v>
      </c>
      <c r="J68" s="521" t="s">
        <v>180</v>
      </c>
      <c r="K68" s="522" t="s">
        <v>150</v>
      </c>
      <c r="L68" s="118" t="str">
        <f t="shared" si="1"/>
        <v>Standard_A2_v2</v>
      </c>
      <c r="M68" s="388">
        <f t="shared" si="2"/>
        <v>608.00533333333328</v>
      </c>
      <c r="N68" s="388">
        <f t="shared" si="3"/>
        <v>270</v>
      </c>
      <c r="O68" s="388">
        <f t="shared" si="4"/>
        <v>38.00533333333334</v>
      </c>
      <c r="P68" s="523"/>
      <c r="Q68" s="388">
        <f>IF((OR(B68="",B68=0)),0,IFERROR(VLOOKUP(L68,Prices!$A$3:$D$300,3,FALSE),0)*B68*G68*H68*24)</f>
        <v>10.08</v>
      </c>
      <c r="R68" s="388">
        <f>IF(OR(B68="",B68=0),0,
 IF(E68="Standard",IF($F$25="Yes",W68*B68*G68*H68*Prices!$H$27/30,(F68*B68*G68*H68*VLOOKUP(J68,Prices!$G$21:$H$23,2,FALSE)/30)), W68*B68*G68*H68*Prices!$H$17/30))</f>
        <v>27.925333333333338</v>
      </c>
      <c r="S68" s="390">
        <f t="shared" si="5"/>
        <v>38.00533333333334</v>
      </c>
      <c r="T68" s="524"/>
      <c r="U68" s="388">
        <f>IF(E68="Standard",F68*B68*VLOOKUP(J68,Prices!$G$21:$H$23,2,FALSE),F68*B68*Prices!$H$17)</f>
        <v>22.5</v>
      </c>
      <c r="V68" s="388">
        <f t="shared" si="6"/>
        <v>270</v>
      </c>
      <c r="W68" s="525">
        <v>704</v>
      </c>
      <c r="X68" s="388">
        <f t="shared" si="7"/>
        <v>2.3271111111111114</v>
      </c>
      <c r="Y68" s="388">
        <f t="shared" si="8"/>
        <v>24.827111111111112</v>
      </c>
      <c r="Z68" s="388">
        <f t="shared" si="9"/>
        <v>297.92533333333336</v>
      </c>
      <c r="AA68" s="388">
        <f t="shared" si="10"/>
        <v>10.08</v>
      </c>
      <c r="AB68" s="524"/>
      <c r="AC68" s="393">
        <f>IF(B68= 0,0,Prices!$AG$3*B68)</f>
        <v>25</v>
      </c>
      <c r="AD68" s="524"/>
      <c r="AE68" s="388">
        <f>IF((OR(B68="",B68=0)),0,B68*IFERROR(VLOOKUP(L68,Prices!$A$3:$D$300,3,FALSE),0)*24)</f>
        <v>0.36</v>
      </c>
      <c r="AF68" s="388">
        <f>IF((OR(B68="",B68=0)),0,IF(E68="Standard",IF($F$25="Yes",(W68*B68*Prices!$H$27)/30,(F68*B68*VLOOKUP(J68,Prices!$G$21:$H$23,2,FALSE)/30)),W68*B68*Prices!$H$17/30))</f>
        <v>0.9973333333333334</v>
      </c>
      <c r="AG68" s="388">
        <f t="shared" si="11"/>
        <v>1.3573333333333335</v>
      </c>
      <c r="AH68" s="526"/>
    </row>
    <row r="69" spans="1:34" s="527" customFormat="1">
      <c r="A69" s="514" t="s">
        <v>1019</v>
      </c>
      <c r="B69" s="515">
        <v>1</v>
      </c>
      <c r="C69" s="516" t="s">
        <v>351</v>
      </c>
      <c r="D69" s="517" t="s">
        <v>351</v>
      </c>
      <c r="E69" s="528" t="s">
        <v>3</v>
      </c>
      <c r="F69" s="518">
        <v>2474</v>
      </c>
      <c r="G69" s="519">
        <v>4</v>
      </c>
      <c r="H69" s="519">
        <v>7</v>
      </c>
      <c r="I69" s="520" t="s">
        <v>194</v>
      </c>
      <c r="J69" s="521" t="s">
        <v>180</v>
      </c>
      <c r="K69" s="522" t="s">
        <v>150</v>
      </c>
      <c r="L69" s="118" t="str">
        <f t="shared" si="1"/>
        <v>Standard_DS4_v2</v>
      </c>
      <c r="M69" s="388">
        <f t="shared" si="2"/>
        <v>4902.8266666666668</v>
      </c>
      <c r="N69" s="388">
        <f t="shared" si="3"/>
        <v>4156.32</v>
      </c>
      <c r="O69" s="388">
        <f t="shared" si="4"/>
        <v>446.50666666666672</v>
      </c>
      <c r="P69" s="523"/>
      <c r="Q69" s="388">
        <f>IF((OR(B69="",B69=0)),0,IFERROR(VLOOKUP(L69,Prices!$A$3:$D$300,3,FALSE),0)*B69*G69*H69*24)</f>
        <v>61.823999999999998</v>
      </c>
      <c r="R69" s="388">
        <f>IF(OR(B69="",B69=0),0,
 IF(E69="Standard",IF($F$25="Yes",W69*B69*G69*H69*Prices!$H$27/30,(F69*B69*G69*H69*VLOOKUP(J69,Prices!$G$21:$H$23,2,FALSE)/30)), W69*B69*G69*H69*Prices!$H$17/30))</f>
        <v>384.68266666666671</v>
      </c>
      <c r="S69" s="390">
        <f t="shared" si="5"/>
        <v>446.50666666666672</v>
      </c>
      <c r="T69" s="524"/>
      <c r="U69" s="388">
        <f>IF(E69="Standard",F69*B69*VLOOKUP(J69,Prices!$G$21:$H$23,2,FALSE),F69*B69*Prices!$H$17)</f>
        <v>346.36</v>
      </c>
      <c r="V69" s="388">
        <f t="shared" si="6"/>
        <v>4156.32</v>
      </c>
      <c r="W69" s="525">
        <v>2944</v>
      </c>
      <c r="X69" s="388">
        <f t="shared" si="7"/>
        <v>32.056888888888892</v>
      </c>
      <c r="Y69" s="388">
        <f t="shared" si="8"/>
        <v>378.41688888888888</v>
      </c>
      <c r="Z69" s="388">
        <f t="shared" si="9"/>
        <v>4541.0026666666663</v>
      </c>
      <c r="AA69" s="388">
        <f t="shared" si="10"/>
        <v>61.823999999999998</v>
      </c>
      <c r="AB69" s="524"/>
      <c r="AC69" s="393">
        <f>IF(B69= 0,0,Prices!$AG$3*B69)</f>
        <v>25</v>
      </c>
      <c r="AD69" s="524"/>
      <c r="AE69" s="388">
        <f>IF((OR(B69="",B69=0)),0,B69*IFERROR(VLOOKUP(L69,Prices!$A$3:$D$300,3,FALSE),0)*24)</f>
        <v>2.2080000000000002</v>
      </c>
      <c r="AF69" s="388">
        <f>IF((OR(B69="",B69=0)),0,IF(E69="Standard",IF($F$25="Yes",(W69*B69*Prices!$H$27)/30,(F69*B69*VLOOKUP(J69,Prices!$G$21:$H$23,2,FALSE)/30)),W69*B69*Prices!$H$17/30))</f>
        <v>13.738666666666667</v>
      </c>
      <c r="AG69" s="388">
        <f t="shared" si="11"/>
        <v>15.946666666666667</v>
      </c>
      <c r="AH69" s="526"/>
    </row>
    <row r="70" spans="1:34" s="527" customFormat="1">
      <c r="A70" s="514" t="s">
        <v>1020</v>
      </c>
      <c r="B70" s="515">
        <v>1</v>
      </c>
      <c r="C70" s="516" t="s">
        <v>276</v>
      </c>
      <c r="D70" s="517" t="s">
        <v>276</v>
      </c>
      <c r="E70" s="515" t="s">
        <v>195</v>
      </c>
      <c r="F70" s="518">
        <v>251</v>
      </c>
      <c r="G70" s="519">
        <v>4</v>
      </c>
      <c r="H70" s="519">
        <v>7</v>
      </c>
      <c r="I70" s="520" t="s">
        <v>194</v>
      </c>
      <c r="J70" s="521" t="s">
        <v>180</v>
      </c>
      <c r="K70" s="522" t="s">
        <v>150</v>
      </c>
      <c r="L70" s="118" t="str">
        <f t="shared" si="1"/>
        <v>Standard_A2</v>
      </c>
      <c r="M70" s="388">
        <f t="shared" si="2"/>
        <v>476.73333333333335</v>
      </c>
      <c r="N70" s="388">
        <f t="shared" si="3"/>
        <v>150.60000000000002</v>
      </c>
      <c r="O70" s="388">
        <f t="shared" si="4"/>
        <v>26.133333333333333</v>
      </c>
      <c r="P70" s="523"/>
      <c r="Q70" s="388">
        <f>IF((OR(B70="",B70=0)),0,IFERROR(VLOOKUP(L70,Prices!$A$3:$D$300,3,FALSE),0)*B70*G70*H70*24)</f>
        <v>13.440000000000001</v>
      </c>
      <c r="R70" s="388">
        <f>IF(OR(B70="",B70=0),0,
 IF(E70="Standard",IF($F$25="Yes",W70*B70*G70*H70*Prices!$H$27/30,(F70*B70*G70*H70*VLOOKUP(J70,Prices!$G$21:$H$23,2,FALSE)/30)), W70*B70*G70*H70*Prices!$H$17/30))</f>
        <v>12.693333333333333</v>
      </c>
      <c r="S70" s="390">
        <f t="shared" si="5"/>
        <v>26.133333333333333</v>
      </c>
      <c r="T70" s="524"/>
      <c r="U70" s="388">
        <f>IF(E70="Standard",F70*B70*VLOOKUP(J70,Prices!$G$21:$H$23,2,FALSE),F70*B70*Prices!$H$17)</f>
        <v>12.55</v>
      </c>
      <c r="V70" s="388">
        <f t="shared" si="6"/>
        <v>150.60000000000002</v>
      </c>
      <c r="W70" s="525">
        <v>320</v>
      </c>
      <c r="X70" s="388">
        <f t="shared" si="7"/>
        <v>1.0577777777777777</v>
      </c>
      <c r="Y70" s="388">
        <f t="shared" si="8"/>
        <v>13.607777777777779</v>
      </c>
      <c r="Z70" s="388">
        <f t="shared" si="9"/>
        <v>163.29333333333335</v>
      </c>
      <c r="AA70" s="388">
        <f t="shared" si="10"/>
        <v>13.440000000000001</v>
      </c>
      <c r="AB70" s="524"/>
      <c r="AC70" s="393">
        <f>IF(B70= 0,0,Prices!$AG$3*B70)</f>
        <v>25</v>
      </c>
      <c r="AD70" s="524"/>
      <c r="AE70" s="388">
        <f>IF((OR(B70="",B70=0)),0,B70*IFERROR(VLOOKUP(L70,Prices!$A$3:$D$300,3,FALSE),0)*24)</f>
        <v>0.48</v>
      </c>
      <c r="AF70" s="388">
        <f>IF((OR(B70="",B70=0)),0,IF(E70="Standard",IF($F$25="Yes",(W70*B70*Prices!$H$27)/30,(F70*B70*VLOOKUP(J70,Prices!$G$21:$H$23,2,FALSE)/30)),W70*B70*Prices!$H$17/30))</f>
        <v>0.45333333333333337</v>
      </c>
      <c r="AG70" s="388">
        <f t="shared" si="11"/>
        <v>0.93333333333333335</v>
      </c>
      <c r="AH70" s="526"/>
    </row>
    <row r="71" spans="1:34" s="527" customFormat="1">
      <c r="A71" s="514" t="s">
        <v>1021</v>
      </c>
      <c r="B71" s="515">
        <v>1</v>
      </c>
      <c r="C71" s="516" t="s">
        <v>280</v>
      </c>
      <c r="D71" s="517" t="s">
        <v>280</v>
      </c>
      <c r="E71" s="515" t="s">
        <v>195</v>
      </c>
      <c r="F71" s="518">
        <v>200</v>
      </c>
      <c r="G71" s="519">
        <v>4</v>
      </c>
      <c r="H71" s="519">
        <v>7</v>
      </c>
      <c r="I71" s="520" t="s">
        <v>194</v>
      </c>
      <c r="J71" s="521" t="s">
        <v>180</v>
      </c>
      <c r="K71" s="522" t="s">
        <v>150</v>
      </c>
      <c r="L71" s="118" t="str">
        <f t="shared" ref="L71:L102" si="12">IF(AND(K71="No",ISNUMBER(SEARCH("Windows",I71))),_xlfn.CONCAT(D71,"_Windows"),D71)</f>
        <v>Standard_A4</v>
      </c>
      <c r="M71" s="388">
        <f t="shared" ref="M71:M102" si="13">IF($F$27="Month",N71+O71+(AC71*B71),N71+O71+(AC71*B71*12))</f>
        <v>702.31466666666665</v>
      </c>
      <c r="N71" s="388">
        <f t="shared" ref="N71:N102" si="14">IF($F$27="Month",U71,U71*12)</f>
        <v>120</v>
      </c>
      <c r="O71" s="388">
        <f t="shared" ref="O71:O102" si="15">IF($F$27="Month",Q71/12+R71/12,Q71+R71)</f>
        <v>282.31466666666665</v>
      </c>
      <c r="P71" s="523"/>
      <c r="Q71" s="388">
        <f>IF((OR(B71="",B71=0)),0,IFERROR(VLOOKUP(L71,Prices!$A$3:$D$300,3,FALSE),0)*B71*G71*H71*24)</f>
        <v>272.15999999999997</v>
      </c>
      <c r="R71" s="388">
        <f>IF(OR(B71="",B71=0),0,
 IF(E71="Standard",IF($F$25="Yes",W71*B71*G71*H71*Prices!$H$27/30,(F71*B71*G71*H71*VLOOKUP(J71,Prices!$G$21:$H$23,2,FALSE)/30)), W71*B71*G71*H71*Prices!$H$17/30))</f>
        <v>10.154666666666667</v>
      </c>
      <c r="S71" s="390">
        <f t="shared" si="5"/>
        <v>282.31466666666665</v>
      </c>
      <c r="T71" s="524"/>
      <c r="U71" s="388">
        <f>IF(E71="Standard",F71*B71*VLOOKUP(J71,Prices!$G$21:$H$23,2,FALSE),F71*B71*Prices!$H$17)</f>
        <v>10</v>
      </c>
      <c r="V71" s="388">
        <f t="shared" si="6"/>
        <v>120</v>
      </c>
      <c r="W71" s="525">
        <v>256</v>
      </c>
      <c r="X71" s="388">
        <f t="shared" si="7"/>
        <v>0.84622222222222232</v>
      </c>
      <c r="Y71" s="388">
        <f t="shared" si="8"/>
        <v>10.846222222222222</v>
      </c>
      <c r="Z71" s="388">
        <f t="shared" si="9"/>
        <v>130.15466666666666</v>
      </c>
      <c r="AA71" s="388">
        <f t="shared" si="10"/>
        <v>272.15999999999997</v>
      </c>
      <c r="AB71" s="524"/>
      <c r="AC71" s="393">
        <f>IF(B71= 0,0,Prices!$AG$3*B71)</f>
        <v>25</v>
      </c>
      <c r="AD71" s="524"/>
      <c r="AE71" s="388">
        <f>IF((OR(B71="",B71=0)),0,B71*IFERROR(VLOOKUP(L71,Prices!$A$3:$D$300,3,FALSE),0)*24)</f>
        <v>9.7200000000000006</v>
      </c>
      <c r="AF71" s="388">
        <f>IF((OR(B71="",B71=0)),0,IF(E71="Standard",IF($F$25="Yes",(W71*B71*Prices!$H$27)/30,(F71*B71*VLOOKUP(J71,Prices!$G$21:$H$23,2,FALSE)/30)),W71*B71*Prices!$H$17/30))</f>
        <v>0.36266666666666669</v>
      </c>
      <c r="AG71" s="388">
        <f t="shared" si="11"/>
        <v>10.082666666666668</v>
      </c>
      <c r="AH71" s="526"/>
    </row>
    <row r="72" spans="1:34" s="527" customFormat="1">
      <c r="A72" s="514" t="s">
        <v>1022</v>
      </c>
      <c r="B72" s="515">
        <v>1</v>
      </c>
      <c r="C72" s="516" t="s">
        <v>276</v>
      </c>
      <c r="D72" s="517" t="s">
        <v>276</v>
      </c>
      <c r="E72" s="515" t="s">
        <v>195</v>
      </c>
      <c r="F72" s="518">
        <v>251</v>
      </c>
      <c r="G72" s="519">
        <v>4</v>
      </c>
      <c r="H72" s="519">
        <v>7</v>
      </c>
      <c r="I72" s="520" t="s">
        <v>194</v>
      </c>
      <c r="J72" s="521" t="s">
        <v>180</v>
      </c>
      <c r="K72" s="522" t="s">
        <v>150</v>
      </c>
      <c r="L72" s="118" t="str">
        <f t="shared" si="12"/>
        <v>Standard_A2</v>
      </c>
      <c r="M72" s="388">
        <f t="shared" si="13"/>
        <v>476.73333333333335</v>
      </c>
      <c r="N72" s="388">
        <f t="shared" si="14"/>
        <v>150.60000000000002</v>
      </c>
      <c r="O72" s="388">
        <f t="shared" si="15"/>
        <v>26.133333333333333</v>
      </c>
      <c r="P72" s="523"/>
      <c r="Q72" s="388">
        <f>IF((OR(B72="",B72=0)),0,IFERROR(VLOOKUP(L72,Prices!$A$3:$D$300,3,FALSE),0)*B72*G72*H72*24)</f>
        <v>13.440000000000001</v>
      </c>
      <c r="R72" s="388">
        <f>IF(OR(B72="",B72=0),0,
 IF(E72="Standard",IF($F$25="Yes",W72*B72*G72*H72*Prices!$H$27/30,(F72*B72*G72*H72*VLOOKUP(J72,Prices!$G$21:$H$23,2,FALSE)/30)), W72*B72*G72*H72*Prices!$H$17/30))</f>
        <v>12.693333333333333</v>
      </c>
      <c r="S72" s="390">
        <f t="shared" si="5"/>
        <v>26.133333333333333</v>
      </c>
      <c r="T72" s="524"/>
      <c r="U72" s="388">
        <f>IF(E72="Standard",F72*B72*VLOOKUP(J72,Prices!$G$21:$H$23,2,FALSE),F72*B72*Prices!$H$17)</f>
        <v>12.55</v>
      </c>
      <c r="V72" s="388">
        <f t="shared" si="6"/>
        <v>150.60000000000002</v>
      </c>
      <c r="W72" s="525">
        <v>320</v>
      </c>
      <c r="X72" s="388">
        <f t="shared" si="7"/>
        <v>1.0577777777777777</v>
      </c>
      <c r="Y72" s="388">
        <f t="shared" si="8"/>
        <v>13.607777777777779</v>
      </c>
      <c r="Z72" s="388">
        <f t="shared" si="9"/>
        <v>163.29333333333335</v>
      </c>
      <c r="AA72" s="388">
        <f t="shared" si="10"/>
        <v>13.440000000000001</v>
      </c>
      <c r="AB72" s="524"/>
      <c r="AC72" s="393">
        <f>IF(B72= 0,0,Prices!$AG$3*B72)</f>
        <v>25</v>
      </c>
      <c r="AD72" s="524"/>
      <c r="AE72" s="388">
        <f>IF((OR(B72="",B72=0)),0,B72*IFERROR(VLOOKUP(L72,Prices!$A$3:$D$300,3,FALSE),0)*24)</f>
        <v>0.48</v>
      </c>
      <c r="AF72" s="388">
        <f>IF((OR(B72="",B72=0)),0,IF(E72="Standard",IF($F$25="Yes",(W72*B72*Prices!$H$27)/30,(F72*B72*VLOOKUP(J72,Prices!$G$21:$H$23,2,FALSE)/30)),W72*B72*Prices!$H$17/30))</f>
        <v>0.45333333333333337</v>
      </c>
      <c r="AG72" s="388">
        <f t="shared" si="11"/>
        <v>0.93333333333333335</v>
      </c>
      <c r="AH72" s="526"/>
    </row>
    <row r="73" spans="1:34" s="527" customFormat="1">
      <c r="A73" s="514" t="s">
        <v>1023</v>
      </c>
      <c r="B73" s="515">
        <v>1</v>
      </c>
      <c r="C73" s="516" t="s">
        <v>342</v>
      </c>
      <c r="D73" s="517" t="s">
        <v>342</v>
      </c>
      <c r="E73" s="515" t="s">
        <v>195</v>
      </c>
      <c r="F73" s="518">
        <v>200</v>
      </c>
      <c r="G73" s="519">
        <v>4</v>
      </c>
      <c r="H73" s="519">
        <v>7</v>
      </c>
      <c r="I73" s="520" t="s">
        <v>194</v>
      </c>
      <c r="J73" s="521" t="s">
        <v>180</v>
      </c>
      <c r="K73" s="522" t="s">
        <v>150</v>
      </c>
      <c r="L73" s="118" t="str">
        <f t="shared" si="12"/>
        <v>Standard_D5_v2</v>
      </c>
      <c r="M73" s="388">
        <f t="shared" si="13"/>
        <v>553.13066666666668</v>
      </c>
      <c r="N73" s="388">
        <f t="shared" si="14"/>
        <v>120</v>
      </c>
      <c r="O73" s="388">
        <f t="shared" si="15"/>
        <v>133.13066666666666</v>
      </c>
      <c r="P73" s="523"/>
      <c r="Q73" s="388">
        <f>IF((OR(B73="",B73=0)),0,IFERROR(VLOOKUP(L73,Prices!$A$3:$D$300,3,FALSE),0)*B73*G73*H73*24)</f>
        <v>122.976</v>
      </c>
      <c r="R73" s="388">
        <f>IF(OR(B73="",B73=0),0,
 IF(E73="Standard",IF($F$25="Yes",W73*B73*G73*H73*Prices!$H$27/30,(F73*B73*G73*H73*VLOOKUP(J73,Prices!$G$21:$H$23,2,FALSE)/30)), W73*B73*G73*H73*Prices!$H$17/30))</f>
        <v>10.154666666666667</v>
      </c>
      <c r="S73" s="390">
        <f t="shared" si="5"/>
        <v>133.13066666666666</v>
      </c>
      <c r="T73" s="524"/>
      <c r="U73" s="388">
        <f>IF(E73="Standard",F73*B73*VLOOKUP(J73,Prices!$G$21:$H$23,2,FALSE),F73*B73*Prices!$H$17)</f>
        <v>10</v>
      </c>
      <c r="V73" s="388">
        <f t="shared" si="6"/>
        <v>120</v>
      </c>
      <c r="W73" s="525">
        <v>256</v>
      </c>
      <c r="X73" s="388">
        <f t="shared" si="7"/>
        <v>0.84622222222222232</v>
      </c>
      <c r="Y73" s="388">
        <f t="shared" si="8"/>
        <v>10.846222222222222</v>
      </c>
      <c r="Z73" s="388">
        <f t="shared" si="9"/>
        <v>130.15466666666666</v>
      </c>
      <c r="AA73" s="388">
        <f t="shared" si="10"/>
        <v>122.976</v>
      </c>
      <c r="AB73" s="524"/>
      <c r="AC73" s="393">
        <f>IF(B73= 0,0,Prices!$AG$3*B73)</f>
        <v>25</v>
      </c>
      <c r="AD73" s="524"/>
      <c r="AE73" s="388">
        <f>IF((OR(B73="",B73=0)),0,B73*IFERROR(VLOOKUP(L73,Prices!$A$3:$D$300,3,FALSE),0)*24)</f>
        <v>4.3919999999999995</v>
      </c>
      <c r="AF73" s="388">
        <f>IF((OR(B73="",B73=0)),0,IF(E73="Standard",IF($F$25="Yes",(W73*B73*Prices!$H$27)/30,(F73*B73*VLOOKUP(J73,Prices!$G$21:$H$23,2,FALSE)/30)),W73*B73*Prices!$H$17/30))</f>
        <v>0.36266666666666669</v>
      </c>
      <c r="AG73" s="388">
        <f t="shared" si="11"/>
        <v>4.7546666666666662</v>
      </c>
      <c r="AH73" s="526"/>
    </row>
    <row r="74" spans="1:34" s="527" customFormat="1">
      <c r="A74" s="514" t="s">
        <v>1024</v>
      </c>
      <c r="B74" s="515">
        <v>1</v>
      </c>
      <c r="C74" s="516" t="s">
        <v>342</v>
      </c>
      <c r="D74" s="517" t="s">
        <v>342</v>
      </c>
      <c r="E74" s="515" t="s">
        <v>195</v>
      </c>
      <c r="F74" s="518">
        <v>150</v>
      </c>
      <c r="G74" s="519">
        <v>4</v>
      </c>
      <c r="H74" s="519">
        <v>7</v>
      </c>
      <c r="I74" s="520" t="s">
        <v>194</v>
      </c>
      <c r="J74" s="521" t="s">
        <v>180</v>
      </c>
      <c r="K74" s="522" t="s">
        <v>150</v>
      </c>
      <c r="L74" s="118" t="str">
        <f t="shared" si="12"/>
        <v>Standard_D5_v2</v>
      </c>
      <c r="M74" s="388">
        <f t="shared" si="13"/>
        <v>520.59199999999998</v>
      </c>
      <c r="N74" s="388">
        <f t="shared" si="14"/>
        <v>90</v>
      </c>
      <c r="O74" s="388">
        <f t="shared" si="15"/>
        <v>130.59200000000001</v>
      </c>
      <c r="P74" s="523"/>
      <c r="Q74" s="388">
        <f>IF((OR(B74="",B74=0)),0,IFERROR(VLOOKUP(L74,Prices!$A$3:$D$300,3,FALSE),0)*B74*G74*H74*24)</f>
        <v>122.976</v>
      </c>
      <c r="R74" s="388">
        <f>IF(OR(B74="",B74=0),0,
 IF(E74="Standard",IF($F$25="Yes",W74*B74*G74*H74*Prices!$H$27/30,(F74*B74*G74*H74*VLOOKUP(J74,Prices!$G$21:$H$23,2,FALSE)/30)), W74*B74*G74*H74*Prices!$H$17/30))</f>
        <v>7.6160000000000005</v>
      </c>
      <c r="S74" s="390">
        <f t="shared" si="5"/>
        <v>130.59200000000001</v>
      </c>
      <c r="T74" s="524"/>
      <c r="U74" s="388">
        <f>IF(E74="Standard",F74*B74*VLOOKUP(J74,Prices!$G$21:$H$23,2,FALSE),F74*B74*Prices!$H$17)</f>
        <v>7.5</v>
      </c>
      <c r="V74" s="388">
        <f t="shared" si="6"/>
        <v>90</v>
      </c>
      <c r="W74" s="525">
        <v>192</v>
      </c>
      <c r="X74" s="388">
        <f t="shared" si="7"/>
        <v>0.63466666666666671</v>
      </c>
      <c r="Y74" s="388">
        <f t="shared" si="8"/>
        <v>8.134666666666666</v>
      </c>
      <c r="Z74" s="388">
        <f t="shared" si="9"/>
        <v>97.616</v>
      </c>
      <c r="AA74" s="388">
        <f t="shared" si="10"/>
        <v>122.976</v>
      </c>
      <c r="AB74" s="524"/>
      <c r="AC74" s="393">
        <f>IF(B74= 0,0,Prices!$AG$3*B74)</f>
        <v>25</v>
      </c>
      <c r="AD74" s="524"/>
      <c r="AE74" s="388">
        <f>IF((OR(B74="",B74=0)),0,B74*IFERROR(VLOOKUP(L74,Prices!$A$3:$D$300,3,FALSE),0)*24)</f>
        <v>4.3919999999999995</v>
      </c>
      <c r="AF74" s="388">
        <f>IF((OR(B74="",B74=0)),0,IF(E74="Standard",IF($F$25="Yes",(W74*B74*Prices!$H$27)/30,(F74*B74*VLOOKUP(J74,Prices!$G$21:$H$23,2,FALSE)/30)),W74*B74*Prices!$H$17/30))</f>
        <v>0.27200000000000002</v>
      </c>
      <c r="AG74" s="388">
        <f t="shared" si="11"/>
        <v>4.6639999999999997</v>
      </c>
      <c r="AH74" s="526"/>
    </row>
    <row r="75" spans="1:34" s="527" customFormat="1">
      <c r="A75" s="514" t="s">
        <v>1025</v>
      </c>
      <c r="B75" s="515">
        <v>1</v>
      </c>
      <c r="C75" s="516" t="s">
        <v>276</v>
      </c>
      <c r="D75" s="517" t="s">
        <v>276</v>
      </c>
      <c r="E75" s="515" t="s">
        <v>195</v>
      </c>
      <c r="F75" s="518">
        <v>150</v>
      </c>
      <c r="G75" s="519">
        <v>4</v>
      </c>
      <c r="H75" s="519">
        <v>7</v>
      </c>
      <c r="I75" s="520" t="s">
        <v>194</v>
      </c>
      <c r="J75" s="521" t="s">
        <v>180</v>
      </c>
      <c r="K75" s="522" t="s">
        <v>150</v>
      </c>
      <c r="L75" s="118" t="str">
        <f t="shared" si="12"/>
        <v>Standard_A2</v>
      </c>
      <c r="M75" s="388">
        <f t="shared" si="13"/>
        <v>411.05599999999998</v>
      </c>
      <c r="N75" s="388">
        <f t="shared" si="14"/>
        <v>90</v>
      </c>
      <c r="O75" s="388">
        <f t="shared" si="15"/>
        <v>21.056000000000001</v>
      </c>
      <c r="P75" s="523"/>
      <c r="Q75" s="388">
        <f>IF((OR(B75="",B75=0)),0,IFERROR(VLOOKUP(L75,Prices!$A$3:$D$300,3,FALSE),0)*B75*G75*H75*24)</f>
        <v>13.440000000000001</v>
      </c>
      <c r="R75" s="388">
        <f>IF(OR(B75="",B75=0),0,
 IF(E75="Standard",IF($F$25="Yes",W75*B75*G75*H75*Prices!$H$27/30,(F75*B75*G75*H75*VLOOKUP(J75,Prices!$G$21:$H$23,2,FALSE)/30)), W75*B75*G75*H75*Prices!$H$17/30))</f>
        <v>7.6160000000000005</v>
      </c>
      <c r="S75" s="390">
        <f t="shared" si="5"/>
        <v>21.056000000000001</v>
      </c>
      <c r="T75" s="524"/>
      <c r="U75" s="388">
        <f>IF(E75="Standard",F75*B75*VLOOKUP(J75,Prices!$G$21:$H$23,2,FALSE),F75*B75*Prices!$H$17)</f>
        <v>7.5</v>
      </c>
      <c r="V75" s="388">
        <f t="shared" si="6"/>
        <v>90</v>
      </c>
      <c r="W75" s="525">
        <v>192</v>
      </c>
      <c r="X75" s="388">
        <f t="shared" si="7"/>
        <v>0.63466666666666671</v>
      </c>
      <c r="Y75" s="388">
        <f t="shared" si="8"/>
        <v>8.134666666666666</v>
      </c>
      <c r="Z75" s="388">
        <f t="shared" si="9"/>
        <v>97.616</v>
      </c>
      <c r="AA75" s="388">
        <f t="shared" si="10"/>
        <v>13.440000000000001</v>
      </c>
      <c r="AB75" s="524"/>
      <c r="AC75" s="393">
        <f>IF(B75= 0,0,Prices!$AG$3*B75)</f>
        <v>25</v>
      </c>
      <c r="AD75" s="524"/>
      <c r="AE75" s="388">
        <f>IF((OR(B75="",B75=0)),0,B75*IFERROR(VLOOKUP(L75,Prices!$A$3:$D$300,3,FALSE),0)*24)</f>
        <v>0.48</v>
      </c>
      <c r="AF75" s="388">
        <f>IF((OR(B75="",B75=0)),0,IF(E75="Standard",IF($F$25="Yes",(W75*B75*Prices!$H$27)/30,(F75*B75*VLOOKUP(J75,Prices!$G$21:$H$23,2,FALSE)/30)),W75*B75*Prices!$H$17/30))</f>
        <v>0.27200000000000002</v>
      </c>
      <c r="AG75" s="388">
        <f t="shared" si="11"/>
        <v>0.752</v>
      </c>
      <c r="AH75" s="526"/>
    </row>
    <row r="76" spans="1:34" s="527" customFormat="1">
      <c r="A76" s="514" t="s">
        <v>1026</v>
      </c>
      <c r="B76" s="515">
        <v>1</v>
      </c>
      <c r="C76" s="516" t="s">
        <v>276</v>
      </c>
      <c r="D76" s="517" t="s">
        <v>276</v>
      </c>
      <c r="E76" s="515" t="s">
        <v>195</v>
      </c>
      <c r="F76" s="518">
        <v>200</v>
      </c>
      <c r="G76" s="519">
        <v>4</v>
      </c>
      <c r="H76" s="519">
        <v>7</v>
      </c>
      <c r="I76" s="520" t="s">
        <v>194</v>
      </c>
      <c r="J76" s="521" t="s">
        <v>180</v>
      </c>
      <c r="K76" s="522" t="s">
        <v>150</v>
      </c>
      <c r="L76" s="118" t="str">
        <f t="shared" si="12"/>
        <v>Standard_A2</v>
      </c>
      <c r="M76" s="388">
        <f t="shared" si="13"/>
        <v>443.59466666666668</v>
      </c>
      <c r="N76" s="388">
        <f t="shared" si="14"/>
        <v>120</v>
      </c>
      <c r="O76" s="388">
        <f t="shared" si="15"/>
        <v>23.594666666666669</v>
      </c>
      <c r="P76" s="523"/>
      <c r="Q76" s="388">
        <f>IF((OR(B76="",B76=0)),0,IFERROR(VLOOKUP(L76,Prices!$A$3:$D$300,3,FALSE),0)*B76*G76*H76*24)</f>
        <v>13.440000000000001</v>
      </c>
      <c r="R76" s="388">
        <f>IF(OR(B76="",B76=0),0,
 IF(E76="Standard",IF($F$25="Yes",W76*B76*G76*H76*Prices!$H$27/30,(F76*B76*G76*H76*VLOOKUP(J76,Prices!$G$21:$H$23,2,FALSE)/30)), W76*B76*G76*H76*Prices!$H$17/30))</f>
        <v>10.154666666666667</v>
      </c>
      <c r="S76" s="390">
        <f t="shared" si="5"/>
        <v>23.594666666666669</v>
      </c>
      <c r="T76" s="524"/>
      <c r="U76" s="388">
        <f>IF(E76="Standard",F76*B76*VLOOKUP(J76,Prices!$G$21:$H$23,2,FALSE),F76*B76*Prices!$H$17)</f>
        <v>10</v>
      </c>
      <c r="V76" s="388">
        <f t="shared" si="6"/>
        <v>120</v>
      </c>
      <c r="W76" s="525">
        <v>256</v>
      </c>
      <c r="X76" s="388">
        <f t="shared" si="7"/>
        <v>0.84622222222222232</v>
      </c>
      <c r="Y76" s="388">
        <f t="shared" si="8"/>
        <v>10.846222222222222</v>
      </c>
      <c r="Z76" s="388">
        <f t="shared" si="9"/>
        <v>130.15466666666666</v>
      </c>
      <c r="AA76" s="388">
        <f t="shared" si="10"/>
        <v>13.440000000000001</v>
      </c>
      <c r="AB76" s="524"/>
      <c r="AC76" s="393">
        <f>IF(B76= 0,0,Prices!$AG$3*B76)</f>
        <v>25</v>
      </c>
      <c r="AD76" s="524"/>
      <c r="AE76" s="388">
        <f>IF((OR(B76="",B76=0)),0,B76*IFERROR(VLOOKUP(L76,Prices!$A$3:$D$300,3,FALSE),0)*24)</f>
        <v>0.48</v>
      </c>
      <c r="AF76" s="388">
        <f>IF((OR(B76="",B76=0)),0,IF(E76="Standard",IF($F$25="Yes",(W76*B76*Prices!$H$27)/30,(F76*B76*VLOOKUP(J76,Prices!$G$21:$H$23,2,FALSE)/30)),W76*B76*Prices!$H$17/30))</f>
        <v>0.36266666666666669</v>
      </c>
      <c r="AG76" s="388">
        <f t="shared" si="11"/>
        <v>0.84266666666666667</v>
      </c>
      <c r="AH76" s="526"/>
    </row>
    <row r="77" spans="1:34" s="527" customFormat="1">
      <c r="A77" s="514" t="s">
        <v>1027</v>
      </c>
      <c r="B77" s="515">
        <v>1</v>
      </c>
      <c r="C77" s="516" t="s">
        <v>276</v>
      </c>
      <c r="D77" s="517" t="s">
        <v>276</v>
      </c>
      <c r="E77" s="515" t="s">
        <v>195</v>
      </c>
      <c r="F77" s="518">
        <v>200</v>
      </c>
      <c r="G77" s="519">
        <v>4</v>
      </c>
      <c r="H77" s="519">
        <v>7</v>
      </c>
      <c r="I77" s="520" t="s">
        <v>194</v>
      </c>
      <c r="J77" s="521" t="s">
        <v>180</v>
      </c>
      <c r="K77" s="522" t="s">
        <v>150</v>
      </c>
      <c r="L77" s="118" t="str">
        <f t="shared" si="12"/>
        <v>Standard_A2</v>
      </c>
      <c r="M77" s="388">
        <f t="shared" si="13"/>
        <v>443.59466666666668</v>
      </c>
      <c r="N77" s="388">
        <f t="shared" si="14"/>
        <v>120</v>
      </c>
      <c r="O77" s="388">
        <f t="shared" si="15"/>
        <v>23.594666666666669</v>
      </c>
      <c r="P77" s="523"/>
      <c r="Q77" s="388">
        <f>IF((OR(B77="",B77=0)),0,IFERROR(VLOOKUP(L77,Prices!$A$3:$D$300,3,FALSE),0)*B77*G77*H77*24)</f>
        <v>13.440000000000001</v>
      </c>
      <c r="R77" s="388">
        <f>IF(OR(B77="",B77=0),0,
 IF(E77="Standard",IF($F$25="Yes",W77*B77*G77*H77*Prices!$H$27/30,(F77*B77*G77*H77*VLOOKUP(J77,Prices!$G$21:$H$23,2,FALSE)/30)), W77*B77*G77*H77*Prices!$H$17/30))</f>
        <v>10.154666666666667</v>
      </c>
      <c r="S77" s="390">
        <f t="shared" si="5"/>
        <v>23.594666666666669</v>
      </c>
      <c r="T77" s="524"/>
      <c r="U77" s="388">
        <f>IF(E77="Standard",F77*B77*VLOOKUP(J77,Prices!$G$21:$H$23,2,FALSE),F77*B77*Prices!$H$17)</f>
        <v>10</v>
      </c>
      <c r="V77" s="388">
        <f t="shared" si="6"/>
        <v>120</v>
      </c>
      <c r="W77" s="525">
        <v>256</v>
      </c>
      <c r="X77" s="388">
        <f t="shared" si="7"/>
        <v>0.84622222222222232</v>
      </c>
      <c r="Y77" s="388">
        <f t="shared" si="8"/>
        <v>10.846222222222222</v>
      </c>
      <c r="Z77" s="388">
        <f t="shared" si="9"/>
        <v>130.15466666666666</v>
      </c>
      <c r="AA77" s="388">
        <f t="shared" si="10"/>
        <v>13.440000000000001</v>
      </c>
      <c r="AB77" s="524"/>
      <c r="AC77" s="393">
        <f>IF(B77= 0,0,Prices!$AG$3*B77)</f>
        <v>25</v>
      </c>
      <c r="AD77" s="524"/>
      <c r="AE77" s="388">
        <f>IF((OR(B77="",B77=0)),0,B77*IFERROR(VLOOKUP(L77,Prices!$A$3:$D$300,3,FALSE),0)*24)</f>
        <v>0.48</v>
      </c>
      <c r="AF77" s="388">
        <f>IF((OR(B77="",B77=0)),0,IF(E77="Standard",IF($F$25="Yes",(W77*B77*Prices!$H$27)/30,(F77*B77*VLOOKUP(J77,Prices!$G$21:$H$23,2,FALSE)/30)),W77*B77*Prices!$H$17/30))</f>
        <v>0.36266666666666669</v>
      </c>
      <c r="AG77" s="388">
        <f t="shared" si="11"/>
        <v>0.84266666666666667</v>
      </c>
      <c r="AH77" s="526"/>
    </row>
    <row r="78" spans="1:34" s="527" customFormat="1">
      <c r="A78" s="514" t="s">
        <v>1028</v>
      </c>
      <c r="B78" s="515">
        <v>1</v>
      </c>
      <c r="C78" s="516" t="s">
        <v>280</v>
      </c>
      <c r="D78" s="517" t="s">
        <v>280</v>
      </c>
      <c r="E78" s="515" t="s">
        <v>195</v>
      </c>
      <c r="F78" s="518">
        <v>2619</v>
      </c>
      <c r="G78" s="519">
        <v>4</v>
      </c>
      <c r="H78" s="519">
        <v>7</v>
      </c>
      <c r="I78" s="520" t="s">
        <v>194</v>
      </c>
      <c r="J78" s="521" t="s">
        <v>180</v>
      </c>
      <c r="K78" s="522" t="s">
        <v>150</v>
      </c>
      <c r="L78" s="118" t="str">
        <f t="shared" si="12"/>
        <v>Standard_A4</v>
      </c>
      <c r="M78" s="388">
        <f t="shared" si="13"/>
        <v>2267.9546666666665</v>
      </c>
      <c r="N78" s="388">
        <f t="shared" si="14"/>
        <v>1571.4</v>
      </c>
      <c r="O78" s="388">
        <f t="shared" si="15"/>
        <v>396.55466666666666</v>
      </c>
      <c r="P78" s="523"/>
      <c r="Q78" s="388">
        <f>IF((OR(B78="",B78=0)),0,IFERROR(VLOOKUP(L78,Prices!$A$3:$D$300,3,FALSE),0)*B78*G78*H78*24)</f>
        <v>272.15999999999997</v>
      </c>
      <c r="R78" s="388">
        <f>IF(OR(B78="",B78=0),0,
 IF(E78="Standard",IF($F$25="Yes",W78*B78*G78*H78*Prices!$H$27/30,(F78*B78*G78*H78*VLOOKUP(J78,Prices!$G$21:$H$23,2,FALSE)/30)), W78*B78*G78*H78*Prices!$H$17/30))</f>
        <v>124.39466666666667</v>
      </c>
      <c r="S78" s="390">
        <f t="shared" si="5"/>
        <v>396.55466666666666</v>
      </c>
      <c r="T78" s="524"/>
      <c r="U78" s="388">
        <f>IF(E78="Standard",F78*B78*VLOOKUP(J78,Prices!$G$21:$H$23,2,FALSE),F78*B78*Prices!$H$17)</f>
        <v>130.95000000000002</v>
      </c>
      <c r="V78" s="388">
        <f t="shared" si="6"/>
        <v>1571.4</v>
      </c>
      <c r="W78" s="525">
        <v>3136</v>
      </c>
      <c r="X78" s="388">
        <f t="shared" si="7"/>
        <v>10.366222222222222</v>
      </c>
      <c r="Y78" s="388">
        <f t="shared" si="8"/>
        <v>141.31622222222222</v>
      </c>
      <c r="Z78" s="388">
        <f t="shared" si="9"/>
        <v>1695.7946666666667</v>
      </c>
      <c r="AA78" s="388">
        <f t="shared" si="10"/>
        <v>272.15999999999997</v>
      </c>
      <c r="AB78" s="524"/>
      <c r="AC78" s="393">
        <f>IF(B78= 0,0,Prices!$AG$3*B78)</f>
        <v>25</v>
      </c>
      <c r="AD78" s="524"/>
      <c r="AE78" s="388">
        <f>IF((OR(B78="",B78=0)),0,B78*IFERROR(VLOOKUP(L78,Prices!$A$3:$D$300,3,FALSE),0)*24)</f>
        <v>9.7200000000000006</v>
      </c>
      <c r="AF78" s="388">
        <f>IF((OR(B78="",B78=0)),0,IF(E78="Standard",IF($F$25="Yes",(W78*B78*Prices!$H$27)/30,(F78*B78*VLOOKUP(J78,Prices!$G$21:$H$23,2,FALSE)/30)),W78*B78*Prices!$H$17/30))</f>
        <v>4.4426666666666668</v>
      </c>
      <c r="AG78" s="388">
        <f t="shared" si="11"/>
        <v>14.162666666666667</v>
      </c>
      <c r="AH78" s="526"/>
    </row>
    <row r="79" spans="1:34" s="527" customFormat="1">
      <c r="A79" s="514" t="s">
        <v>1029</v>
      </c>
      <c r="B79" s="515">
        <v>1</v>
      </c>
      <c r="C79" s="516" t="s">
        <v>280</v>
      </c>
      <c r="D79" s="517" t="s">
        <v>280</v>
      </c>
      <c r="E79" s="515" t="s">
        <v>195</v>
      </c>
      <c r="F79" s="518">
        <v>150</v>
      </c>
      <c r="G79" s="519">
        <v>4</v>
      </c>
      <c r="H79" s="519">
        <v>7</v>
      </c>
      <c r="I79" s="520" t="s">
        <v>194</v>
      </c>
      <c r="J79" s="521" t="s">
        <v>180</v>
      </c>
      <c r="K79" s="522" t="s">
        <v>150</v>
      </c>
      <c r="L79" s="118" t="str">
        <f t="shared" si="12"/>
        <v>Standard_A4</v>
      </c>
      <c r="M79" s="388">
        <f t="shared" si="13"/>
        <v>669.77599999999995</v>
      </c>
      <c r="N79" s="388">
        <f t="shared" si="14"/>
        <v>90</v>
      </c>
      <c r="O79" s="388">
        <f t="shared" si="15"/>
        <v>279.77599999999995</v>
      </c>
      <c r="P79" s="523"/>
      <c r="Q79" s="388">
        <f>IF((OR(B79="",B79=0)),0,IFERROR(VLOOKUP(L79,Prices!$A$3:$D$300,3,FALSE),0)*B79*G79*H79*24)</f>
        <v>272.15999999999997</v>
      </c>
      <c r="R79" s="388">
        <f>IF(OR(B79="",B79=0),0,
 IF(E79="Standard",IF($F$25="Yes",W79*B79*G79*H79*Prices!$H$27/30,(F79*B79*G79*H79*VLOOKUP(J79,Prices!$G$21:$H$23,2,FALSE)/30)), W79*B79*G79*H79*Prices!$H$17/30))</f>
        <v>7.6160000000000005</v>
      </c>
      <c r="S79" s="390">
        <f t="shared" si="5"/>
        <v>279.77599999999995</v>
      </c>
      <c r="T79" s="524"/>
      <c r="U79" s="388">
        <f>IF(E79="Standard",F79*B79*VLOOKUP(J79,Prices!$G$21:$H$23,2,FALSE),F79*B79*Prices!$H$17)</f>
        <v>7.5</v>
      </c>
      <c r="V79" s="388">
        <f t="shared" si="6"/>
        <v>90</v>
      </c>
      <c r="W79" s="525">
        <v>192</v>
      </c>
      <c r="X79" s="388">
        <f t="shared" si="7"/>
        <v>0.63466666666666671</v>
      </c>
      <c r="Y79" s="388">
        <f t="shared" si="8"/>
        <v>8.134666666666666</v>
      </c>
      <c r="Z79" s="388">
        <f t="shared" si="9"/>
        <v>97.616</v>
      </c>
      <c r="AA79" s="388">
        <f t="shared" si="10"/>
        <v>272.15999999999997</v>
      </c>
      <c r="AB79" s="524"/>
      <c r="AC79" s="393">
        <f>IF(B79= 0,0,Prices!$AG$3*B79)</f>
        <v>25</v>
      </c>
      <c r="AD79" s="524"/>
      <c r="AE79" s="388">
        <f>IF((OR(B79="",B79=0)),0,B79*IFERROR(VLOOKUP(L79,Prices!$A$3:$D$300,3,FALSE),0)*24)</f>
        <v>9.7200000000000006</v>
      </c>
      <c r="AF79" s="388">
        <f>IF((OR(B79="",B79=0)),0,IF(E79="Standard",IF($F$25="Yes",(W79*B79*Prices!$H$27)/30,(F79*B79*VLOOKUP(J79,Prices!$G$21:$H$23,2,FALSE)/30)),W79*B79*Prices!$H$17/30))</f>
        <v>0.27200000000000002</v>
      </c>
      <c r="AG79" s="388">
        <f t="shared" si="11"/>
        <v>9.9920000000000009</v>
      </c>
      <c r="AH79" s="526"/>
    </row>
    <row r="80" spans="1:34" s="527" customFormat="1">
      <c r="A80" s="514" t="s">
        <v>1030</v>
      </c>
      <c r="B80" s="515">
        <v>1</v>
      </c>
      <c r="C80" s="516" t="s">
        <v>276</v>
      </c>
      <c r="D80" s="517" t="s">
        <v>276</v>
      </c>
      <c r="E80" s="515" t="s">
        <v>195</v>
      </c>
      <c r="F80" s="518">
        <v>150</v>
      </c>
      <c r="G80" s="519">
        <v>4</v>
      </c>
      <c r="H80" s="519">
        <v>7</v>
      </c>
      <c r="I80" s="520" t="s">
        <v>194</v>
      </c>
      <c r="J80" s="521" t="s">
        <v>180</v>
      </c>
      <c r="K80" s="522" t="s">
        <v>150</v>
      </c>
      <c r="L80" s="118" t="str">
        <f t="shared" si="12"/>
        <v>Standard_A2</v>
      </c>
      <c r="M80" s="388">
        <f t="shared" si="13"/>
        <v>411.05599999999998</v>
      </c>
      <c r="N80" s="388">
        <f t="shared" si="14"/>
        <v>90</v>
      </c>
      <c r="O80" s="388">
        <f t="shared" si="15"/>
        <v>21.056000000000001</v>
      </c>
      <c r="P80" s="523"/>
      <c r="Q80" s="388">
        <f>IF((OR(B80="",B80=0)),0,IFERROR(VLOOKUP(L80,Prices!$A$3:$D$300,3,FALSE),0)*B80*G80*H80*24)</f>
        <v>13.440000000000001</v>
      </c>
      <c r="R80" s="388">
        <f>IF(OR(B80="",B80=0),0,
 IF(E80="Standard",IF($F$25="Yes",W80*B80*G80*H80*Prices!$H$27/30,(F80*B80*G80*H80*VLOOKUP(J80,Prices!$G$21:$H$23,2,FALSE)/30)), W80*B80*G80*H80*Prices!$H$17/30))</f>
        <v>7.6160000000000005</v>
      </c>
      <c r="S80" s="390">
        <f t="shared" si="5"/>
        <v>21.056000000000001</v>
      </c>
      <c r="T80" s="524"/>
      <c r="U80" s="388">
        <f>IF(E80="Standard",F80*B80*VLOOKUP(J80,Prices!$G$21:$H$23,2,FALSE),F80*B80*Prices!$H$17)</f>
        <v>7.5</v>
      </c>
      <c r="V80" s="388">
        <f t="shared" si="6"/>
        <v>90</v>
      </c>
      <c r="W80" s="525">
        <v>192</v>
      </c>
      <c r="X80" s="388">
        <f t="shared" si="7"/>
        <v>0.63466666666666671</v>
      </c>
      <c r="Y80" s="388">
        <f t="shared" si="8"/>
        <v>8.134666666666666</v>
      </c>
      <c r="Z80" s="388">
        <f t="shared" si="9"/>
        <v>97.616</v>
      </c>
      <c r="AA80" s="388">
        <f t="shared" si="10"/>
        <v>13.440000000000001</v>
      </c>
      <c r="AB80" s="524"/>
      <c r="AC80" s="393">
        <f>IF(B80= 0,0,Prices!$AG$3*B80)</f>
        <v>25</v>
      </c>
      <c r="AD80" s="524"/>
      <c r="AE80" s="388">
        <f>IF((OR(B80="",B80=0)),0,B80*IFERROR(VLOOKUP(L80,Prices!$A$3:$D$300,3,FALSE),0)*24)</f>
        <v>0.48</v>
      </c>
      <c r="AF80" s="388">
        <f>IF((OR(B80="",B80=0)),0,IF(E80="Standard",IF($F$25="Yes",(W80*B80*Prices!$H$27)/30,(F80*B80*VLOOKUP(J80,Prices!$G$21:$H$23,2,FALSE)/30)),W80*B80*Prices!$H$17/30))</f>
        <v>0.27200000000000002</v>
      </c>
      <c r="AG80" s="388">
        <f t="shared" si="11"/>
        <v>0.752</v>
      </c>
      <c r="AH80" s="526"/>
    </row>
    <row r="81" spans="1:34" s="527" customFormat="1">
      <c r="A81" s="514" t="s">
        <v>1031</v>
      </c>
      <c r="B81" s="515">
        <v>1</v>
      </c>
      <c r="C81" s="516" t="s">
        <v>342</v>
      </c>
      <c r="D81" s="517" t="s">
        <v>342</v>
      </c>
      <c r="E81" s="515" t="s">
        <v>195</v>
      </c>
      <c r="F81" s="518">
        <v>250</v>
      </c>
      <c r="G81" s="519">
        <v>4</v>
      </c>
      <c r="H81" s="519">
        <v>7</v>
      </c>
      <c r="I81" s="520" t="s">
        <v>194</v>
      </c>
      <c r="J81" s="521" t="s">
        <v>180</v>
      </c>
      <c r="K81" s="522" t="s">
        <v>150</v>
      </c>
      <c r="L81" s="118" t="str">
        <f t="shared" si="12"/>
        <v>Standard_D5_v2</v>
      </c>
      <c r="M81" s="388">
        <f t="shared" si="13"/>
        <v>585.66933333333327</v>
      </c>
      <c r="N81" s="388">
        <f t="shared" si="14"/>
        <v>150</v>
      </c>
      <c r="O81" s="388">
        <f t="shared" si="15"/>
        <v>135.66933333333333</v>
      </c>
      <c r="P81" s="523"/>
      <c r="Q81" s="388">
        <f>IF((OR(B81="",B81=0)),0,IFERROR(VLOOKUP(L81,Prices!$A$3:$D$300,3,FALSE),0)*B81*G81*H81*24)</f>
        <v>122.976</v>
      </c>
      <c r="R81" s="388">
        <f>IF(OR(B81="",B81=0),0,
 IF(E81="Standard",IF($F$25="Yes",W81*B81*G81*H81*Prices!$H$27/30,(F81*B81*G81*H81*VLOOKUP(J81,Prices!$G$21:$H$23,2,FALSE)/30)), W81*B81*G81*H81*Prices!$H$17/30))</f>
        <v>12.693333333333333</v>
      </c>
      <c r="S81" s="390">
        <f t="shared" si="5"/>
        <v>135.66933333333333</v>
      </c>
      <c r="T81" s="524"/>
      <c r="U81" s="388">
        <f>IF(E81="Standard",F81*B81*VLOOKUP(J81,Prices!$G$21:$H$23,2,FALSE),F81*B81*Prices!$H$17)</f>
        <v>12.5</v>
      </c>
      <c r="V81" s="388">
        <f t="shared" si="6"/>
        <v>150</v>
      </c>
      <c r="W81" s="525">
        <v>320</v>
      </c>
      <c r="X81" s="388">
        <f t="shared" si="7"/>
        <v>1.0577777777777777</v>
      </c>
      <c r="Y81" s="388">
        <f t="shared" si="8"/>
        <v>13.557777777777778</v>
      </c>
      <c r="Z81" s="388">
        <f t="shared" si="9"/>
        <v>162.69333333333333</v>
      </c>
      <c r="AA81" s="388">
        <f t="shared" si="10"/>
        <v>122.976</v>
      </c>
      <c r="AB81" s="524"/>
      <c r="AC81" s="393">
        <f>IF(B81= 0,0,Prices!$AG$3*B81)</f>
        <v>25</v>
      </c>
      <c r="AD81" s="524"/>
      <c r="AE81" s="388">
        <f>IF((OR(B81="",B81=0)),0,B81*IFERROR(VLOOKUP(L81,Prices!$A$3:$D$300,3,FALSE),0)*24)</f>
        <v>4.3919999999999995</v>
      </c>
      <c r="AF81" s="388">
        <f>IF((OR(B81="",B81=0)),0,IF(E81="Standard",IF($F$25="Yes",(W81*B81*Prices!$H$27)/30,(F81*B81*VLOOKUP(J81,Prices!$G$21:$H$23,2,FALSE)/30)),W81*B81*Prices!$H$17/30))</f>
        <v>0.45333333333333337</v>
      </c>
      <c r="AG81" s="388">
        <f t="shared" si="11"/>
        <v>4.8453333333333326</v>
      </c>
      <c r="AH81" s="526"/>
    </row>
    <row r="82" spans="1:34" s="527" customFormat="1">
      <c r="A82" s="514" t="s">
        <v>1032</v>
      </c>
      <c r="B82" s="515">
        <v>1</v>
      </c>
      <c r="C82" s="516" t="s">
        <v>280</v>
      </c>
      <c r="D82" s="517" t="s">
        <v>280</v>
      </c>
      <c r="E82" s="515" t="s">
        <v>195</v>
      </c>
      <c r="F82" s="518">
        <v>251</v>
      </c>
      <c r="G82" s="519">
        <v>4</v>
      </c>
      <c r="H82" s="519">
        <v>7</v>
      </c>
      <c r="I82" s="520" t="s">
        <v>194</v>
      </c>
      <c r="J82" s="521" t="s">
        <v>180</v>
      </c>
      <c r="K82" s="522" t="s">
        <v>150</v>
      </c>
      <c r="L82" s="118" t="str">
        <f t="shared" si="12"/>
        <v>Standard_A4</v>
      </c>
      <c r="M82" s="388">
        <f t="shared" si="13"/>
        <v>737.99199999999996</v>
      </c>
      <c r="N82" s="388">
        <f t="shared" si="14"/>
        <v>150.60000000000002</v>
      </c>
      <c r="O82" s="388">
        <f t="shared" si="15"/>
        <v>287.392</v>
      </c>
      <c r="P82" s="523"/>
      <c r="Q82" s="388">
        <f>IF((OR(B82="",B82=0)),0,IFERROR(VLOOKUP(L82,Prices!$A$3:$D$300,3,FALSE),0)*B82*G82*H82*24)</f>
        <v>272.15999999999997</v>
      </c>
      <c r="R82" s="388">
        <f>IF(OR(B82="",B82=0),0,
 IF(E82="Standard",IF($F$25="Yes",W82*B82*G82*H82*Prices!$H$27/30,(F82*B82*G82*H82*VLOOKUP(J82,Prices!$G$21:$H$23,2,FALSE)/30)), W82*B82*G82*H82*Prices!$H$17/30))</f>
        <v>15.232000000000001</v>
      </c>
      <c r="S82" s="390">
        <f t="shared" si="5"/>
        <v>287.392</v>
      </c>
      <c r="T82" s="524"/>
      <c r="U82" s="388">
        <f>IF(E82="Standard",F82*B82*VLOOKUP(J82,Prices!$G$21:$H$23,2,FALSE),F82*B82*Prices!$H$17)</f>
        <v>12.55</v>
      </c>
      <c r="V82" s="388">
        <f t="shared" si="6"/>
        <v>150.60000000000002</v>
      </c>
      <c r="W82" s="525">
        <v>384</v>
      </c>
      <c r="X82" s="388">
        <f t="shared" si="7"/>
        <v>1.2693333333333334</v>
      </c>
      <c r="Y82" s="388">
        <f t="shared" si="8"/>
        <v>13.819333333333335</v>
      </c>
      <c r="Z82" s="388">
        <f t="shared" si="9"/>
        <v>165.83200000000002</v>
      </c>
      <c r="AA82" s="388">
        <f t="shared" si="10"/>
        <v>272.15999999999997</v>
      </c>
      <c r="AB82" s="524"/>
      <c r="AC82" s="393">
        <f>IF(B82= 0,0,Prices!$AG$3*B82)</f>
        <v>25</v>
      </c>
      <c r="AD82" s="524"/>
      <c r="AE82" s="388">
        <f>IF((OR(B82="",B82=0)),0,B82*IFERROR(VLOOKUP(L82,Prices!$A$3:$D$300,3,FALSE),0)*24)</f>
        <v>9.7200000000000006</v>
      </c>
      <c r="AF82" s="388">
        <f>IF((OR(B82="",B82=0)),0,IF(E82="Standard",IF($F$25="Yes",(W82*B82*Prices!$H$27)/30,(F82*B82*VLOOKUP(J82,Prices!$G$21:$H$23,2,FALSE)/30)),W82*B82*Prices!$H$17/30))</f>
        <v>0.54400000000000004</v>
      </c>
      <c r="AG82" s="388">
        <f t="shared" si="11"/>
        <v>10.264000000000001</v>
      </c>
      <c r="AH82" s="526"/>
    </row>
    <row r="83" spans="1:34" s="527" customFormat="1">
      <c r="A83" s="514" t="s">
        <v>1033</v>
      </c>
      <c r="B83" s="515">
        <v>1</v>
      </c>
      <c r="C83" s="516" t="s">
        <v>342</v>
      </c>
      <c r="D83" s="517" t="s">
        <v>342</v>
      </c>
      <c r="E83" s="515" t="s">
        <v>195</v>
      </c>
      <c r="F83" s="518">
        <v>7268</v>
      </c>
      <c r="G83" s="519">
        <v>4</v>
      </c>
      <c r="H83" s="519">
        <v>7</v>
      </c>
      <c r="I83" s="520" t="s">
        <v>194</v>
      </c>
      <c r="J83" s="521" t="s">
        <v>180</v>
      </c>
      <c r="K83" s="522" t="s">
        <v>150</v>
      </c>
      <c r="L83" s="118" t="str">
        <f t="shared" si="12"/>
        <v>Standard_D5_v2</v>
      </c>
      <c r="M83" s="388">
        <f t="shared" si="13"/>
        <v>5073.1840000000002</v>
      </c>
      <c r="N83" s="388">
        <f t="shared" si="14"/>
        <v>4360.8</v>
      </c>
      <c r="O83" s="388">
        <f t="shared" si="15"/>
        <v>412.38400000000001</v>
      </c>
      <c r="P83" s="523"/>
      <c r="Q83" s="388">
        <f>IF((OR(B83="",B83=0)),0,IFERROR(VLOOKUP(L83,Prices!$A$3:$D$300,3,FALSE),0)*B83*G83*H83*24)</f>
        <v>122.976</v>
      </c>
      <c r="R83" s="388">
        <f>IF(OR(B83="",B83=0),0,
 IF(E83="Standard",IF($F$25="Yes",W83*B83*G83*H83*Prices!$H$27/30,(F83*B83*G83*H83*VLOOKUP(J83,Prices!$G$21:$H$23,2,FALSE)/30)), W83*B83*G83*H83*Prices!$H$17/30))</f>
        <v>289.40800000000002</v>
      </c>
      <c r="S83" s="390">
        <f t="shared" si="5"/>
        <v>412.38400000000001</v>
      </c>
      <c r="T83" s="524"/>
      <c r="U83" s="388">
        <f>IF(E83="Standard",F83*B83*VLOOKUP(J83,Prices!$G$21:$H$23,2,FALSE),F83*B83*Prices!$H$17)</f>
        <v>363.40000000000003</v>
      </c>
      <c r="V83" s="388">
        <f t="shared" si="6"/>
        <v>4360.8</v>
      </c>
      <c r="W83" s="525">
        <v>7296</v>
      </c>
      <c r="X83" s="388">
        <f t="shared" si="7"/>
        <v>24.117333333333335</v>
      </c>
      <c r="Y83" s="388">
        <f t="shared" si="8"/>
        <v>387.5173333333334</v>
      </c>
      <c r="Z83" s="388">
        <f t="shared" si="9"/>
        <v>4650.2080000000005</v>
      </c>
      <c r="AA83" s="388">
        <f t="shared" si="10"/>
        <v>122.976</v>
      </c>
      <c r="AB83" s="524"/>
      <c r="AC83" s="393">
        <f>IF(B83= 0,0,Prices!$AG$3*B83)</f>
        <v>25</v>
      </c>
      <c r="AD83" s="524"/>
      <c r="AE83" s="388">
        <f>IF((OR(B83="",B83=0)),0,B83*IFERROR(VLOOKUP(L83,Prices!$A$3:$D$300,3,FALSE),0)*24)</f>
        <v>4.3919999999999995</v>
      </c>
      <c r="AF83" s="388">
        <f>IF((OR(B83="",B83=0)),0,IF(E83="Standard",IF($F$25="Yes",(W83*B83*Prices!$H$27)/30,(F83*B83*VLOOKUP(J83,Prices!$G$21:$H$23,2,FALSE)/30)),W83*B83*Prices!$H$17/30))</f>
        <v>10.336000000000002</v>
      </c>
      <c r="AG83" s="388">
        <f t="shared" si="11"/>
        <v>14.728000000000002</v>
      </c>
      <c r="AH83" s="526"/>
    </row>
    <row r="84" spans="1:34" s="527" customFormat="1">
      <c r="A84" s="514" t="s">
        <v>1034</v>
      </c>
      <c r="B84" s="515">
        <v>1</v>
      </c>
      <c r="C84" s="516" t="s">
        <v>280</v>
      </c>
      <c r="D84" s="517" t="s">
        <v>280</v>
      </c>
      <c r="E84" s="515" t="s">
        <v>195</v>
      </c>
      <c r="F84" s="518">
        <v>271</v>
      </c>
      <c r="G84" s="519">
        <v>4</v>
      </c>
      <c r="H84" s="519">
        <v>7</v>
      </c>
      <c r="I84" s="520" t="s">
        <v>194</v>
      </c>
      <c r="J84" s="521" t="s">
        <v>180</v>
      </c>
      <c r="K84" s="522" t="s">
        <v>150</v>
      </c>
      <c r="L84" s="118" t="str">
        <f t="shared" si="12"/>
        <v>Standard_A4</v>
      </c>
      <c r="M84" s="388">
        <f t="shared" si="13"/>
        <v>751.26133333333337</v>
      </c>
      <c r="N84" s="388">
        <f t="shared" si="14"/>
        <v>162.60000000000002</v>
      </c>
      <c r="O84" s="388">
        <f t="shared" si="15"/>
        <v>288.66133333333329</v>
      </c>
      <c r="P84" s="523"/>
      <c r="Q84" s="388">
        <f>IF((OR(B84="",B84=0)),0,IFERROR(VLOOKUP(L84,Prices!$A$3:$D$300,3,FALSE),0)*B84*G84*H84*24)</f>
        <v>272.15999999999997</v>
      </c>
      <c r="R84" s="388">
        <f>IF(OR(B84="",B84=0),0,
 IF(E84="Standard",IF($F$25="Yes",W84*B84*G84*H84*Prices!$H$27/30,(F84*B84*G84*H84*VLOOKUP(J84,Prices!$G$21:$H$23,2,FALSE)/30)), W84*B84*G84*H84*Prices!$H$17/30))</f>
        <v>16.501333333333335</v>
      </c>
      <c r="S84" s="390">
        <f t="shared" si="5"/>
        <v>288.66133333333329</v>
      </c>
      <c r="T84" s="524"/>
      <c r="U84" s="388">
        <f>IF(E84="Standard",F84*B84*VLOOKUP(J84,Prices!$G$21:$H$23,2,FALSE),F84*B84*Prices!$H$17)</f>
        <v>13.55</v>
      </c>
      <c r="V84" s="388">
        <f t="shared" si="6"/>
        <v>162.60000000000002</v>
      </c>
      <c r="W84" s="525">
        <v>416</v>
      </c>
      <c r="X84" s="388">
        <f t="shared" si="7"/>
        <v>1.3751111111111112</v>
      </c>
      <c r="Y84" s="388">
        <f t="shared" si="8"/>
        <v>14.925111111111113</v>
      </c>
      <c r="Z84" s="388">
        <f t="shared" si="9"/>
        <v>179.10133333333334</v>
      </c>
      <c r="AA84" s="388">
        <f t="shared" si="10"/>
        <v>272.15999999999997</v>
      </c>
      <c r="AB84" s="524"/>
      <c r="AC84" s="393">
        <f>IF(B84= 0,0,Prices!$AG$3*B84)</f>
        <v>25</v>
      </c>
      <c r="AD84" s="524"/>
      <c r="AE84" s="388">
        <f>IF((OR(B84="",B84=0)),0,B84*IFERROR(VLOOKUP(L84,Prices!$A$3:$D$300,3,FALSE),0)*24)</f>
        <v>9.7200000000000006</v>
      </c>
      <c r="AF84" s="388">
        <f>IF((OR(B84="",B84=0)),0,IF(E84="Standard",IF($F$25="Yes",(W84*B84*Prices!$H$27)/30,(F84*B84*VLOOKUP(J84,Prices!$G$21:$H$23,2,FALSE)/30)),W84*B84*Prices!$H$17/30))</f>
        <v>0.58933333333333338</v>
      </c>
      <c r="AG84" s="388">
        <f t="shared" si="11"/>
        <v>10.309333333333335</v>
      </c>
      <c r="AH84" s="526"/>
    </row>
    <row r="85" spans="1:34" s="527" customFormat="1">
      <c r="A85" s="514" t="s">
        <v>1035</v>
      </c>
      <c r="B85" s="515">
        <v>1</v>
      </c>
      <c r="C85" s="516" t="s">
        <v>350</v>
      </c>
      <c r="D85" s="517" t="s">
        <v>350</v>
      </c>
      <c r="E85" s="528" t="s">
        <v>3</v>
      </c>
      <c r="F85" s="518">
        <v>150</v>
      </c>
      <c r="G85" s="519">
        <v>4</v>
      </c>
      <c r="H85" s="519">
        <v>7</v>
      </c>
      <c r="I85" s="520" t="s">
        <v>194</v>
      </c>
      <c r="J85" s="521" t="s">
        <v>180</v>
      </c>
      <c r="K85" s="522" t="s">
        <v>150</v>
      </c>
      <c r="L85" s="118" t="str">
        <f t="shared" si="12"/>
        <v>Standard_DS3_v2</v>
      </c>
      <c r="M85" s="388">
        <f t="shared" si="13"/>
        <v>666.5386666666667</v>
      </c>
      <c r="N85" s="388">
        <f t="shared" si="14"/>
        <v>252.00000000000006</v>
      </c>
      <c r="O85" s="388">
        <f t="shared" si="15"/>
        <v>114.53866666666667</v>
      </c>
      <c r="P85" s="523"/>
      <c r="Q85" s="388">
        <f>IF((OR(B85="",B85=0)),0,IFERROR(VLOOKUP(L85,Prices!$A$3:$D$300,3,FALSE),0)*B85*G85*H85*24)</f>
        <v>30.911999999999999</v>
      </c>
      <c r="R85" s="388">
        <f>IF(OR(B85="",B85=0),0,
 IF(E85="Standard",IF($F$25="Yes",W85*B85*G85*H85*Prices!$H$27/30,(F85*B85*G85*H85*VLOOKUP(J85,Prices!$G$21:$H$23,2,FALSE)/30)), W85*B85*G85*H85*Prices!$H$17/30))</f>
        <v>83.626666666666679</v>
      </c>
      <c r="S85" s="390">
        <f t="shared" si="5"/>
        <v>114.53866666666667</v>
      </c>
      <c r="T85" s="524"/>
      <c r="U85" s="388">
        <f>IF(E85="Standard",F85*B85*VLOOKUP(J85,Prices!$G$21:$H$23,2,FALSE),F85*B85*Prices!$H$17)</f>
        <v>21.000000000000004</v>
      </c>
      <c r="V85" s="388">
        <f t="shared" si="6"/>
        <v>252.00000000000006</v>
      </c>
      <c r="W85" s="525">
        <v>640</v>
      </c>
      <c r="X85" s="388">
        <f t="shared" si="7"/>
        <v>6.9688888888888902</v>
      </c>
      <c r="Y85" s="388">
        <f t="shared" si="8"/>
        <v>27.968888888888895</v>
      </c>
      <c r="Z85" s="388">
        <f t="shared" si="9"/>
        <v>335.62666666666672</v>
      </c>
      <c r="AA85" s="388">
        <f t="shared" si="10"/>
        <v>30.911999999999999</v>
      </c>
      <c r="AB85" s="524"/>
      <c r="AC85" s="393">
        <f>IF(B85= 0,0,Prices!$AG$3*B85)</f>
        <v>25</v>
      </c>
      <c r="AD85" s="524"/>
      <c r="AE85" s="388">
        <f>IF((OR(B85="",B85=0)),0,B85*IFERROR(VLOOKUP(L85,Prices!$A$3:$D$300,3,FALSE),0)*24)</f>
        <v>1.1040000000000001</v>
      </c>
      <c r="AF85" s="388">
        <f>IF((OR(B85="",B85=0)),0,IF(E85="Standard",IF($F$25="Yes",(W85*B85*Prices!$H$27)/30,(F85*B85*VLOOKUP(J85,Prices!$G$21:$H$23,2,FALSE)/30)),W85*B85*Prices!$H$17/30))</f>
        <v>2.9866666666666668</v>
      </c>
      <c r="AG85" s="388">
        <f t="shared" si="11"/>
        <v>4.0906666666666673</v>
      </c>
      <c r="AH85" s="526"/>
    </row>
    <row r="86" spans="1:34" s="527" customFormat="1">
      <c r="A86" s="514" t="s">
        <v>1036</v>
      </c>
      <c r="B86" s="515">
        <v>1</v>
      </c>
      <c r="C86" s="516" t="s">
        <v>280</v>
      </c>
      <c r="D86" s="517" t="s">
        <v>280</v>
      </c>
      <c r="E86" s="515" t="s">
        <v>195</v>
      </c>
      <c r="F86" s="518">
        <v>900</v>
      </c>
      <c r="G86" s="519">
        <v>4</v>
      </c>
      <c r="H86" s="519">
        <v>7</v>
      </c>
      <c r="I86" s="520" t="s">
        <v>194</v>
      </c>
      <c r="J86" s="521" t="s">
        <v>180</v>
      </c>
      <c r="K86" s="522" t="s">
        <v>150</v>
      </c>
      <c r="L86" s="118" t="str">
        <f t="shared" si="12"/>
        <v>Standard_A4</v>
      </c>
      <c r="M86" s="388">
        <f t="shared" si="13"/>
        <v>1155.3173333333334</v>
      </c>
      <c r="N86" s="388">
        <f t="shared" si="14"/>
        <v>540</v>
      </c>
      <c r="O86" s="388">
        <f t="shared" si="15"/>
        <v>315.31733333333329</v>
      </c>
      <c r="P86" s="523"/>
      <c r="Q86" s="388">
        <f>IF((OR(B86="",B86=0)),0,IFERROR(VLOOKUP(L86,Prices!$A$3:$D$300,3,FALSE),0)*B86*G86*H86*24)</f>
        <v>272.15999999999997</v>
      </c>
      <c r="R86" s="388">
        <f>IF(OR(B86="",B86=0),0,
 IF(E86="Standard",IF($F$25="Yes",W86*B86*G86*H86*Prices!$H$27/30,(F86*B86*G86*H86*VLOOKUP(J86,Prices!$G$21:$H$23,2,FALSE)/30)), W86*B86*G86*H86*Prices!$H$17/30))</f>
        <v>43.157333333333334</v>
      </c>
      <c r="S86" s="390">
        <f t="shared" si="5"/>
        <v>315.31733333333329</v>
      </c>
      <c r="T86" s="524"/>
      <c r="U86" s="388">
        <f>IF(E86="Standard",F86*B86*VLOOKUP(J86,Prices!$G$21:$H$23,2,FALSE),F86*B86*Prices!$H$17)</f>
        <v>45</v>
      </c>
      <c r="V86" s="388">
        <f t="shared" si="6"/>
        <v>540</v>
      </c>
      <c r="W86" s="525">
        <v>1088</v>
      </c>
      <c r="X86" s="388">
        <f t="shared" si="7"/>
        <v>3.5964444444444443</v>
      </c>
      <c r="Y86" s="388">
        <f t="shared" si="8"/>
        <v>48.596444444444444</v>
      </c>
      <c r="Z86" s="388">
        <f t="shared" si="9"/>
        <v>583.15733333333333</v>
      </c>
      <c r="AA86" s="388">
        <f t="shared" si="10"/>
        <v>272.15999999999997</v>
      </c>
      <c r="AB86" s="524"/>
      <c r="AC86" s="393">
        <f>IF(B86= 0,0,Prices!$AG$3*B86)</f>
        <v>25</v>
      </c>
      <c r="AD86" s="524"/>
      <c r="AE86" s="388">
        <f>IF((OR(B86="",B86=0)),0,B86*IFERROR(VLOOKUP(L86,Prices!$A$3:$D$300,3,FALSE),0)*24)</f>
        <v>9.7200000000000006</v>
      </c>
      <c r="AF86" s="388">
        <f>IF((OR(B86="",B86=0)),0,IF(E86="Standard",IF($F$25="Yes",(W86*B86*Prices!$H$27)/30,(F86*B86*VLOOKUP(J86,Prices!$G$21:$H$23,2,FALSE)/30)),W86*B86*Prices!$H$17/30))</f>
        <v>1.5413333333333334</v>
      </c>
      <c r="AG86" s="388">
        <f t="shared" si="11"/>
        <v>11.261333333333335</v>
      </c>
      <c r="AH86" s="526"/>
    </row>
    <row r="87" spans="1:34" s="527" customFormat="1">
      <c r="A87" s="514" t="s">
        <v>1037</v>
      </c>
      <c r="B87" s="515">
        <v>1</v>
      </c>
      <c r="C87" s="516" t="s">
        <v>342</v>
      </c>
      <c r="D87" s="517" t="s">
        <v>342</v>
      </c>
      <c r="E87" s="515" t="s">
        <v>195</v>
      </c>
      <c r="F87" s="518">
        <v>250</v>
      </c>
      <c r="G87" s="519">
        <v>4</v>
      </c>
      <c r="H87" s="519">
        <v>7</v>
      </c>
      <c r="I87" s="520" t="s">
        <v>194</v>
      </c>
      <c r="J87" s="521" t="s">
        <v>180</v>
      </c>
      <c r="K87" s="522" t="s">
        <v>150</v>
      </c>
      <c r="L87" s="118" t="str">
        <f t="shared" si="12"/>
        <v>Standard_D5_v2</v>
      </c>
      <c r="M87" s="388">
        <f t="shared" si="13"/>
        <v>585.66933333333327</v>
      </c>
      <c r="N87" s="388">
        <f t="shared" si="14"/>
        <v>150</v>
      </c>
      <c r="O87" s="388">
        <f t="shared" si="15"/>
        <v>135.66933333333333</v>
      </c>
      <c r="P87" s="523"/>
      <c r="Q87" s="388">
        <f>IF((OR(B87="",B87=0)),0,IFERROR(VLOOKUP(L87,Prices!$A$3:$D$300,3,FALSE),0)*B87*G87*H87*24)</f>
        <v>122.976</v>
      </c>
      <c r="R87" s="388">
        <f>IF(OR(B87="",B87=0),0,
 IF(E87="Standard",IF($F$25="Yes",W87*B87*G87*H87*Prices!$H$27/30,(F87*B87*G87*H87*VLOOKUP(J87,Prices!$G$21:$H$23,2,FALSE)/30)), W87*B87*G87*H87*Prices!$H$17/30))</f>
        <v>12.693333333333333</v>
      </c>
      <c r="S87" s="390">
        <f t="shared" si="5"/>
        <v>135.66933333333333</v>
      </c>
      <c r="T87" s="524"/>
      <c r="U87" s="388">
        <f>IF(E87="Standard",F87*B87*VLOOKUP(J87,Prices!$G$21:$H$23,2,FALSE),F87*B87*Prices!$H$17)</f>
        <v>12.5</v>
      </c>
      <c r="V87" s="388">
        <f t="shared" si="6"/>
        <v>150</v>
      </c>
      <c r="W87" s="525">
        <v>320</v>
      </c>
      <c r="X87" s="388">
        <f t="shared" si="7"/>
        <v>1.0577777777777777</v>
      </c>
      <c r="Y87" s="388">
        <f t="shared" si="8"/>
        <v>13.557777777777778</v>
      </c>
      <c r="Z87" s="388">
        <f t="shared" si="9"/>
        <v>162.69333333333333</v>
      </c>
      <c r="AA87" s="388">
        <f t="shared" si="10"/>
        <v>122.976</v>
      </c>
      <c r="AB87" s="524"/>
      <c r="AC87" s="393">
        <f>IF(B87= 0,0,Prices!$AG$3*B87)</f>
        <v>25</v>
      </c>
      <c r="AD87" s="524"/>
      <c r="AE87" s="388">
        <f>IF((OR(B87="",B87=0)),0,B87*IFERROR(VLOOKUP(L87,Prices!$A$3:$D$300,3,FALSE),0)*24)</f>
        <v>4.3919999999999995</v>
      </c>
      <c r="AF87" s="388">
        <f>IF((OR(B87="",B87=0)),0,IF(E87="Standard",IF($F$25="Yes",(W87*B87*Prices!$H$27)/30,(F87*B87*VLOOKUP(J87,Prices!$G$21:$H$23,2,FALSE)/30)),W87*B87*Prices!$H$17/30))</f>
        <v>0.45333333333333337</v>
      </c>
      <c r="AG87" s="388">
        <f t="shared" si="11"/>
        <v>4.8453333333333326</v>
      </c>
      <c r="AH87" s="526"/>
    </row>
    <row r="88" spans="1:34" s="527" customFormat="1">
      <c r="A88" s="514" t="s">
        <v>1038</v>
      </c>
      <c r="B88" s="515">
        <v>1</v>
      </c>
      <c r="C88" s="516" t="s">
        <v>278</v>
      </c>
      <c r="D88" s="517" t="s">
        <v>278</v>
      </c>
      <c r="E88" s="515" t="s">
        <v>195</v>
      </c>
      <c r="F88" s="518">
        <v>4494</v>
      </c>
      <c r="G88" s="519">
        <v>4</v>
      </c>
      <c r="H88" s="519">
        <v>7</v>
      </c>
      <c r="I88" s="520" t="s">
        <v>194</v>
      </c>
      <c r="J88" s="521" t="s">
        <v>180</v>
      </c>
      <c r="K88" s="522" t="s">
        <v>150</v>
      </c>
      <c r="L88" s="118" t="str">
        <f t="shared" si="12"/>
        <v>Standard_A3</v>
      </c>
      <c r="M88" s="388">
        <f t="shared" si="13"/>
        <v>3411.3576666666668</v>
      </c>
      <c r="N88" s="388">
        <f t="shared" si="14"/>
        <v>2696.4</v>
      </c>
      <c r="O88" s="388">
        <f t="shared" si="15"/>
        <v>414.95766666666668</v>
      </c>
      <c r="P88" s="523"/>
      <c r="Q88" s="388">
        <f>IF((OR(B88="",B88=0)),0,IFERROR(VLOOKUP(L88,Prices!$A$3:$D$300,3,FALSE),0)*B88*G88*H88*24)</f>
        <v>135.74400000000003</v>
      </c>
      <c r="R88" s="388">
        <f>IF(OR(B88="",B88=0),0,
 IF(E88="Standard",IF($F$25="Yes",W88*B88*G88*H88*Prices!$H$27/30,(F88*B88*G88*H88*VLOOKUP(J88,Prices!$G$21:$H$23,2,FALSE)/30)), W88*B88*G88*H88*Prices!$H$17/30))</f>
        <v>279.21366666666665</v>
      </c>
      <c r="S88" s="390">
        <f t="shared" si="5"/>
        <v>414.95766666666668</v>
      </c>
      <c r="T88" s="524"/>
      <c r="U88" s="388">
        <f>IF(E88="Standard",F88*B88*VLOOKUP(J88,Prices!$G$21:$H$23,2,FALSE),F88*B88*Prices!$H$17)</f>
        <v>224.70000000000002</v>
      </c>
      <c r="V88" s="388">
        <f t="shared" si="6"/>
        <v>2696.4</v>
      </c>
      <c r="W88" s="525">
        <v>7039</v>
      </c>
      <c r="X88" s="388">
        <f t="shared" si="7"/>
        <v>23.267805555555555</v>
      </c>
      <c r="Y88" s="388">
        <f t="shared" si="8"/>
        <v>247.96780555555554</v>
      </c>
      <c r="Z88" s="388">
        <f t="shared" si="9"/>
        <v>2975.6136666666666</v>
      </c>
      <c r="AA88" s="388">
        <f t="shared" si="10"/>
        <v>135.74400000000003</v>
      </c>
      <c r="AB88" s="524"/>
      <c r="AC88" s="393">
        <f>IF(B88= 0,0,Prices!$AG$3*B88)</f>
        <v>25</v>
      </c>
      <c r="AD88" s="524"/>
      <c r="AE88" s="388">
        <f>IF((OR(B88="",B88=0)),0,B88*IFERROR(VLOOKUP(L88,Prices!$A$3:$D$300,3,FALSE),0)*24)</f>
        <v>4.8480000000000008</v>
      </c>
      <c r="AF88" s="388">
        <f>IF((OR(B88="",B88=0)),0,IF(E88="Standard",IF($F$25="Yes",(W88*B88*Prices!$H$27)/30,(F88*B88*VLOOKUP(J88,Prices!$G$21:$H$23,2,FALSE)/30)),W88*B88*Prices!$H$17/30))</f>
        <v>9.971916666666667</v>
      </c>
      <c r="AG88" s="388">
        <f t="shared" si="11"/>
        <v>14.819916666666668</v>
      </c>
      <c r="AH88" s="526"/>
    </row>
    <row r="89" spans="1:34" s="527" customFormat="1">
      <c r="A89" s="514" t="s">
        <v>1039</v>
      </c>
      <c r="B89" s="515">
        <v>1</v>
      </c>
      <c r="C89" s="516" t="s">
        <v>278</v>
      </c>
      <c r="D89" s="517" t="s">
        <v>278</v>
      </c>
      <c r="E89" s="515" t="s">
        <v>195</v>
      </c>
      <c r="F89" s="518">
        <v>70</v>
      </c>
      <c r="G89" s="519">
        <v>4</v>
      </c>
      <c r="H89" s="519">
        <v>7</v>
      </c>
      <c r="I89" s="520" t="s">
        <v>194</v>
      </c>
      <c r="J89" s="521" t="s">
        <v>180</v>
      </c>
      <c r="K89" s="522" t="s">
        <v>150</v>
      </c>
      <c r="L89" s="118" t="str">
        <f t="shared" si="12"/>
        <v>Standard_A3</v>
      </c>
      <c r="M89" s="388">
        <f t="shared" si="13"/>
        <v>481.55200000000002</v>
      </c>
      <c r="N89" s="388">
        <f t="shared" si="14"/>
        <v>42</v>
      </c>
      <c r="O89" s="388">
        <f t="shared" si="15"/>
        <v>139.55200000000002</v>
      </c>
      <c r="P89" s="523"/>
      <c r="Q89" s="388">
        <f>IF((OR(B89="",B89=0)),0,IFERROR(VLOOKUP(L89,Prices!$A$3:$D$300,3,FALSE),0)*B89*G89*H89*24)</f>
        <v>135.74400000000003</v>
      </c>
      <c r="R89" s="388">
        <f>IF(OR(B89="",B89=0),0,
 IF(E89="Standard",IF($F$25="Yes",W89*B89*G89*H89*Prices!$H$27/30,(F89*B89*G89*H89*VLOOKUP(J89,Prices!$G$21:$H$23,2,FALSE)/30)), W89*B89*G89*H89*Prices!$H$17/30))</f>
        <v>3.8080000000000003</v>
      </c>
      <c r="S89" s="390">
        <f t="shared" si="5"/>
        <v>139.55200000000002</v>
      </c>
      <c r="T89" s="524"/>
      <c r="U89" s="388">
        <f>IF(E89="Standard",F89*B89*VLOOKUP(J89,Prices!$G$21:$H$23,2,FALSE),F89*B89*Prices!$H$17)</f>
        <v>3.5</v>
      </c>
      <c r="V89" s="388">
        <f t="shared" si="6"/>
        <v>42</v>
      </c>
      <c r="W89" s="525">
        <v>96</v>
      </c>
      <c r="X89" s="388">
        <f t="shared" si="7"/>
        <v>0.31733333333333336</v>
      </c>
      <c r="Y89" s="388">
        <f t="shared" si="8"/>
        <v>3.8173333333333335</v>
      </c>
      <c r="Z89" s="388">
        <f t="shared" si="9"/>
        <v>45.808</v>
      </c>
      <c r="AA89" s="388">
        <f t="shared" si="10"/>
        <v>135.74400000000003</v>
      </c>
      <c r="AB89" s="524"/>
      <c r="AC89" s="393">
        <f>IF(B89= 0,0,Prices!$AG$3*B89)</f>
        <v>25</v>
      </c>
      <c r="AD89" s="524"/>
      <c r="AE89" s="388">
        <f>IF((OR(B89="",B89=0)),0,B89*IFERROR(VLOOKUP(L89,Prices!$A$3:$D$300,3,FALSE),0)*24)</f>
        <v>4.8480000000000008</v>
      </c>
      <c r="AF89" s="388">
        <f>IF((OR(B89="",B89=0)),0,IF(E89="Standard",IF($F$25="Yes",(W89*B89*Prices!$H$27)/30,(F89*B89*VLOOKUP(J89,Prices!$G$21:$H$23,2,FALSE)/30)),W89*B89*Prices!$H$17/30))</f>
        <v>0.13600000000000001</v>
      </c>
      <c r="AG89" s="388">
        <f t="shared" si="11"/>
        <v>4.9840000000000009</v>
      </c>
      <c r="AH89" s="526"/>
    </row>
    <row r="90" spans="1:34" s="527" customFormat="1">
      <c r="A90" s="514" t="s">
        <v>1040</v>
      </c>
      <c r="B90" s="515">
        <v>1</v>
      </c>
      <c r="C90" s="516" t="s">
        <v>342</v>
      </c>
      <c r="D90" s="517" t="s">
        <v>342</v>
      </c>
      <c r="E90" s="515" t="s">
        <v>195</v>
      </c>
      <c r="F90" s="518">
        <v>500</v>
      </c>
      <c r="G90" s="519">
        <v>4</v>
      </c>
      <c r="H90" s="519">
        <v>7</v>
      </c>
      <c r="I90" s="520" t="s">
        <v>194</v>
      </c>
      <c r="J90" s="521" t="s">
        <v>180</v>
      </c>
      <c r="K90" s="522" t="s">
        <v>150</v>
      </c>
      <c r="L90" s="118" t="str">
        <f t="shared" si="12"/>
        <v>Standard_D5_v2</v>
      </c>
      <c r="M90" s="388">
        <f t="shared" si="13"/>
        <v>748.36266666666666</v>
      </c>
      <c r="N90" s="388">
        <f t="shared" si="14"/>
        <v>300</v>
      </c>
      <c r="O90" s="388">
        <f t="shared" si="15"/>
        <v>148.36266666666666</v>
      </c>
      <c r="P90" s="523"/>
      <c r="Q90" s="388">
        <f>IF((OR(B90="",B90=0)),0,IFERROR(VLOOKUP(L90,Prices!$A$3:$D$300,3,FALSE),0)*B90*G90*H90*24)</f>
        <v>122.976</v>
      </c>
      <c r="R90" s="388">
        <f>IF(OR(B90="",B90=0),0,
 IF(E90="Standard",IF($F$25="Yes",W90*B90*G90*H90*Prices!$H$27/30,(F90*B90*G90*H90*VLOOKUP(J90,Prices!$G$21:$H$23,2,FALSE)/30)), W90*B90*G90*H90*Prices!$H$17/30))</f>
        <v>25.386666666666667</v>
      </c>
      <c r="S90" s="390">
        <f t="shared" si="5"/>
        <v>148.36266666666666</v>
      </c>
      <c r="T90" s="524"/>
      <c r="U90" s="388">
        <f>IF(E90="Standard",F90*B90*VLOOKUP(J90,Prices!$G$21:$H$23,2,FALSE),F90*B90*Prices!$H$17)</f>
        <v>25</v>
      </c>
      <c r="V90" s="388">
        <f t="shared" si="6"/>
        <v>300</v>
      </c>
      <c r="W90" s="525">
        <v>640</v>
      </c>
      <c r="X90" s="388">
        <f t="shared" si="7"/>
        <v>2.1155555555555554</v>
      </c>
      <c r="Y90" s="388">
        <f t="shared" si="8"/>
        <v>27.115555555555556</v>
      </c>
      <c r="Z90" s="388">
        <f t="shared" si="9"/>
        <v>325.38666666666666</v>
      </c>
      <c r="AA90" s="388">
        <f t="shared" si="10"/>
        <v>122.976</v>
      </c>
      <c r="AB90" s="524"/>
      <c r="AC90" s="393">
        <f>IF(B90= 0,0,Prices!$AG$3*B90)</f>
        <v>25</v>
      </c>
      <c r="AD90" s="524"/>
      <c r="AE90" s="388">
        <f>IF((OR(B90="",B90=0)),0,B90*IFERROR(VLOOKUP(L90,Prices!$A$3:$D$300,3,FALSE),0)*24)</f>
        <v>4.3919999999999995</v>
      </c>
      <c r="AF90" s="388">
        <f>IF((OR(B90="",B90=0)),0,IF(E90="Standard",IF($F$25="Yes",(W90*B90*Prices!$H$27)/30,(F90*B90*VLOOKUP(J90,Prices!$G$21:$H$23,2,FALSE)/30)),W90*B90*Prices!$H$17/30))</f>
        <v>0.90666666666666673</v>
      </c>
      <c r="AG90" s="388">
        <f t="shared" si="11"/>
        <v>5.2986666666666657</v>
      </c>
      <c r="AH90" s="526"/>
    </row>
    <row r="91" spans="1:34" s="527" customFormat="1">
      <c r="A91" s="514" t="s">
        <v>1041</v>
      </c>
      <c r="B91" s="515">
        <v>1</v>
      </c>
      <c r="C91" s="516" t="s">
        <v>276</v>
      </c>
      <c r="D91" s="517" t="s">
        <v>276</v>
      </c>
      <c r="E91" s="515" t="s">
        <v>195</v>
      </c>
      <c r="F91" s="518">
        <v>200</v>
      </c>
      <c r="G91" s="519">
        <v>4</v>
      </c>
      <c r="H91" s="519">
        <v>7</v>
      </c>
      <c r="I91" s="520" t="s">
        <v>194</v>
      </c>
      <c r="J91" s="521" t="s">
        <v>180</v>
      </c>
      <c r="K91" s="522" t="s">
        <v>150</v>
      </c>
      <c r="L91" s="118" t="str">
        <f t="shared" si="12"/>
        <v>Standard_A2</v>
      </c>
      <c r="M91" s="388">
        <f t="shared" si="13"/>
        <v>443.59466666666668</v>
      </c>
      <c r="N91" s="388">
        <f t="shared" si="14"/>
        <v>120</v>
      </c>
      <c r="O91" s="388">
        <f t="shared" si="15"/>
        <v>23.594666666666669</v>
      </c>
      <c r="P91" s="523"/>
      <c r="Q91" s="388">
        <f>IF((OR(B91="",B91=0)),0,IFERROR(VLOOKUP(L91,Prices!$A$3:$D$300,3,FALSE),0)*B91*G91*H91*24)</f>
        <v>13.440000000000001</v>
      </c>
      <c r="R91" s="388">
        <f>IF(OR(B91="",B91=0),0,
 IF(E91="Standard",IF($F$25="Yes",W91*B91*G91*H91*Prices!$H$27/30,(F91*B91*G91*H91*VLOOKUP(J91,Prices!$G$21:$H$23,2,FALSE)/30)), W91*B91*G91*H91*Prices!$H$17/30))</f>
        <v>10.154666666666667</v>
      </c>
      <c r="S91" s="390">
        <f t="shared" si="5"/>
        <v>23.594666666666669</v>
      </c>
      <c r="T91" s="524"/>
      <c r="U91" s="388">
        <f>IF(E91="Standard",F91*B91*VLOOKUP(J91,Prices!$G$21:$H$23,2,FALSE),F91*B91*Prices!$H$17)</f>
        <v>10</v>
      </c>
      <c r="V91" s="388">
        <f t="shared" si="6"/>
        <v>120</v>
      </c>
      <c r="W91" s="525">
        <v>256</v>
      </c>
      <c r="X91" s="388">
        <f t="shared" si="7"/>
        <v>0.84622222222222232</v>
      </c>
      <c r="Y91" s="388">
        <f t="shared" si="8"/>
        <v>10.846222222222222</v>
      </c>
      <c r="Z91" s="388">
        <f t="shared" si="9"/>
        <v>130.15466666666666</v>
      </c>
      <c r="AA91" s="388">
        <f t="shared" si="10"/>
        <v>13.440000000000001</v>
      </c>
      <c r="AB91" s="524"/>
      <c r="AC91" s="393">
        <f>IF(B91= 0,0,Prices!$AG$3*B91)</f>
        <v>25</v>
      </c>
      <c r="AD91" s="524"/>
      <c r="AE91" s="388">
        <f>IF((OR(B91="",B91=0)),0,B91*IFERROR(VLOOKUP(L91,Prices!$A$3:$D$300,3,FALSE),0)*24)</f>
        <v>0.48</v>
      </c>
      <c r="AF91" s="388">
        <f>IF((OR(B91="",B91=0)),0,IF(E91="Standard",IF($F$25="Yes",(W91*B91*Prices!$H$27)/30,(F91*B91*VLOOKUP(J91,Prices!$G$21:$H$23,2,FALSE)/30)),W91*B91*Prices!$H$17/30))</f>
        <v>0.36266666666666669</v>
      </c>
      <c r="AG91" s="388">
        <f t="shared" si="11"/>
        <v>0.84266666666666667</v>
      </c>
      <c r="AH91" s="526"/>
    </row>
    <row r="92" spans="1:34" s="527" customFormat="1">
      <c r="A92" s="514" t="s">
        <v>1042</v>
      </c>
      <c r="B92" s="515">
        <v>1</v>
      </c>
      <c r="C92" s="516" t="s">
        <v>278</v>
      </c>
      <c r="D92" s="517" t="s">
        <v>278</v>
      </c>
      <c r="E92" s="515" t="s">
        <v>195</v>
      </c>
      <c r="F92" s="518">
        <v>450</v>
      </c>
      <c r="G92" s="519">
        <v>4</v>
      </c>
      <c r="H92" s="519">
        <v>7</v>
      </c>
      <c r="I92" s="520" t="s">
        <v>194</v>
      </c>
      <c r="J92" s="521" t="s">
        <v>180</v>
      </c>
      <c r="K92" s="522" t="s">
        <v>150</v>
      </c>
      <c r="L92" s="118" t="str">
        <f t="shared" si="12"/>
        <v>Standard_A3</v>
      </c>
      <c r="M92" s="388">
        <f t="shared" si="13"/>
        <v>726.0533333333334</v>
      </c>
      <c r="N92" s="388">
        <f t="shared" si="14"/>
        <v>270</v>
      </c>
      <c r="O92" s="388">
        <f t="shared" si="15"/>
        <v>156.05333333333337</v>
      </c>
      <c r="P92" s="523"/>
      <c r="Q92" s="388">
        <f>IF((OR(B92="",B92=0)),0,IFERROR(VLOOKUP(L92,Prices!$A$3:$D$300,3,FALSE),0)*B92*G92*H92*24)</f>
        <v>135.74400000000003</v>
      </c>
      <c r="R92" s="388">
        <f>IF(OR(B92="",B92=0),0,
 IF(E92="Standard",IF($F$25="Yes",W92*B92*G92*H92*Prices!$H$27/30,(F92*B92*G92*H92*VLOOKUP(J92,Prices!$G$21:$H$23,2,FALSE)/30)), W92*B92*G92*H92*Prices!$H$17/30))</f>
        <v>20.309333333333335</v>
      </c>
      <c r="S92" s="390">
        <f t="shared" si="5"/>
        <v>156.05333333333337</v>
      </c>
      <c r="T92" s="524"/>
      <c r="U92" s="388">
        <f>IF(E92="Standard",F92*B92*VLOOKUP(J92,Prices!$G$21:$H$23,2,FALSE),F92*B92*Prices!$H$17)</f>
        <v>22.5</v>
      </c>
      <c r="V92" s="388">
        <f t="shared" si="6"/>
        <v>270</v>
      </c>
      <c r="W92" s="525">
        <v>512</v>
      </c>
      <c r="X92" s="388">
        <f t="shared" si="7"/>
        <v>1.6924444444444446</v>
      </c>
      <c r="Y92" s="388">
        <f t="shared" si="8"/>
        <v>24.192444444444444</v>
      </c>
      <c r="Z92" s="388">
        <f t="shared" si="9"/>
        <v>290.30933333333331</v>
      </c>
      <c r="AA92" s="388">
        <f t="shared" si="10"/>
        <v>135.74400000000003</v>
      </c>
      <c r="AB92" s="524"/>
      <c r="AC92" s="393">
        <f>IF(B92= 0,0,Prices!$AG$3*B92)</f>
        <v>25</v>
      </c>
      <c r="AD92" s="524"/>
      <c r="AE92" s="388">
        <f>IF((OR(B92="",B92=0)),0,B92*IFERROR(VLOOKUP(L92,Prices!$A$3:$D$300,3,FALSE),0)*24)</f>
        <v>4.8480000000000008</v>
      </c>
      <c r="AF92" s="388">
        <f>IF((OR(B92="",B92=0)),0,IF(E92="Standard",IF($F$25="Yes",(W92*B92*Prices!$H$27)/30,(F92*B92*VLOOKUP(J92,Prices!$G$21:$H$23,2,FALSE)/30)),W92*B92*Prices!$H$17/30))</f>
        <v>0.72533333333333339</v>
      </c>
      <c r="AG92" s="388">
        <f t="shared" si="11"/>
        <v>5.5733333333333341</v>
      </c>
      <c r="AH92" s="526"/>
    </row>
    <row r="93" spans="1:34" s="527" customFormat="1">
      <c r="A93" s="514" t="s">
        <v>1043</v>
      </c>
      <c r="B93" s="515">
        <v>1</v>
      </c>
      <c r="C93" s="516" t="s">
        <v>342</v>
      </c>
      <c r="D93" s="517" t="s">
        <v>342</v>
      </c>
      <c r="E93" s="515" t="s">
        <v>195</v>
      </c>
      <c r="F93" s="518">
        <v>7408</v>
      </c>
      <c r="G93" s="519">
        <v>4</v>
      </c>
      <c r="H93" s="519">
        <v>7</v>
      </c>
      <c r="I93" s="520" t="s">
        <v>194</v>
      </c>
      <c r="J93" s="521" t="s">
        <v>180</v>
      </c>
      <c r="K93" s="522" t="s">
        <v>150</v>
      </c>
      <c r="L93" s="118" t="str">
        <f t="shared" si="12"/>
        <v>Standard_D5_v2</v>
      </c>
      <c r="M93" s="388">
        <f t="shared" si="13"/>
        <v>5205.4186666666665</v>
      </c>
      <c r="N93" s="388">
        <f t="shared" si="14"/>
        <v>4444.8</v>
      </c>
      <c r="O93" s="388">
        <f t="shared" si="15"/>
        <v>460.61866666666668</v>
      </c>
      <c r="P93" s="523"/>
      <c r="Q93" s="388">
        <f>IF((OR(B93="",B93=0)),0,IFERROR(VLOOKUP(L93,Prices!$A$3:$D$300,3,FALSE),0)*B93*G93*H93*24)</f>
        <v>122.976</v>
      </c>
      <c r="R93" s="388">
        <f>IF(OR(B93="",B93=0),0,
 IF(E93="Standard",IF($F$25="Yes",W93*B93*G93*H93*Prices!$H$27/30,(F93*B93*G93*H93*VLOOKUP(J93,Prices!$G$21:$H$23,2,FALSE)/30)), W93*B93*G93*H93*Prices!$H$17/30))</f>
        <v>337.64266666666668</v>
      </c>
      <c r="S93" s="390">
        <f t="shared" si="5"/>
        <v>460.61866666666668</v>
      </c>
      <c r="T93" s="524"/>
      <c r="U93" s="388">
        <f>IF(E93="Standard",F93*B93*VLOOKUP(J93,Prices!$G$21:$H$23,2,FALSE),F93*B93*Prices!$H$17)</f>
        <v>370.40000000000003</v>
      </c>
      <c r="V93" s="388">
        <f t="shared" si="6"/>
        <v>4444.8</v>
      </c>
      <c r="W93" s="525">
        <v>8512</v>
      </c>
      <c r="X93" s="388">
        <f t="shared" si="7"/>
        <v>28.13688888888889</v>
      </c>
      <c r="Y93" s="388">
        <f t="shared" si="8"/>
        <v>398.53688888888888</v>
      </c>
      <c r="Z93" s="388">
        <f t="shared" si="9"/>
        <v>4782.4426666666668</v>
      </c>
      <c r="AA93" s="388">
        <f t="shared" si="10"/>
        <v>122.976</v>
      </c>
      <c r="AB93" s="524"/>
      <c r="AC93" s="393">
        <f>IF(B93= 0,0,Prices!$AG$3*B93)</f>
        <v>25</v>
      </c>
      <c r="AD93" s="524"/>
      <c r="AE93" s="388">
        <f>IF((OR(B93="",B93=0)),0,B93*IFERROR(VLOOKUP(L93,Prices!$A$3:$D$300,3,FALSE),0)*24)</f>
        <v>4.3919999999999995</v>
      </c>
      <c r="AF93" s="388">
        <f>IF((OR(B93="",B93=0)),0,IF(E93="Standard",IF($F$25="Yes",(W93*B93*Prices!$H$27)/30,(F93*B93*VLOOKUP(J93,Prices!$G$21:$H$23,2,FALSE)/30)),W93*B93*Prices!$H$17/30))</f>
        <v>12.058666666666669</v>
      </c>
      <c r="AG93" s="388">
        <f t="shared" si="11"/>
        <v>16.45066666666667</v>
      </c>
      <c r="AH93" s="526"/>
    </row>
    <row r="94" spans="1:34" s="527" customFormat="1">
      <c r="A94" s="514" t="s">
        <v>1044</v>
      </c>
      <c r="B94" s="515">
        <v>1</v>
      </c>
      <c r="C94" s="516" t="s">
        <v>278</v>
      </c>
      <c r="D94" s="517" t="s">
        <v>278</v>
      </c>
      <c r="E94" s="515" t="s">
        <v>195</v>
      </c>
      <c r="F94" s="518">
        <v>251</v>
      </c>
      <c r="G94" s="519">
        <v>4</v>
      </c>
      <c r="H94" s="519">
        <v>7</v>
      </c>
      <c r="I94" s="520" t="s">
        <v>194</v>
      </c>
      <c r="J94" s="521" t="s">
        <v>180</v>
      </c>
      <c r="K94" s="522" t="s">
        <v>150</v>
      </c>
      <c r="L94" s="118" t="str">
        <f t="shared" si="12"/>
        <v>Standard_A3</v>
      </c>
      <c r="M94" s="388">
        <f t="shared" si="13"/>
        <v>599.03733333333344</v>
      </c>
      <c r="N94" s="388">
        <f t="shared" si="14"/>
        <v>150.60000000000002</v>
      </c>
      <c r="O94" s="388">
        <f t="shared" si="15"/>
        <v>148.43733333333336</v>
      </c>
      <c r="P94" s="523"/>
      <c r="Q94" s="388">
        <f>IF((OR(B94="",B94=0)),0,IFERROR(VLOOKUP(L94,Prices!$A$3:$D$300,3,FALSE),0)*B94*G94*H94*24)</f>
        <v>135.74400000000003</v>
      </c>
      <c r="R94" s="388">
        <f>IF(OR(B94="",B94=0),0,
 IF(E94="Standard",IF($F$25="Yes",W94*B94*G94*H94*Prices!$H$27/30,(F94*B94*G94*H94*VLOOKUP(J94,Prices!$G$21:$H$23,2,FALSE)/30)), W94*B94*G94*H94*Prices!$H$17/30))</f>
        <v>12.693333333333333</v>
      </c>
      <c r="S94" s="390">
        <f t="shared" si="5"/>
        <v>148.43733333333336</v>
      </c>
      <c r="T94" s="524"/>
      <c r="U94" s="388">
        <f>IF(E94="Standard",F94*B94*VLOOKUP(J94,Prices!$G$21:$H$23,2,FALSE),F94*B94*Prices!$H$17)</f>
        <v>12.55</v>
      </c>
      <c r="V94" s="388">
        <f t="shared" si="6"/>
        <v>150.60000000000002</v>
      </c>
      <c r="W94" s="525">
        <v>320</v>
      </c>
      <c r="X94" s="388">
        <f t="shared" si="7"/>
        <v>1.0577777777777777</v>
      </c>
      <c r="Y94" s="388">
        <f t="shared" si="8"/>
        <v>13.607777777777779</v>
      </c>
      <c r="Z94" s="388">
        <f t="shared" si="9"/>
        <v>163.29333333333335</v>
      </c>
      <c r="AA94" s="388">
        <f t="shared" si="10"/>
        <v>135.74400000000003</v>
      </c>
      <c r="AB94" s="524"/>
      <c r="AC94" s="393">
        <f>IF(B94= 0,0,Prices!$AG$3*B94)</f>
        <v>25</v>
      </c>
      <c r="AD94" s="524"/>
      <c r="AE94" s="388">
        <f>IF((OR(B94="",B94=0)),0,B94*IFERROR(VLOOKUP(L94,Prices!$A$3:$D$300,3,FALSE),0)*24)</f>
        <v>4.8480000000000008</v>
      </c>
      <c r="AF94" s="388">
        <f>IF((OR(B94="",B94=0)),0,IF(E94="Standard",IF($F$25="Yes",(W94*B94*Prices!$H$27)/30,(F94*B94*VLOOKUP(J94,Prices!$G$21:$H$23,2,FALSE)/30)),W94*B94*Prices!$H$17/30))</f>
        <v>0.45333333333333337</v>
      </c>
      <c r="AG94" s="388">
        <f t="shared" si="11"/>
        <v>5.3013333333333339</v>
      </c>
      <c r="AH94" s="526"/>
    </row>
    <row r="95" spans="1:34" s="527" customFormat="1">
      <c r="A95" s="514" t="s">
        <v>1045</v>
      </c>
      <c r="B95" s="515">
        <v>1</v>
      </c>
      <c r="C95" s="516" t="s">
        <v>342</v>
      </c>
      <c r="D95" s="517" t="s">
        <v>342</v>
      </c>
      <c r="E95" s="515" t="s">
        <v>195</v>
      </c>
      <c r="F95" s="518">
        <v>0</v>
      </c>
      <c r="G95" s="519">
        <v>4</v>
      </c>
      <c r="H95" s="519">
        <v>7</v>
      </c>
      <c r="I95" s="520" t="s">
        <v>194</v>
      </c>
      <c r="J95" s="521" t="s">
        <v>180</v>
      </c>
      <c r="K95" s="522" t="s">
        <v>150</v>
      </c>
      <c r="L95" s="118" t="str">
        <f t="shared" si="12"/>
        <v>Standard_D5_v2</v>
      </c>
      <c r="M95" s="388">
        <f t="shared" si="13"/>
        <v>426.78399999999999</v>
      </c>
      <c r="N95" s="388">
        <f t="shared" si="14"/>
        <v>0</v>
      </c>
      <c r="O95" s="388">
        <f t="shared" si="15"/>
        <v>126.78400000000001</v>
      </c>
      <c r="P95" s="523"/>
      <c r="Q95" s="388">
        <f>IF((OR(B95="",B95=0)),0,IFERROR(VLOOKUP(L95,Prices!$A$3:$D$300,3,FALSE),0)*B95*G95*H95*24)</f>
        <v>122.976</v>
      </c>
      <c r="R95" s="388">
        <f>IF(OR(B95="",B95=0),0,
 IF(E95="Standard",IF($F$25="Yes",W95*B95*G95*H95*Prices!$H$27/30,(F95*B95*G95*H95*VLOOKUP(J95,Prices!$G$21:$H$23,2,FALSE)/30)), W95*B95*G95*H95*Prices!$H$17/30))</f>
        <v>3.8080000000000003</v>
      </c>
      <c r="S95" s="390">
        <f t="shared" si="5"/>
        <v>126.78400000000001</v>
      </c>
      <c r="T95" s="524"/>
      <c r="U95" s="388">
        <f>IF(E95="Standard",F95*B95*VLOOKUP(J95,Prices!$G$21:$H$23,2,FALSE),F95*B95*Prices!$H$17)</f>
        <v>0</v>
      </c>
      <c r="V95" s="388">
        <f t="shared" si="6"/>
        <v>0</v>
      </c>
      <c r="W95" s="525">
        <v>96</v>
      </c>
      <c r="X95" s="388">
        <f t="shared" si="7"/>
        <v>0.31733333333333336</v>
      </c>
      <c r="Y95" s="388">
        <f t="shared" si="8"/>
        <v>0.31733333333333336</v>
      </c>
      <c r="Z95" s="388">
        <f t="shared" si="9"/>
        <v>3.8080000000000003</v>
      </c>
      <c r="AA95" s="388">
        <f t="shared" si="10"/>
        <v>122.976</v>
      </c>
      <c r="AB95" s="524"/>
      <c r="AC95" s="393">
        <f>IF(B95= 0,0,Prices!$AG$3*B95)</f>
        <v>25</v>
      </c>
      <c r="AD95" s="524"/>
      <c r="AE95" s="388">
        <f>IF((OR(B95="",B95=0)),0,B95*IFERROR(VLOOKUP(L95,Prices!$A$3:$D$300,3,FALSE),0)*24)</f>
        <v>4.3919999999999995</v>
      </c>
      <c r="AF95" s="388">
        <f>IF((OR(B95="",B95=0)),0,IF(E95="Standard",IF($F$25="Yes",(W95*B95*Prices!$H$27)/30,(F95*B95*VLOOKUP(J95,Prices!$G$21:$H$23,2,FALSE)/30)),W95*B95*Prices!$H$17/30))</f>
        <v>0.13600000000000001</v>
      </c>
      <c r="AG95" s="388">
        <f t="shared" si="11"/>
        <v>4.5279999999999996</v>
      </c>
      <c r="AH95" s="526"/>
    </row>
    <row r="96" spans="1:34" s="527" customFormat="1">
      <c r="A96" s="514" t="s">
        <v>1046</v>
      </c>
      <c r="B96" s="515">
        <v>1</v>
      </c>
      <c r="C96" s="516" t="s">
        <v>276</v>
      </c>
      <c r="D96" s="517" t="s">
        <v>276</v>
      </c>
      <c r="E96" s="515" t="s">
        <v>195</v>
      </c>
      <c r="F96" s="518">
        <v>150</v>
      </c>
      <c r="G96" s="519">
        <v>4</v>
      </c>
      <c r="H96" s="519">
        <v>7</v>
      </c>
      <c r="I96" s="520" t="s">
        <v>194</v>
      </c>
      <c r="J96" s="521" t="s">
        <v>180</v>
      </c>
      <c r="K96" s="522" t="s">
        <v>150</v>
      </c>
      <c r="L96" s="118" t="str">
        <f t="shared" si="12"/>
        <v>Standard_A2</v>
      </c>
      <c r="M96" s="388">
        <f t="shared" si="13"/>
        <v>411.05599999999998</v>
      </c>
      <c r="N96" s="388">
        <f t="shared" si="14"/>
        <v>90</v>
      </c>
      <c r="O96" s="388">
        <f t="shared" si="15"/>
        <v>21.056000000000001</v>
      </c>
      <c r="P96" s="523"/>
      <c r="Q96" s="388">
        <f>IF((OR(B96="",B96=0)),0,IFERROR(VLOOKUP(L96,Prices!$A$3:$D$300,3,FALSE),0)*B96*G96*H96*24)</f>
        <v>13.440000000000001</v>
      </c>
      <c r="R96" s="388">
        <f>IF(OR(B96="",B96=0),0,
 IF(E96="Standard",IF($F$25="Yes",W96*B96*G96*H96*Prices!$H$27/30,(F96*B96*G96*H96*VLOOKUP(J96,Prices!$G$21:$H$23,2,FALSE)/30)), W96*B96*G96*H96*Prices!$H$17/30))</f>
        <v>7.6160000000000005</v>
      </c>
      <c r="S96" s="390">
        <f t="shared" si="5"/>
        <v>21.056000000000001</v>
      </c>
      <c r="T96" s="524"/>
      <c r="U96" s="388">
        <f>IF(E96="Standard",F96*B96*VLOOKUP(J96,Prices!$G$21:$H$23,2,FALSE),F96*B96*Prices!$H$17)</f>
        <v>7.5</v>
      </c>
      <c r="V96" s="388">
        <f t="shared" si="6"/>
        <v>90</v>
      </c>
      <c r="W96" s="525">
        <v>192</v>
      </c>
      <c r="X96" s="388">
        <f t="shared" si="7"/>
        <v>0.63466666666666671</v>
      </c>
      <c r="Y96" s="388">
        <f t="shared" si="8"/>
        <v>8.134666666666666</v>
      </c>
      <c r="Z96" s="388">
        <f t="shared" si="9"/>
        <v>97.616</v>
      </c>
      <c r="AA96" s="388">
        <f t="shared" si="10"/>
        <v>13.440000000000001</v>
      </c>
      <c r="AB96" s="524"/>
      <c r="AC96" s="393">
        <f>IF(B96= 0,0,Prices!$AG$3*B96)</f>
        <v>25</v>
      </c>
      <c r="AD96" s="524"/>
      <c r="AE96" s="388">
        <f>IF((OR(B96="",B96=0)),0,B96*IFERROR(VLOOKUP(L96,Prices!$A$3:$D$300,3,FALSE),0)*24)</f>
        <v>0.48</v>
      </c>
      <c r="AF96" s="388">
        <f>IF((OR(B96="",B96=0)),0,IF(E96="Standard",IF($F$25="Yes",(W96*B96*Prices!$H$27)/30,(F96*B96*VLOOKUP(J96,Prices!$G$21:$H$23,2,FALSE)/30)),W96*B96*Prices!$H$17/30))</f>
        <v>0.27200000000000002</v>
      </c>
      <c r="AG96" s="388">
        <f t="shared" si="11"/>
        <v>0.752</v>
      </c>
      <c r="AH96" s="526"/>
    </row>
    <row r="97" spans="1:34" s="527" customFormat="1">
      <c r="A97" s="514" t="s">
        <v>1047</v>
      </c>
      <c r="B97" s="515">
        <v>1</v>
      </c>
      <c r="C97" s="516" t="s">
        <v>280</v>
      </c>
      <c r="D97" s="517" t="s">
        <v>280</v>
      </c>
      <c r="E97" s="515" t="s">
        <v>195</v>
      </c>
      <c r="F97" s="518">
        <v>150</v>
      </c>
      <c r="G97" s="519">
        <v>4</v>
      </c>
      <c r="H97" s="519">
        <v>7</v>
      </c>
      <c r="I97" s="520" t="s">
        <v>194</v>
      </c>
      <c r="J97" s="521" t="s">
        <v>180</v>
      </c>
      <c r="K97" s="522" t="s">
        <v>150</v>
      </c>
      <c r="L97" s="118" t="str">
        <f t="shared" si="12"/>
        <v>Standard_A4</v>
      </c>
      <c r="M97" s="388">
        <f t="shared" si="13"/>
        <v>669.77599999999995</v>
      </c>
      <c r="N97" s="388">
        <f t="shared" si="14"/>
        <v>90</v>
      </c>
      <c r="O97" s="388">
        <f t="shared" si="15"/>
        <v>279.77599999999995</v>
      </c>
      <c r="P97" s="523"/>
      <c r="Q97" s="388">
        <f>IF((OR(B97="",B97=0)),0,IFERROR(VLOOKUP(L97,Prices!$A$3:$D$300,3,FALSE),0)*B97*G97*H97*24)</f>
        <v>272.15999999999997</v>
      </c>
      <c r="R97" s="388">
        <f>IF(OR(B97="",B97=0),0,
 IF(E97="Standard",IF($F$25="Yes",W97*B97*G97*H97*Prices!$H$27/30,(F97*B97*G97*H97*VLOOKUP(J97,Prices!$G$21:$H$23,2,FALSE)/30)), W97*B97*G97*H97*Prices!$H$17/30))</f>
        <v>7.6160000000000005</v>
      </c>
      <c r="S97" s="390">
        <f t="shared" si="5"/>
        <v>279.77599999999995</v>
      </c>
      <c r="T97" s="524"/>
      <c r="U97" s="388">
        <f>IF(E97="Standard",F97*B97*VLOOKUP(J97,Prices!$G$21:$H$23,2,FALSE),F97*B97*Prices!$H$17)</f>
        <v>7.5</v>
      </c>
      <c r="V97" s="388">
        <f t="shared" si="6"/>
        <v>90</v>
      </c>
      <c r="W97" s="525">
        <v>192</v>
      </c>
      <c r="X97" s="388">
        <f t="shared" si="7"/>
        <v>0.63466666666666671</v>
      </c>
      <c r="Y97" s="388">
        <f t="shared" si="8"/>
        <v>8.134666666666666</v>
      </c>
      <c r="Z97" s="388">
        <f t="shared" si="9"/>
        <v>97.616</v>
      </c>
      <c r="AA97" s="388">
        <f t="shared" si="10"/>
        <v>272.15999999999997</v>
      </c>
      <c r="AB97" s="524"/>
      <c r="AC97" s="393">
        <f>IF(B97= 0,0,Prices!$AG$3*B97)</f>
        <v>25</v>
      </c>
      <c r="AD97" s="524"/>
      <c r="AE97" s="388">
        <f>IF((OR(B97="",B97=0)),0,B97*IFERROR(VLOOKUP(L97,Prices!$A$3:$D$300,3,FALSE),0)*24)</f>
        <v>9.7200000000000006</v>
      </c>
      <c r="AF97" s="388">
        <f>IF((OR(B97="",B97=0)),0,IF(E97="Standard",IF($F$25="Yes",(W97*B97*Prices!$H$27)/30,(F97*B97*VLOOKUP(J97,Prices!$G$21:$H$23,2,FALSE)/30)),W97*B97*Prices!$H$17/30))</f>
        <v>0.27200000000000002</v>
      </c>
      <c r="AG97" s="388">
        <f t="shared" si="11"/>
        <v>9.9920000000000009</v>
      </c>
      <c r="AH97" s="526"/>
    </row>
    <row r="98" spans="1:34" s="527" customFormat="1">
      <c r="A98" s="514" t="s">
        <v>1048</v>
      </c>
      <c r="B98" s="515">
        <v>1</v>
      </c>
      <c r="C98" s="516" t="s">
        <v>280</v>
      </c>
      <c r="D98" s="517" t="s">
        <v>280</v>
      </c>
      <c r="E98" s="515" t="s">
        <v>195</v>
      </c>
      <c r="F98" s="518">
        <v>251</v>
      </c>
      <c r="G98" s="519">
        <v>4</v>
      </c>
      <c r="H98" s="519">
        <v>7</v>
      </c>
      <c r="I98" s="520" t="s">
        <v>194</v>
      </c>
      <c r="J98" s="521" t="s">
        <v>180</v>
      </c>
      <c r="K98" s="522" t="s">
        <v>150</v>
      </c>
      <c r="L98" s="118" t="str">
        <f t="shared" si="12"/>
        <v>Standard_A4</v>
      </c>
      <c r="M98" s="388">
        <f t="shared" si="13"/>
        <v>735.45333333333338</v>
      </c>
      <c r="N98" s="388">
        <f t="shared" si="14"/>
        <v>150.60000000000002</v>
      </c>
      <c r="O98" s="388">
        <f t="shared" si="15"/>
        <v>284.8533333333333</v>
      </c>
      <c r="P98" s="523"/>
      <c r="Q98" s="388">
        <f>IF((OR(B98="",B98=0)),0,IFERROR(VLOOKUP(L98,Prices!$A$3:$D$300,3,FALSE),0)*B98*G98*H98*24)</f>
        <v>272.15999999999997</v>
      </c>
      <c r="R98" s="388">
        <f>IF(OR(B98="",B98=0),0,
 IF(E98="Standard",IF($F$25="Yes",W98*B98*G98*H98*Prices!$H$27/30,(F98*B98*G98*H98*VLOOKUP(J98,Prices!$G$21:$H$23,2,FALSE)/30)), W98*B98*G98*H98*Prices!$H$17/30))</f>
        <v>12.693333333333333</v>
      </c>
      <c r="S98" s="390">
        <f t="shared" si="5"/>
        <v>284.8533333333333</v>
      </c>
      <c r="T98" s="524"/>
      <c r="U98" s="388">
        <f>IF(E98="Standard",F98*B98*VLOOKUP(J98,Prices!$G$21:$H$23,2,FALSE),F98*B98*Prices!$H$17)</f>
        <v>12.55</v>
      </c>
      <c r="V98" s="388">
        <f t="shared" si="6"/>
        <v>150.60000000000002</v>
      </c>
      <c r="W98" s="525">
        <v>320</v>
      </c>
      <c r="X98" s="388">
        <f t="shared" si="7"/>
        <v>1.0577777777777777</v>
      </c>
      <c r="Y98" s="388">
        <f t="shared" si="8"/>
        <v>13.607777777777779</v>
      </c>
      <c r="Z98" s="388">
        <f t="shared" si="9"/>
        <v>163.29333333333335</v>
      </c>
      <c r="AA98" s="388">
        <f t="shared" si="10"/>
        <v>272.15999999999997</v>
      </c>
      <c r="AB98" s="524"/>
      <c r="AC98" s="393">
        <f>IF(B98= 0,0,Prices!$AG$3*B98)</f>
        <v>25</v>
      </c>
      <c r="AD98" s="524"/>
      <c r="AE98" s="388">
        <f>IF((OR(B98="",B98=0)),0,B98*IFERROR(VLOOKUP(L98,Prices!$A$3:$D$300,3,FALSE),0)*24)</f>
        <v>9.7200000000000006</v>
      </c>
      <c r="AF98" s="388">
        <f>IF((OR(B98="",B98=0)),0,IF(E98="Standard",IF($F$25="Yes",(W98*B98*Prices!$H$27)/30,(F98*B98*VLOOKUP(J98,Prices!$G$21:$H$23,2,FALSE)/30)),W98*B98*Prices!$H$17/30))</f>
        <v>0.45333333333333337</v>
      </c>
      <c r="AG98" s="388">
        <f t="shared" si="11"/>
        <v>10.173333333333334</v>
      </c>
      <c r="AH98" s="526"/>
    </row>
    <row r="99" spans="1:34" s="527" customFormat="1">
      <c r="A99" s="514" t="s">
        <v>1049</v>
      </c>
      <c r="B99" s="515">
        <v>1</v>
      </c>
      <c r="C99" s="516" t="s">
        <v>276</v>
      </c>
      <c r="D99" s="517" t="s">
        <v>276</v>
      </c>
      <c r="E99" s="515" t="s">
        <v>195</v>
      </c>
      <c r="F99" s="518">
        <v>450</v>
      </c>
      <c r="G99" s="519">
        <v>4</v>
      </c>
      <c r="H99" s="519">
        <v>7</v>
      </c>
      <c r="I99" s="520" t="s">
        <v>194</v>
      </c>
      <c r="J99" s="521" t="s">
        <v>180</v>
      </c>
      <c r="K99" s="522" t="s">
        <v>150</v>
      </c>
      <c r="L99" s="118" t="str">
        <f t="shared" si="12"/>
        <v>Standard_A2</v>
      </c>
      <c r="M99" s="388">
        <f t="shared" si="13"/>
        <v>611.36533333333341</v>
      </c>
      <c r="N99" s="388">
        <f t="shared" si="14"/>
        <v>270</v>
      </c>
      <c r="O99" s="388">
        <f t="shared" si="15"/>
        <v>41.365333333333339</v>
      </c>
      <c r="P99" s="523"/>
      <c r="Q99" s="388">
        <f>IF((OR(B99="",B99=0)),0,IFERROR(VLOOKUP(L99,Prices!$A$3:$D$300,3,FALSE),0)*B99*G99*H99*24)</f>
        <v>13.440000000000001</v>
      </c>
      <c r="R99" s="388">
        <f>IF(OR(B99="",B99=0),0,
 IF(E99="Standard",IF($F$25="Yes",W99*B99*G99*H99*Prices!$H$27/30,(F99*B99*G99*H99*VLOOKUP(J99,Prices!$G$21:$H$23,2,FALSE)/30)), W99*B99*G99*H99*Prices!$H$17/30))</f>
        <v>27.925333333333338</v>
      </c>
      <c r="S99" s="390">
        <f t="shared" si="5"/>
        <v>41.365333333333339</v>
      </c>
      <c r="T99" s="524"/>
      <c r="U99" s="388">
        <f>IF(E99="Standard",F99*B99*VLOOKUP(J99,Prices!$G$21:$H$23,2,FALSE),F99*B99*Prices!$H$17)</f>
        <v>22.5</v>
      </c>
      <c r="V99" s="388">
        <f t="shared" si="6"/>
        <v>270</v>
      </c>
      <c r="W99" s="525">
        <v>704</v>
      </c>
      <c r="X99" s="388">
        <f t="shared" si="7"/>
        <v>2.3271111111111114</v>
      </c>
      <c r="Y99" s="388">
        <f t="shared" si="8"/>
        <v>24.827111111111112</v>
      </c>
      <c r="Z99" s="388">
        <f t="shared" si="9"/>
        <v>297.92533333333336</v>
      </c>
      <c r="AA99" s="388">
        <f t="shared" si="10"/>
        <v>13.440000000000001</v>
      </c>
      <c r="AB99" s="524"/>
      <c r="AC99" s="393">
        <f>IF(B99= 0,0,Prices!$AG$3*B99)</f>
        <v>25</v>
      </c>
      <c r="AD99" s="524"/>
      <c r="AE99" s="388">
        <f>IF((OR(B99="",B99=0)),0,B99*IFERROR(VLOOKUP(L99,Prices!$A$3:$D$300,3,FALSE),0)*24)</f>
        <v>0.48</v>
      </c>
      <c r="AF99" s="388">
        <f>IF((OR(B99="",B99=0)),0,IF(E99="Standard",IF($F$25="Yes",(W99*B99*Prices!$H$27)/30,(F99*B99*VLOOKUP(J99,Prices!$G$21:$H$23,2,FALSE)/30)),W99*B99*Prices!$H$17/30))</f>
        <v>0.9973333333333334</v>
      </c>
      <c r="AG99" s="388">
        <f t="shared" si="11"/>
        <v>1.4773333333333334</v>
      </c>
      <c r="AH99" s="526"/>
    </row>
    <row r="100" spans="1:34" s="527" customFormat="1">
      <c r="A100" s="514" t="s">
        <v>1050</v>
      </c>
      <c r="B100" s="515">
        <v>1</v>
      </c>
      <c r="C100" s="516" t="s">
        <v>229</v>
      </c>
      <c r="D100" s="517" t="s">
        <v>229</v>
      </c>
      <c r="E100" s="515" t="s">
        <v>195</v>
      </c>
      <c r="F100" s="518">
        <v>40</v>
      </c>
      <c r="G100" s="519">
        <v>4</v>
      </c>
      <c r="H100" s="519">
        <v>7</v>
      </c>
      <c r="I100" s="520" t="s">
        <v>194</v>
      </c>
      <c r="J100" s="521" t="s">
        <v>180</v>
      </c>
      <c r="K100" s="522" t="s">
        <v>150</v>
      </c>
      <c r="L100" s="118" t="str">
        <f t="shared" si="12"/>
        <v>Standard_A0</v>
      </c>
      <c r="M100" s="388">
        <f t="shared" si="13"/>
        <v>339.97866666666664</v>
      </c>
      <c r="N100" s="388">
        <f t="shared" si="14"/>
        <v>24</v>
      </c>
      <c r="O100" s="388">
        <f t="shared" si="15"/>
        <v>15.978666666666669</v>
      </c>
      <c r="P100" s="523"/>
      <c r="Q100" s="388">
        <f>IF((OR(B100="",B100=0)),0,IFERROR(VLOOKUP(L100,Prices!$A$3:$D$300,3,FALSE),0)*B100*G100*H100*24)</f>
        <v>13.440000000000001</v>
      </c>
      <c r="R100" s="388">
        <f>IF(OR(B100="",B100=0),0,
 IF(E100="Standard",IF($F$25="Yes",W100*B100*G100*H100*Prices!$H$27/30,(F100*B100*G100*H100*VLOOKUP(J100,Prices!$G$21:$H$23,2,FALSE)/30)), W100*B100*G100*H100*Prices!$H$17/30))</f>
        <v>2.5386666666666668</v>
      </c>
      <c r="S100" s="390">
        <f t="shared" si="5"/>
        <v>15.978666666666669</v>
      </c>
      <c r="T100" s="524"/>
      <c r="U100" s="388">
        <f>IF(E100="Standard",F100*B100*VLOOKUP(J100,Prices!$G$21:$H$23,2,FALSE),F100*B100*Prices!$H$17)</f>
        <v>2</v>
      </c>
      <c r="V100" s="388">
        <f t="shared" si="6"/>
        <v>24</v>
      </c>
      <c r="W100" s="525">
        <v>64</v>
      </c>
      <c r="X100" s="388">
        <f t="shared" si="7"/>
        <v>0.21155555555555558</v>
      </c>
      <c r="Y100" s="388">
        <f t="shared" si="8"/>
        <v>2.2115555555555555</v>
      </c>
      <c r="Z100" s="388">
        <f t="shared" si="9"/>
        <v>26.538666666666668</v>
      </c>
      <c r="AA100" s="388">
        <f t="shared" si="10"/>
        <v>13.440000000000001</v>
      </c>
      <c r="AB100" s="524"/>
      <c r="AC100" s="393">
        <f>IF(B100= 0,0,Prices!$AG$3*B100)</f>
        <v>25</v>
      </c>
      <c r="AD100" s="524"/>
      <c r="AE100" s="388">
        <f>IF((OR(B100="",B100=0)),0,B100*IFERROR(VLOOKUP(L100,Prices!$A$3:$D$300,3,FALSE),0)*24)</f>
        <v>0.48</v>
      </c>
      <c r="AF100" s="388">
        <f>IF((OR(B100="",B100=0)),0,IF(E100="Standard",IF($F$25="Yes",(W100*B100*Prices!$H$27)/30,(F100*B100*VLOOKUP(J100,Prices!$G$21:$H$23,2,FALSE)/30)),W100*B100*Prices!$H$17/30))</f>
        <v>9.0666666666666673E-2</v>
      </c>
      <c r="AG100" s="388">
        <f t="shared" si="11"/>
        <v>0.57066666666666666</v>
      </c>
      <c r="AH100" s="526"/>
    </row>
    <row r="101" spans="1:34" s="527" customFormat="1">
      <c r="A101" s="514" t="s">
        <v>1051</v>
      </c>
      <c r="B101" s="515">
        <v>1</v>
      </c>
      <c r="C101" s="516" t="s">
        <v>280</v>
      </c>
      <c r="D101" s="517" t="s">
        <v>280</v>
      </c>
      <c r="E101" s="515" t="s">
        <v>195</v>
      </c>
      <c r="F101" s="518">
        <v>1451</v>
      </c>
      <c r="G101" s="519">
        <v>4</v>
      </c>
      <c r="H101" s="519">
        <v>7</v>
      </c>
      <c r="I101" s="520" t="s">
        <v>194</v>
      </c>
      <c r="J101" s="521" t="s">
        <v>180</v>
      </c>
      <c r="K101" s="522" t="s">
        <v>150</v>
      </c>
      <c r="L101" s="118" t="str">
        <f t="shared" si="12"/>
        <v>Standard_A4</v>
      </c>
      <c r="M101" s="388">
        <f t="shared" si="13"/>
        <v>1521.4586666666664</v>
      </c>
      <c r="N101" s="388">
        <f t="shared" si="14"/>
        <v>870.59999999999991</v>
      </c>
      <c r="O101" s="388">
        <f t="shared" si="15"/>
        <v>350.85866666666664</v>
      </c>
      <c r="P101" s="523"/>
      <c r="Q101" s="388">
        <f>IF((OR(B101="",B101=0)),0,IFERROR(VLOOKUP(L101,Prices!$A$3:$D$300,3,FALSE),0)*B101*G101*H101*24)</f>
        <v>272.15999999999997</v>
      </c>
      <c r="R101" s="388">
        <f>IF(OR(B101="",B101=0),0,
 IF(E101="Standard",IF($F$25="Yes",W101*B101*G101*H101*Prices!$H$27/30,(F101*B101*G101*H101*VLOOKUP(J101,Prices!$G$21:$H$23,2,FALSE)/30)), W101*B101*G101*H101*Prices!$H$17/30))</f>
        <v>78.698666666666668</v>
      </c>
      <c r="S101" s="390">
        <f t="shared" si="5"/>
        <v>350.85866666666664</v>
      </c>
      <c r="T101" s="524"/>
      <c r="U101" s="388">
        <f>IF(E101="Standard",F101*B101*VLOOKUP(J101,Prices!$G$21:$H$23,2,FALSE),F101*B101*Prices!$H$17)</f>
        <v>72.55</v>
      </c>
      <c r="V101" s="388">
        <f t="shared" si="6"/>
        <v>870.59999999999991</v>
      </c>
      <c r="W101" s="525">
        <v>1984</v>
      </c>
      <c r="X101" s="388">
        <f t="shared" si="7"/>
        <v>6.5582222222222226</v>
      </c>
      <c r="Y101" s="388">
        <f t="shared" si="8"/>
        <v>79.10822222222221</v>
      </c>
      <c r="Z101" s="388">
        <f t="shared" si="9"/>
        <v>949.29866666666658</v>
      </c>
      <c r="AA101" s="388">
        <f t="shared" si="10"/>
        <v>272.15999999999997</v>
      </c>
      <c r="AB101" s="524"/>
      <c r="AC101" s="393">
        <f>IF(B101= 0,0,Prices!$AG$3*B101)</f>
        <v>25</v>
      </c>
      <c r="AD101" s="524"/>
      <c r="AE101" s="388">
        <f>IF((OR(B101="",B101=0)),0,B101*IFERROR(VLOOKUP(L101,Prices!$A$3:$D$300,3,FALSE),0)*24)</f>
        <v>9.7200000000000006</v>
      </c>
      <c r="AF101" s="388">
        <f>IF((OR(B101="",B101=0)),0,IF(E101="Standard",IF($F$25="Yes",(W101*B101*Prices!$H$27)/30,(F101*B101*VLOOKUP(J101,Prices!$G$21:$H$23,2,FALSE)/30)),W101*B101*Prices!$H$17/30))</f>
        <v>2.8106666666666671</v>
      </c>
      <c r="AG101" s="388">
        <f t="shared" si="11"/>
        <v>12.530666666666669</v>
      </c>
      <c r="AH101" s="526"/>
    </row>
    <row r="102" spans="1:34" s="527" customFormat="1">
      <c r="A102" s="514" t="s">
        <v>1052</v>
      </c>
      <c r="B102" s="515">
        <v>1</v>
      </c>
      <c r="C102" s="516" t="s">
        <v>280</v>
      </c>
      <c r="D102" s="517" t="s">
        <v>280</v>
      </c>
      <c r="E102" s="515" t="s">
        <v>195</v>
      </c>
      <c r="F102" s="518">
        <v>150</v>
      </c>
      <c r="G102" s="519">
        <v>4</v>
      </c>
      <c r="H102" s="519">
        <v>7</v>
      </c>
      <c r="I102" s="520" t="s">
        <v>194</v>
      </c>
      <c r="J102" s="521" t="s">
        <v>180</v>
      </c>
      <c r="K102" s="522" t="s">
        <v>150</v>
      </c>
      <c r="L102" s="118" t="str">
        <f t="shared" si="12"/>
        <v>Standard_A4</v>
      </c>
      <c r="M102" s="388">
        <f t="shared" si="13"/>
        <v>669.77599999999995</v>
      </c>
      <c r="N102" s="388">
        <f t="shared" si="14"/>
        <v>90</v>
      </c>
      <c r="O102" s="388">
        <f t="shared" si="15"/>
        <v>279.77599999999995</v>
      </c>
      <c r="P102" s="523"/>
      <c r="Q102" s="388">
        <f>IF((OR(B102="",B102=0)),0,IFERROR(VLOOKUP(L102,Prices!$A$3:$D$300,3,FALSE),0)*B102*G102*H102*24)</f>
        <v>272.15999999999997</v>
      </c>
      <c r="R102" s="388">
        <f>IF(OR(B102="",B102=0),0,
 IF(E102="Standard",IF($F$25="Yes",W102*B102*G102*H102*Prices!$H$27/30,(F102*B102*G102*H102*VLOOKUP(J102,Prices!$G$21:$H$23,2,FALSE)/30)), W102*B102*G102*H102*Prices!$H$17/30))</f>
        <v>7.6160000000000005</v>
      </c>
      <c r="S102" s="390">
        <f t="shared" si="5"/>
        <v>279.77599999999995</v>
      </c>
      <c r="T102" s="524"/>
      <c r="U102" s="388">
        <f>IF(E102="Standard",F102*B102*VLOOKUP(J102,Prices!$G$21:$H$23,2,FALSE),F102*B102*Prices!$H$17)</f>
        <v>7.5</v>
      </c>
      <c r="V102" s="388">
        <f t="shared" si="6"/>
        <v>90</v>
      </c>
      <c r="W102" s="525">
        <v>192</v>
      </c>
      <c r="X102" s="388">
        <f t="shared" si="7"/>
        <v>0.63466666666666671</v>
      </c>
      <c r="Y102" s="388">
        <f t="shared" si="8"/>
        <v>8.134666666666666</v>
      </c>
      <c r="Z102" s="388">
        <f t="shared" si="9"/>
        <v>97.616</v>
      </c>
      <c r="AA102" s="388">
        <f t="shared" si="10"/>
        <v>272.15999999999997</v>
      </c>
      <c r="AB102" s="524"/>
      <c r="AC102" s="393">
        <f>IF(B102= 0,0,Prices!$AG$3*B102)</f>
        <v>25</v>
      </c>
      <c r="AD102" s="524"/>
      <c r="AE102" s="388">
        <f>IF((OR(B102="",B102=0)),0,B102*IFERROR(VLOOKUP(L102,Prices!$A$3:$D$300,3,FALSE),0)*24)</f>
        <v>9.7200000000000006</v>
      </c>
      <c r="AF102" s="388">
        <f>IF((OR(B102="",B102=0)),0,IF(E102="Standard",IF($F$25="Yes",(W102*B102*Prices!$H$27)/30,(F102*B102*VLOOKUP(J102,Prices!$G$21:$H$23,2,FALSE)/30)),W102*B102*Prices!$H$17/30))</f>
        <v>0.27200000000000002</v>
      </c>
      <c r="AG102" s="388">
        <f t="shared" si="11"/>
        <v>9.9920000000000009</v>
      </c>
      <c r="AH102" s="526"/>
    </row>
    <row r="103" spans="1:34" s="527" customFormat="1">
      <c r="A103" s="514" t="s">
        <v>1053</v>
      </c>
      <c r="B103" s="515">
        <v>1</v>
      </c>
      <c r="C103" s="516" t="s">
        <v>280</v>
      </c>
      <c r="D103" s="517" t="s">
        <v>280</v>
      </c>
      <c r="E103" s="515" t="s">
        <v>195</v>
      </c>
      <c r="F103" s="518">
        <v>251</v>
      </c>
      <c r="G103" s="519">
        <v>4</v>
      </c>
      <c r="H103" s="519">
        <v>7</v>
      </c>
      <c r="I103" s="520" t="s">
        <v>194</v>
      </c>
      <c r="J103" s="521" t="s">
        <v>180</v>
      </c>
      <c r="K103" s="522" t="s">
        <v>150</v>
      </c>
      <c r="L103" s="118" t="str">
        <f t="shared" ref="L103:L124" si="16">IF(AND(K103="No",ISNUMBER(SEARCH("Windows",I103))),_xlfn.CONCAT(D103,"_Windows"),D103)</f>
        <v>Standard_A4</v>
      </c>
      <c r="M103" s="388">
        <f t="shared" ref="M103:M124" si="17">IF($F$27="Month",N103+O103+(AC103*B103),N103+O103+(AC103*B103*12))</f>
        <v>735.45333333333338</v>
      </c>
      <c r="N103" s="388">
        <f t="shared" ref="N103:N124" si="18">IF($F$27="Month",U103,U103*12)</f>
        <v>150.60000000000002</v>
      </c>
      <c r="O103" s="388">
        <f t="shared" ref="O103:O124" si="19">IF($F$27="Month",Q103/12+R103/12,Q103+R103)</f>
        <v>284.8533333333333</v>
      </c>
      <c r="P103" s="523"/>
      <c r="Q103" s="388">
        <f>IF((OR(B103="",B103=0)),0,IFERROR(VLOOKUP(L103,Prices!$A$3:$D$300,3,FALSE),0)*B103*G103*H103*24)</f>
        <v>272.15999999999997</v>
      </c>
      <c r="R103" s="388">
        <f>IF(OR(B103="",B103=0),0,
 IF(E103="Standard",IF($F$25="Yes",W103*B103*G103*H103*Prices!$H$27/30,(F103*B103*G103*H103*VLOOKUP(J103,Prices!$G$21:$H$23,2,FALSE)/30)), W103*B103*G103*H103*Prices!$H$17/30))</f>
        <v>12.693333333333333</v>
      </c>
      <c r="S103" s="390">
        <f t="shared" si="5"/>
        <v>284.8533333333333</v>
      </c>
      <c r="T103" s="524"/>
      <c r="U103" s="388">
        <f>IF(E103="Standard",F103*B103*VLOOKUP(J103,Prices!$G$21:$H$23,2,FALSE),F103*B103*Prices!$H$17)</f>
        <v>12.55</v>
      </c>
      <c r="V103" s="388">
        <f t="shared" si="6"/>
        <v>150.60000000000002</v>
      </c>
      <c r="W103" s="525">
        <v>320</v>
      </c>
      <c r="X103" s="388">
        <f t="shared" si="7"/>
        <v>1.0577777777777777</v>
      </c>
      <c r="Y103" s="388">
        <f t="shared" si="8"/>
        <v>13.607777777777779</v>
      </c>
      <c r="Z103" s="388">
        <f t="shared" si="9"/>
        <v>163.29333333333335</v>
      </c>
      <c r="AA103" s="388">
        <f t="shared" si="10"/>
        <v>272.15999999999997</v>
      </c>
      <c r="AB103" s="524"/>
      <c r="AC103" s="393">
        <f>IF(B103= 0,0,Prices!$AG$3*B103)</f>
        <v>25</v>
      </c>
      <c r="AD103" s="524"/>
      <c r="AE103" s="388">
        <f>IF((OR(B103="",B103=0)),0,B103*IFERROR(VLOOKUP(L103,Prices!$A$3:$D$300,3,FALSE),0)*24)</f>
        <v>9.7200000000000006</v>
      </c>
      <c r="AF103" s="388">
        <f>IF((OR(B103="",B103=0)),0,IF(E103="Standard",IF($F$25="Yes",(W103*B103*Prices!$H$27)/30,(F103*B103*VLOOKUP(J103,Prices!$G$21:$H$23,2,FALSE)/30)),W103*B103*Prices!$H$17/30))</f>
        <v>0.45333333333333337</v>
      </c>
      <c r="AG103" s="388">
        <f t="shared" si="11"/>
        <v>10.173333333333334</v>
      </c>
      <c r="AH103" s="526"/>
    </row>
    <row r="104" spans="1:34" s="527" customFormat="1">
      <c r="A104" s="514" t="s">
        <v>1054</v>
      </c>
      <c r="B104" s="515">
        <v>1</v>
      </c>
      <c r="C104" s="516" t="s">
        <v>276</v>
      </c>
      <c r="D104" s="517" t="s">
        <v>276</v>
      </c>
      <c r="E104" s="515" t="s">
        <v>195</v>
      </c>
      <c r="F104" s="518">
        <v>450</v>
      </c>
      <c r="G104" s="519">
        <v>4</v>
      </c>
      <c r="H104" s="519">
        <v>7</v>
      </c>
      <c r="I104" s="520" t="s">
        <v>194</v>
      </c>
      <c r="J104" s="521" t="s">
        <v>180</v>
      </c>
      <c r="K104" s="522" t="s">
        <v>150</v>
      </c>
      <c r="L104" s="118" t="str">
        <f t="shared" si="16"/>
        <v>Standard_A2</v>
      </c>
      <c r="M104" s="388">
        <f t="shared" si="17"/>
        <v>611.36533333333341</v>
      </c>
      <c r="N104" s="388">
        <f t="shared" si="18"/>
        <v>270</v>
      </c>
      <c r="O104" s="388">
        <f t="shared" si="19"/>
        <v>41.365333333333339</v>
      </c>
      <c r="P104" s="523"/>
      <c r="Q104" s="388">
        <f>IF((OR(B104="",B104=0)),0,IFERROR(VLOOKUP(L104,Prices!$A$3:$D$300,3,FALSE),0)*B104*G104*H104*24)</f>
        <v>13.440000000000001</v>
      </c>
      <c r="R104" s="388">
        <f>IF(OR(B104="",B104=0),0,
 IF(E104="Standard",IF($F$25="Yes",W104*B104*G104*H104*Prices!$H$27/30,(F104*B104*G104*H104*VLOOKUP(J104,Prices!$G$21:$H$23,2,FALSE)/30)), W104*B104*G104*H104*Prices!$H$17/30))</f>
        <v>27.925333333333338</v>
      </c>
      <c r="S104" s="390">
        <f t="shared" si="5"/>
        <v>41.365333333333339</v>
      </c>
      <c r="T104" s="524"/>
      <c r="U104" s="388">
        <f>IF(E104="Standard",F104*B104*VLOOKUP(J104,Prices!$G$21:$H$23,2,FALSE),F104*B104*Prices!$H$17)</f>
        <v>22.5</v>
      </c>
      <c r="V104" s="388">
        <f t="shared" si="6"/>
        <v>270</v>
      </c>
      <c r="W104" s="525">
        <v>704</v>
      </c>
      <c r="X104" s="388">
        <f t="shared" si="7"/>
        <v>2.3271111111111114</v>
      </c>
      <c r="Y104" s="388">
        <f t="shared" si="8"/>
        <v>24.827111111111112</v>
      </c>
      <c r="Z104" s="388">
        <f t="shared" si="9"/>
        <v>297.92533333333336</v>
      </c>
      <c r="AA104" s="388">
        <f t="shared" si="10"/>
        <v>13.440000000000001</v>
      </c>
      <c r="AB104" s="524"/>
      <c r="AC104" s="393">
        <f>IF(B104= 0,0,Prices!$AG$3*B104)</f>
        <v>25</v>
      </c>
      <c r="AD104" s="524"/>
      <c r="AE104" s="388">
        <f>IF((OR(B104="",B104=0)),0,B104*IFERROR(VLOOKUP(L104,Prices!$A$3:$D$300,3,FALSE),0)*24)</f>
        <v>0.48</v>
      </c>
      <c r="AF104" s="388">
        <f>IF((OR(B104="",B104=0)),0,IF(E104="Standard",IF($F$25="Yes",(W104*B104*Prices!$H$27)/30,(F104*B104*VLOOKUP(J104,Prices!$G$21:$H$23,2,FALSE)/30)),W104*B104*Prices!$H$17/30))</f>
        <v>0.9973333333333334</v>
      </c>
      <c r="AG104" s="388">
        <f t="shared" si="11"/>
        <v>1.4773333333333334</v>
      </c>
      <c r="AH104" s="526"/>
    </row>
    <row r="105" spans="1:34" s="527" customFormat="1">
      <c r="A105" s="514" t="s">
        <v>1055</v>
      </c>
      <c r="B105" s="515">
        <v>1</v>
      </c>
      <c r="C105" s="516" t="s">
        <v>342</v>
      </c>
      <c r="D105" s="517" t="s">
        <v>342</v>
      </c>
      <c r="E105" s="515" t="s">
        <v>195</v>
      </c>
      <c r="F105" s="518">
        <v>7268</v>
      </c>
      <c r="G105" s="519">
        <v>4</v>
      </c>
      <c r="H105" s="519">
        <v>7</v>
      </c>
      <c r="I105" s="520" t="s">
        <v>194</v>
      </c>
      <c r="J105" s="521" t="s">
        <v>180</v>
      </c>
      <c r="K105" s="522" t="s">
        <v>150</v>
      </c>
      <c r="L105" s="118" t="str">
        <f t="shared" si="16"/>
        <v>Standard_D5_v2</v>
      </c>
      <c r="M105" s="388">
        <f t="shared" si="17"/>
        <v>5073.1840000000002</v>
      </c>
      <c r="N105" s="388">
        <f t="shared" si="18"/>
        <v>4360.8</v>
      </c>
      <c r="O105" s="388">
        <f t="shared" si="19"/>
        <v>412.38400000000001</v>
      </c>
      <c r="P105" s="523"/>
      <c r="Q105" s="388">
        <f>IF((OR(B105="",B105=0)),0,IFERROR(VLOOKUP(L105,Prices!$A$3:$D$300,3,FALSE),0)*B105*G105*H105*24)</f>
        <v>122.976</v>
      </c>
      <c r="R105" s="388">
        <f>IF(OR(B105="",B105=0),0,
 IF(E105="Standard",IF($F$25="Yes",W105*B105*G105*H105*Prices!$H$27/30,(F105*B105*G105*H105*VLOOKUP(J105,Prices!$G$21:$H$23,2,FALSE)/30)), W105*B105*G105*H105*Prices!$H$17/30))</f>
        <v>289.40800000000002</v>
      </c>
      <c r="S105" s="390">
        <f t="shared" si="5"/>
        <v>412.38400000000001</v>
      </c>
      <c r="T105" s="524"/>
      <c r="U105" s="388">
        <f>IF(E105="Standard",F105*B105*VLOOKUP(J105,Prices!$G$21:$H$23,2,FALSE),F105*B105*Prices!$H$17)</f>
        <v>363.40000000000003</v>
      </c>
      <c r="V105" s="388">
        <f t="shared" si="6"/>
        <v>4360.8</v>
      </c>
      <c r="W105" s="525">
        <v>7296</v>
      </c>
      <c r="X105" s="388">
        <f t="shared" si="7"/>
        <v>24.117333333333335</v>
      </c>
      <c r="Y105" s="388">
        <f t="shared" si="8"/>
        <v>387.5173333333334</v>
      </c>
      <c r="Z105" s="388">
        <f t="shared" si="9"/>
        <v>4650.2080000000005</v>
      </c>
      <c r="AA105" s="388">
        <f t="shared" si="10"/>
        <v>122.976</v>
      </c>
      <c r="AB105" s="524"/>
      <c r="AC105" s="393">
        <f>IF(B105= 0,0,Prices!$AG$3*B105)</f>
        <v>25</v>
      </c>
      <c r="AD105" s="524"/>
      <c r="AE105" s="388">
        <f>IF((OR(B105="",B105=0)),0,B105*IFERROR(VLOOKUP(L105,Prices!$A$3:$D$300,3,FALSE),0)*24)</f>
        <v>4.3919999999999995</v>
      </c>
      <c r="AF105" s="388">
        <f>IF((OR(B105="",B105=0)),0,IF(E105="Standard",IF($F$25="Yes",(W105*B105*Prices!$H$27)/30,(F105*B105*VLOOKUP(J105,Prices!$G$21:$H$23,2,FALSE)/30)),W105*B105*Prices!$H$17/30))</f>
        <v>10.336000000000002</v>
      </c>
      <c r="AG105" s="388">
        <f t="shared" si="11"/>
        <v>14.728000000000002</v>
      </c>
      <c r="AH105" s="526"/>
    </row>
    <row r="106" spans="1:34" s="527" customFormat="1">
      <c r="A106" s="514" t="s">
        <v>1056</v>
      </c>
      <c r="B106" s="515">
        <v>1</v>
      </c>
      <c r="C106" s="516" t="s">
        <v>352</v>
      </c>
      <c r="D106" s="517" t="s">
        <v>352</v>
      </c>
      <c r="E106" s="528" t="s">
        <v>3</v>
      </c>
      <c r="F106" s="518">
        <v>3586</v>
      </c>
      <c r="G106" s="519">
        <v>4</v>
      </c>
      <c r="H106" s="519">
        <v>7</v>
      </c>
      <c r="I106" s="520" t="s">
        <v>194</v>
      </c>
      <c r="J106" s="521" t="s">
        <v>180</v>
      </c>
      <c r="K106" s="522" t="s">
        <v>150</v>
      </c>
      <c r="L106" s="118" t="str">
        <f t="shared" si="16"/>
        <v>Standard_DS5_v2</v>
      </c>
      <c r="M106" s="388">
        <f t="shared" si="17"/>
        <v>7049.5680000000002</v>
      </c>
      <c r="N106" s="388">
        <f t="shared" si="18"/>
        <v>6024.4800000000005</v>
      </c>
      <c r="O106" s="388">
        <f t="shared" si="19"/>
        <v>725.08799999999997</v>
      </c>
      <c r="P106" s="523"/>
      <c r="Q106" s="388">
        <f>IF((OR(B106="",B106=0)),0,IFERROR(VLOOKUP(L106,Prices!$A$3:$D$300,3,FALSE),0)*B106*G106*H106*24)</f>
        <v>122.976</v>
      </c>
      <c r="R106" s="388">
        <f>IF(OR(B106="",B106=0),0,
 IF(E106="Standard",IF($F$25="Yes",W106*B106*G106*H106*Prices!$H$27/30,(F106*B106*G106*H106*VLOOKUP(J106,Prices!$G$21:$H$23,2,FALSE)/30)), W106*B106*G106*H106*Prices!$H$17/30))</f>
        <v>602.11199999999997</v>
      </c>
      <c r="S106" s="390">
        <f t="shared" si="5"/>
        <v>725.08799999999997</v>
      </c>
      <c r="T106" s="524"/>
      <c r="U106" s="388">
        <f>IF(E106="Standard",F106*B106*VLOOKUP(J106,Prices!$G$21:$H$23,2,FALSE),F106*B106*Prices!$H$17)</f>
        <v>502.04</v>
      </c>
      <c r="V106" s="388">
        <f t="shared" si="6"/>
        <v>6024.4800000000005</v>
      </c>
      <c r="W106" s="525">
        <v>4608</v>
      </c>
      <c r="X106" s="388">
        <f t="shared" si="7"/>
        <v>50.175999999999995</v>
      </c>
      <c r="Y106" s="388">
        <f t="shared" si="8"/>
        <v>552.21600000000001</v>
      </c>
      <c r="Z106" s="388">
        <f t="shared" si="9"/>
        <v>6626.5920000000006</v>
      </c>
      <c r="AA106" s="388">
        <f t="shared" si="10"/>
        <v>122.976</v>
      </c>
      <c r="AB106" s="524"/>
      <c r="AC106" s="393">
        <f>IF(B106= 0,0,Prices!$AG$3*B106)</f>
        <v>25</v>
      </c>
      <c r="AD106" s="524"/>
      <c r="AE106" s="388">
        <f>IF((OR(B106="",B106=0)),0,B106*IFERROR(VLOOKUP(L106,Prices!$A$3:$D$300,3,FALSE),0)*24)</f>
        <v>4.3919999999999995</v>
      </c>
      <c r="AF106" s="388">
        <f>IF((OR(B106="",B106=0)),0,IF(E106="Standard",IF($F$25="Yes",(W106*B106*Prices!$H$27)/30,(F106*B106*VLOOKUP(J106,Prices!$G$21:$H$23,2,FALSE)/30)),W106*B106*Prices!$H$17/30))</f>
        <v>21.504000000000005</v>
      </c>
      <c r="AG106" s="388">
        <f t="shared" si="11"/>
        <v>25.896000000000004</v>
      </c>
      <c r="AH106" s="526"/>
    </row>
    <row r="107" spans="1:34" s="527" customFormat="1">
      <c r="A107" s="514" t="s">
        <v>1057</v>
      </c>
      <c r="B107" s="515">
        <v>1</v>
      </c>
      <c r="C107" s="516" t="s">
        <v>278</v>
      </c>
      <c r="D107" s="517" t="s">
        <v>278</v>
      </c>
      <c r="E107" s="515" t="s">
        <v>195</v>
      </c>
      <c r="F107" s="518">
        <v>450</v>
      </c>
      <c r="G107" s="519">
        <v>4</v>
      </c>
      <c r="H107" s="519">
        <v>7</v>
      </c>
      <c r="I107" s="520" t="s">
        <v>194</v>
      </c>
      <c r="J107" s="521" t="s">
        <v>180</v>
      </c>
      <c r="K107" s="522" t="s">
        <v>150</v>
      </c>
      <c r="L107" s="118" t="str">
        <f t="shared" si="16"/>
        <v>Standard_A3</v>
      </c>
      <c r="M107" s="388">
        <f t="shared" si="17"/>
        <v>726.0533333333334</v>
      </c>
      <c r="N107" s="388">
        <f t="shared" si="18"/>
        <v>270</v>
      </c>
      <c r="O107" s="388">
        <f t="shared" si="19"/>
        <v>156.05333333333337</v>
      </c>
      <c r="P107" s="523"/>
      <c r="Q107" s="388">
        <f>IF((OR(B107="",B107=0)),0,IFERROR(VLOOKUP(L107,Prices!$A$3:$D$300,3,FALSE),0)*B107*G107*H107*24)</f>
        <v>135.74400000000003</v>
      </c>
      <c r="R107" s="388">
        <f>IF(OR(B107="",B107=0),0,
 IF(E107="Standard",IF($F$25="Yes",W107*B107*G107*H107*Prices!$H$27/30,(F107*B107*G107*H107*VLOOKUP(J107,Prices!$G$21:$H$23,2,FALSE)/30)), W107*B107*G107*H107*Prices!$H$17/30))</f>
        <v>20.309333333333335</v>
      </c>
      <c r="S107" s="390">
        <f t="shared" si="5"/>
        <v>156.05333333333337</v>
      </c>
      <c r="T107" s="524"/>
      <c r="U107" s="388">
        <f>IF(E107="Standard",F107*B107*VLOOKUP(J107,Prices!$G$21:$H$23,2,FALSE),F107*B107*Prices!$H$17)</f>
        <v>22.5</v>
      </c>
      <c r="V107" s="388">
        <f t="shared" si="6"/>
        <v>270</v>
      </c>
      <c r="W107" s="525">
        <v>512</v>
      </c>
      <c r="X107" s="388">
        <f t="shared" si="7"/>
        <v>1.6924444444444446</v>
      </c>
      <c r="Y107" s="388">
        <f t="shared" si="8"/>
        <v>24.192444444444444</v>
      </c>
      <c r="Z107" s="388">
        <f t="shared" si="9"/>
        <v>290.30933333333331</v>
      </c>
      <c r="AA107" s="388">
        <f t="shared" si="10"/>
        <v>135.74400000000003</v>
      </c>
      <c r="AB107" s="524"/>
      <c r="AC107" s="393">
        <f>IF(B107= 0,0,Prices!$AG$3*B107)</f>
        <v>25</v>
      </c>
      <c r="AD107" s="524"/>
      <c r="AE107" s="388">
        <f>IF((OR(B107="",B107=0)),0,B107*IFERROR(VLOOKUP(L107,Prices!$A$3:$D$300,3,FALSE),0)*24)</f>
        <v>4.8480000000000008</v>
      </c>
      <c r="AF107" s="388">
        <f>IF((OR(B107="",B107=0)),0,IF(E107="Standard",IF($F$25="Yes",(W107*B107*Prices!$H$27)/30,(F107*B107*VLOOKUP(J107,Prices!$G$21:$H$23,2,FALSE)/30)),W107*B107*Prices!$H$17/30))</f>
        <v>0.72533333333333339</v>
      </c>
      <c r="AG107" s="388">
        <f t="shared" si="11"/>
        <v>5.5733333333333341</v>
      </c>
      <c r="AH107" s="526"/>
    </row>
    <row r="108" spans="1:34" s="527" customFormat="1">
      <c r="A108" s="514" t="s">
        <v>1058</v>
      </c>
      <c r="B108" s="515">
        <v>1</v>
      </c>
      <c r="C108" s="516" t="s">
        <v>352</v>
      </c>
      <c r="D108" s="517" t="s">
        <v>352</v>
      </c>
      <c r="E108" s="528" t="s">
        <v>3</v>
      </c>
      <c r="F108" s="518">
        <v>150</v>
      </c>
      <c r="G108" s="519">
        <v>4</v>
      </c>
      <c r="H108" s="519">
        <v>7</v>
      </c>
      <c r="I108" s="520" t="s">
        <v>194</v>
      </c>
      <c r="J108" s="521" t="s">
        <v>180</v>
      </c>
      <c r="K108" s="522" t="s">
        <v>150</v>
      </c>
      <c r="L108" s="118" t="str">
        <f t="shared" si="16"/>
        <v>Standard_DS5_v2</v>
      </c>
      <c r="M108" s="388">
        <f t="shared" si="17"/>
        <v>825.50400000000013</v>
      </c>
      <c r="N108" s="388">
        <f t="shared" si="18"/>
        <v>252.00000000000006</v>
      </c>
      <c r="O108" s="388">
        <f t="shared" si="19"/>
        <v>273.50400000000002</v>
      </c>
      <c r="P108" s="523"/>
      <c r="Q108" s="388">
        <f>IF((OR(B108="",B108=0)),0,IFERROR(VLOOKUP(L108,Prices!$A$3:$D$300,3,FALSE),0)*B108*G108*H108*24)</f>
        <v>122.976</v>
      </c>
      <c r="R108" s="388">
        <f>IF(OR(B108="",B108=0),0,
 IF(E108="Standard",IF($F$25="Yes",W108*B108*G108*H108*Prices!$H$27/30,(F108*B108*G108*H108*VLOOKUP(J108,Prices!$G$21:$H$23,2,FALSE)/30)), W108*B108*G108*H108*Prices!$H$17/30))</f>
        <v>150.52799999999999</v>
      </c>
      <c r="S108" s="390">
        <f t="shared" si="5"/>
        <v>273.50400000000002</v>
      </c>
      <c r="T108" s="524"/>
      <c r="U108" s="388">
        <f>IF(E108="Standard",F108*B108*VLOOKUP(J108,Prices!$G$21:$H$23,2,FALSE),F108*B108*Prices!$H$17)</f>
        <v>21.000000000000004</v>
      </c>
      <c r="V108" s="388">
        <f t="shared" si="6"/>
        <v>252.00000000000006</v>
      </c>
      <c r="W108" s="525">
        <v>1152</v>
      </c>
      <c r="X108" s="388">
        <f t="shared" si="7"/>
        <v>12.543999999999999</v>
      </c>
      <c r="Y108" s="388">
        <f t="shared" si="8"/>
        <v>33.544000000000004</v>
      </c>
      <c r="Z108" s="388">
        <f t="shared" si="9"/>
        <v>402.52800000000002</v>
      </c>
      <c r="AA108" s="388">
        <f t="shared" si="10"/>
        <v>122.976</v>
      </c>
      <c r="AB108" s="524"/>
      <c r="AC108" s="393">
        <f>IF(B108= 0,0,Prices!$AG$3*B108)</f>
        <v>25</v>
      </c>
      <c r="AD108" s="524"/>
      <c r="AE108" s="388">
        <f>IF((OR(B108="",B108=0)),0,B108*IFERROR(VLOOKUP(L108,Prices!$A$3:$D$300,3,FALSE),0)*24)</f>
        <v>4.3919999999999995</v>
      </c>
      <c r="AF108" s="388">
        <f>IF((OR(B108="",B108=0)),0,IF(E108="Standard",IF($F$25="Yes",(W108*B108*Prices!$H$27)/30,(F108*B108*VLOOKUP(J108,Prices!$G$21:$H$23,2,FALSE)/30)),W108*B108*Prices!$H$17/30))</f>
        <v>5.3760000000000012</v>
      </c>
      <c r="AG108" s="388">
        <f t="shared" si="11"/>
        <v>9.7680000000000007</v>
      </c>
      <c r="AH108" s="526"/>
    </row>
    <row r="109" spans="1:34" s="527" customFormat="1">
      <c r="A109" s="514" t="s">
        <v>1059</v>
      </c>
      <c r="B109" s="515">
        <v>1</v>
      </c>
      <c r="C109" s="516" t="s">
        <v>342</v>
      </c>
      <c r="D109" s="517" t="s">
        <v>342</v>
      </c>
      <c r="E109" s="515" t="s">
        <v>195</v>
      </c>
      <c r="F109" s="518">
        <v>9405</v>
      </c>
      <c r="G109" s="519">
        <v>4</v>
      </c>
      <c r="H109" s="519">
        <v>7</v>
      </c>
      <c r="I109" s="520" t="s">
        <v>194</v>
      </c>
      <c r="J109" s="521" t="s">
        <v>180</v>
      </c>
      <c r="K109" s="522" t="s">
        <v>150</v>
      </c>
      <c r="L109" s="118" t="str">
        <f t="shared" si="16"/>
        <v>Standard_D5_v2</v>
      </c>
      <c r="M109" s="388">
        <f t="shared" si="17"/>
        <v>6474.7013333333334</v>
      </c>
      <c r="N109" s="388">
        <f t="shared" si="18"/>
        <v>5643</v>
      </c>
      <c r="O109" s="388">
        <f t="shared" si="19"/>
        <v>531.70133333333342</v>
      </c>
      <c r="P109" s="523"/>
      <c r="Q109" s="388">
        <f>IF((OR(B109="",B109=0)),0,IFERROR(VLOOKUP(L109,Prices!$A$3:$D$300,3,FALSE),0)*B109*G109*H109*24)</f>
        <v>122.976</v>
      </c>
      <c r="R109" s="388">
        <f>IF(OR(B109="",B109=0),0,
 IF(E109="Standard",IF($F$25="Yes",W109*B109*G109*H109*Prices!$H$27/30,(F109*B109*G109*H109*VLOOKUP(J109,Prices!$G$21:$H$23,2,FALSE)/30)), W109*B109*G109*H109*Prices!$H$17/30))</f>
        <v>408.72533333333337</v>
      </c>
      <c r="S109" s="390">
        <f t="shared" si="5"/>
        <v>531.70133333333342</v>
      </c>
      <c r="T109" s="524"/>
      <c r="U109" s="388">
        <f>IF(E109="Standard",F109*B109*VLOOKUP(J109,Prices!$G$21:$H$23,2,FALSE),F109*B109*Prices!$H$17)</f>
        <v>470.25</v>
      </c>
      <c r="V109" s="388">
        <f t="shared" si="6"/>
        <v>5643</v>
      </c>
      <c r="W109" s="525">
        <v>10304</v>
      </c>
      <c r="X109" s="388">
        <f t="shared" si="7"/>
        <v>34.06044444444445</v>
      </c>
      <c r="Y109" s="388">
        <f t="shared" si="8"/>
        <v>504.3104444444445</v>
      </c>
      <c r="Z109" s="388">
        <f t="shared" si="9"/>
        <v>6051.7253333333338</v>
      </c>
      <c r="AA109" s="388">
        <f t="shared" si="10"/>
        <v>122.976</v>
      </c>
      <c r="AB109" s="524"/>
      <c r="AC109" s="393">
        <f>IF(B109= 0,0,Prices!$AG$3*B109)</f>
        <v>25</v>
      </c>
      <c r="AD109" s="524"/>
      <c r="AE109" s="388">
        <f>IF((OR(B109="",B109=0)),0,B109*IFERROR(VLOOKUP(L109,Prices!$A$3:$D$300,3,FALSE),0)*24)</f>
        <v>4.3919999999999995</v>
      </c>
      <c r="AF109" s="388">
        <f>IF((OR(B109="",B109=0)),0,IF(E109="Standard",IF($F$25="Yes",(W109*B109*Prices!$H$27)/30,(F109*B109*VLOOKUP(J109,Prices!$G$21:$H$23,2,FALSE)/30)),W109*B109*Prices!$H$17/30))</f>
        <v>14.597333333333333</v>
      </c>
      <c r="AG109" s="388">
        <f t="shared" si="11"/>
        <v>18.989333333333335</v>
      </c>
      <c r="AH109" s="526"/>
    </row>
    <row r="110" spans="1:34" s="527" customFormat="1">
      <c r="A110" s="514" t="s">
        <v>1060</v>
      </c>
      <c r="B110" s="515">
        <v>1</v>
      </c>
      <c r="C110" s="516" t="s">
        <v>280</v>
      </c>
      <c r="D110" s="517" t="s">
        <v>280</v>
      </c>
      <c r="E110" s="515" t="s">
        <v>195</v>
      </c>
      <c r="F110" s="518">
        <v>1450</v>
      </c>
      <c r="G110" s="519">
        <v>4</v>
      </c>
      <c r="H110" s="519">
        <v>7</v>
      </c>
      <c r="I110" s="520" t="s">
        <v>194</v>
      </c>
      <c r="J110" s="521" t="s">
        <v>180</v>
      </c>
      <c r="K110" s="522" t="s">
        <v>150</v>
      </c>
      <c r="L110" s="118" t="str">
        <f t="shared" si="16"/>
        <v>Standard_A4</v>
      </c>
      <c r="M110" s="388">
        <f t="shared" si="17"/>
        <v>1531.0133333333333</v>
      </c>
      <c r="N110" s="388">
        <f t="shared" si="18"/>
        <v>870</v>
      </c>
      <c r="O110" s="388">
        <f t="shared" si="19"/>
        <v>361.01333333333332</v>
      </c>
      <c r="P110" s="523"/>
      <c r="Q110" s="388">
        <f>IF((OR(B110="",B110=0)),0,IFERROR(VLOOKUP(L110,Prices!$A$3:$D$300,3,FALSE),0)*B110*G110*H110*24)</f>
        <v>272.15999999999997</v>
      </c>
      <c r="R110" s="388">
        <f>IF(OR(B110="",B110=0),0,
 IF(E110="Standard",IF($F$25="Yes",W110*B110*G110*H110*Prices!$H$27/30,(F110*B110*G110*H110*VLOOKUP(J110,Prices!$G$21:$H$23,2,FALSE)/30)), W110*B110*G110*H110*Prices!$H$17/30))</f>
        <v>88.853333333333339</v>
      </c>
      <c r="S110" s="390">
        <f t="shared" si="5"/>
        <v>361.01333333333332</v>
      </c>
      <c r="T110" s="524"/>
      <c r="U110" s="388">
        <f>IF(E110="Standard",F110*B110*VLOOKUP(J110,Prices!$G$21:$H$23,2,FALSE),F110*B110*Prices!$H$17)</f>
        <v>72.5</v>
      </c>
      <c r="V110" s="388">
        <f t="shared" si="6"/>
        <v>870</v>
      </c>
      <c r="W110" s="525">
        <v>2240</v>
      </c>
      <c r="X110" s="388">
        <f t="shared" si="7"/>
        <v>7.4044444444444446</v>
      </c>
      <c r="Y110" s="388">
        <f t="shared" si="8"/>
        <v>79.904444444444451</v>
      </c>
      <c r="Z110" s="388">
        <f t="shared" si="9"/>
        <v>958.85333333333335</v>
      </c>
      <c r="AA110" s="388">
        <f t="shared" si="10"/>
        <v>272.15999999999997</v>
      </c>
      <c r="AB110" s="524"/>
      <c r="AC110" s="393">
        <f>IF(B110= 0,0,Prices!$AG$3*B110)</f>
        <v>25</v>
      </c>
      <c r="AD110" s="524"/>
      <c r="AE110" s="388">
        <f>IF((OR(B110="",B110=0)),0,B110*IFERROR(VLOOKUP(L110,Prices!$A$3:$D$300,3,FALSE),0)*24)</f>
        <v>9.7200000000000006</v>
      </c>
      <c r="AF110" s="388">
        <f>IF((OR(B110="",B110=0)),0,IF(E110="Standard",IF($F$25="Yes",(W110*B110*Prices!$H$27)/30,(F110*B110*VLOOKUP(J110,Prices!$G$21:$H$23,2,FALSE)/30)),W110*B110*Prices!$H$17/30))</f>
        <v>3.1733333333333333</v>
      </c>
      <c r="AG110" s="388">
        <f t="shared" si="11"/>
        <v>12.893333333333334</v>
      </c>
      <c r="AH110" s="526"/>
    </row>
    <row r="111" spans="1:34" s="527" customFormat="1">
      <c r="A111" s="514" t="s">
        <v>1061</v>
      </c>
      <c r="B111" s="515">
        <v>1</v>
      </c>
      <c r="C111" s="516" t="s">
        <v>377</v>
      </c>
      <c r="D111" s="517" t="s">
        <v>377</v>
      </c>
      <c r="E111" s="528" t="s">
        <v>3</v>
      </c>
      <c r="F111" s="518">
        <v>3322</v>
      </c>
      <c r="G111" s="519">
        <v>4</v>
      </c>
      <c r="H111" s="519">
        <v>7</v>
      </c>
      <c r="I111" s="520" t="s">
        <v>194</v>
      </c>
      <c r="J111" s="521" t="s">
        <v>180</v>
      </c>
      <c r="K111" s="522" t="s">
        <v>150</v>
      </c>
      <c r="L111" s="118" t="str">
        <f t="shared" si="16"/>
        <v>Standard_GS5</v>
      </c>
      <c r="M111" s="388">
        <f t="shared" si="17"/>
        <v>11736.712</v>
      </c>
      <c r="N111" s="388">
        <f t="shared" si="18"/>
        <v>5580.9600000000009</v>
      </c>
      <c r="O111" s="388">
        <f t="shared" si="19"/>
        <v>5855.7519999999995</v>
      </c>
      <c r="P111" s="523"/>
      <c r="Q111" s="388">
        <f>IF((OR(B111="",B111=0)),0,IFERROR(VLOOKUP(L111,Prices!$A$3:$D$300,3,FALSE),0)*B111*G111*H111*24)</f>
        <v>5270.4959999999992</v>
      </c>
      <c r="R111" s="388">
        <f>IF(OR(B111="",B111=0),0,
 IF(E111="Standard",IF($F$25="Yes",W111*B111*G111*H111*Prices!$H$27/30,(F111*B111*G111*H111*VLOOKUP(J111,Prices!$G$21:$H$23,2,FALSE)/30)), W111*B111*G111*H111*Prices!$H$17/30))</f>
        <v>585.25599999999997</v>
      </c>
      <c r="S111" s="390">
        <f t="shared" si="5"/>
        <v>5855.7519999999995</v>
      </c>
      <c r="T111" s="524"/>
      <c r="U111" s="388">
        <f>IF(E111="Standard",F111*B111*VLOOKUP(J111,Prices!$G$21:$H$23,2,FALSE),F111*B111*Prices!$H$17)</f>
        <v>465.08000000000004</v>
      </c>
      <c r="V111" s="388">
        <f t="shared" si="6"/>
        <v>5580.9600000000009</v>
      </c>
      <c r="W111" s="525">
        <v>4479</v>
      </c>
      <c r="X111" s="388">
        <f t="shared" si="7"/>
        <v>48.771333333333331</v>
      </c>
      <c r="Y111" s="388">
        <f t="shared" si="8"/>
        <v>513.8513333333334</v>
      </c>
      <c r="Z111" s="388">
        <f t="shared" si="9"/>
        <v>6166.2160000000013</v>
      </c>
      <c r="AA111" s="388">
        <f t="shared" si="10"/>
        <v>5270.4959999999992</v>
      </c>
      <c r="AB111" s="524"/>
      <c r="AC111" s="393">
        <f>IF(B111= 0,0,Prices!$AG$3*B111)</f>
        <v>25</v>
      </c>
      <c r="AD111" s="524"/>
      <c r="AE111" s="388">
        <f>IF((OR(B111="",B111=0)),0,B111*IFERROR(VLOOKUP(L111,Prices!$A$3:$D$300,3,FALSE),0)*24)</f>
        <v>188.232</v>
      </c>
      <c r="AF111" s="388">
        <f>IF((OR(B111="",B111=0)),0,IF(E111="Standard",IF($F$25="Yes",(W111*B111*Prices!$H$27)/30,(F111*B111*VLOOKUP(J111,Prices!$G$21:$H$23,2,FALSE)/30)),W111*B111*Prices!$H$17/30))</f>
        <v>20.902000000000001</v>
      </c>
      <c r="AG111" s="388">
        <f t="shared" si="11"/>
        <v>209.13400000000001</v>
      </c>
      <c r="AH111" s="526"/>
    </row>
    <row r="112" spans="1:34" s="527" customFormat="1">
      <c r="A112" s="514" t="s">
        <v>1062</v>
      </c>
      <c r="B112" s="515">
        <v>1</v>
      </c>
      <c r="C112" s="516" t="s">
        <v>342</v>
      </c>
      <c r="D112" s="517" t="s">
        <v>342</v>
      </c>
      <c r="E112" s="515" t="s">
        <v>195</v>
      </c>
      <c r="F112" s="518">
        <v>150</v>
      </c>
      <c r="G112" s="519">
        <v>4</v>
      </c>
      <c r="H112" s="519">
        <v>7</v>
      </c>
      <c r="I112" s="520" t="s">
        <v>194</v>
      </c>
      <c r="J112" s="521" t="s">
        <v>180</v>
      </c>
      <c r="K112" s="522" t="s">
        <v>150</v>
      </c>
      <c r="L112" s="118" t="str">
        <f t="shared" si="16"/>
        <v>Standard_D5_v2</v>
      </c>
      <c r="M112" s="388">
        <f t="shared" si="17"/>
        <v>520.59199999999998</v>
      </c>
      <c r="N112" s="388">
        <f t="shared" si="18"/>
        <v>90</v>
      </c>
      <c r="O112" s="388">
        <f t="shared" si="19"/>
        <v>130.59200000000001</v>
      </c>
      <c r="P112" s="523"/>
      <c r="Q112" s="388">
        <f>IF((OR(B112="",B112=0)),0,IFERROR(VLOOKUP(L112,Prices!$A$3:$D$300,3,FALSE),0)*B112*G112*H112*24)</f>
        <v>122.976</v>
      </c>
      <c r="R112" s="388">
        <f>IF(OR(B112="",B112=0),0,
 IF(E112="Standard",IF($F$25="Yes",W112*B112*G112*H112*Prices!$H$27/30,(F112*B112*G112*H112*VLOOKUP(J112,Prices!$G$21:$H$23,2,FALSE)/30)), W112*B112*G112*H112*Prices!$H$17/30))</f>
        <v>7.6160000000000005</v>
      </c>
      <c r="S112" s="390">
        <f t="shared" si="5"/>
        <v>130.59200000000001</v>
      </c>
      <c r="T112" s="524"/>
      <c r="U112" s="388">
        <f>IF(E112="Standard",F112*B112*VLOOKUP(J112,Prices!$G$21:$H$23,2,FALSE),F112*B112*Prices!$H$17)</f>
        <v>7.5</v>
      </c>
      <c r="V112" s="388">
        <f t="shared" si="6"/>
        <v>90</v>
      </c>
      <c r="W112" s="525">
        <v>192</v>
      </c>
      <c r="X112" s="388">
        <f t="shared" si="7"/>
        <v>0.63466666666666671</v>
      </c>
      <c r="Y112" s="388">
        <f t="shared" si="8"/>
        <v>8.134666666666666</v>
      </c>
      <c r="Z112" s="388">
        <f t="shared" si="9"/>
        <v>97.616</v>
      </c>
      <c r="AA112" s="388">
        <f t="shared" si="10"/>
        <v>122.976</v>
      </c>
      <c r="AB112" s="524"/>
      <c r="AC112" s="393">
        <f>IF(B112= 0,0,Prices!$AG$3*B112)</f>
        <v>25</v>
      </c>
      <c r="AD112" s="524"/>
      <c r="AE112" s="388">
        <f>IF((OR(B112="",B112=0)),0,B112*IFERROR(VLOOKUP(L112,Prices!$A$3:$D$300,3,FALSE),0)*24)</f>
        <v>4.3919999999999995</v>
      </c>
      <c r="AF112" s="388">
        <f>IF((OR(B112="",B112=0)),0,IF(E112="Standard",IF($F$25="Yes",(W112*B112*Prices!$H$27)/30,(F112*B112*VLOOKUP(J112,Prices!$G$21:$H$23,2,FALSE)/30)),W112*B112*Prices!$H$17/30))</f>
        <v>0.27200000000000002</v>
      </c>
      <c r="AG112" s="388">
        <f t="shared" si="11"/>
        <v>4.6639999999999997</v>
      </c>
      <c r="AH112" s="526"/>
    </row>
    <row r="113" spans="1:34" s="527" customFormat="1">
      <c r="A113" s="514" t="s">
        <v>1063</v>
      </c>
      <c r="B113" s="515">
        <v>1</v>
      </c>
      <c r="C113" s="516" t="s">
        <v>342</v>
      </c>
      <c r="D113" s="517" t="s">
        <v>342</v>
      </c>
      <c r="E113" s="515" t="s">
        <v>195</v>
      </c>
      <c r="F113" s="518">
        <v>150</v>
      </c>
      <c r="G113" s="519">
        <v>4</v>
      </c>
      <c r="H113" s="519">
        <v>7</v>
      </c>
      <c r="I113" s="520" t="s">
        <v>194</v>
      </c>
      <c r="J113" s="521" t="s">
        <v>180</v>
      </c>
      <c r="K113" s="522" t="s">
        <v>150</v>
      </c>
      <c r="L113" s="118" t="str">
        <f t="shared" si="16"/>
        <v>Standard_D5_v2</v>
      </c>
      <c r="M113" s="388">
        <f t="shared" si="17"/>
        <v>520.59199999999998</v>
      </c>
      <c r="N113" s="388">
        <f t="shared" si="18"/>
        <v>90</v>
      </c>
      <c r="O113" s="388">
        <f t="shared" si="19"/>
        <v>130.59200000000001</v>
      </c>
      <c r="P113" s="523"/>
      <c r="Q113" s="388">
        <f>IF((OR(B113="",B113=0)),0,IFERROR(VLOOKUP(L113,Prices!$A$3:$D$300,3,FALSE),0)*B113*G113*H113*24)</f>
        <v>122.976</v>
      </c>
      <c r="R113" s="388">
        <f>IF(OR(B113="",B113=0),0,
 IF(E113="Standard",IF($F$25="Yes",W113*B113*G113*H113*Prices!$H$27/30,(F113*B113*G113*H113*VLOOKUP(J113,Prices!$G$21:$H$23,2,FALSE)/30)), W113*B113*G113*H113*Prices!$H$17/30))</f>
        <v>7.6160000000000005</v>
      </c>
      <c r="S113" s="390">
        <f t="shared" si="5"/>
        <v>130.59200000000001</v>
      </c>
      <c r="T113" s="524"/>
      <c r="U113" s="388">
        <f>IF(E113="Standard",F113*B113*VLOOKUP(J113,Prices!$G$21:$H$23,2,FALSE),F113*B113*Prices!$H$17)</f>
        <v>7.5</v>
      </c>
      <c r="V113" s="388">
        <f t="shared" si="6"/>
        <v>90</v>
      </c>
      <c r="W113" s="525">
        <v>192</v>
      </c>
      <c r="X113" s="388">
        <f t="shared" si="7"/>
        <v>0.63466666666666671</v>
      </c>
      <c r="Y113" s="388">
        <f t="shared" si="8"/>
        <v>8.134666666666666</v>
      </c>
      <c r="Z113" s="388">
        <f t="shared" si="9"/>
        <v>97.616</v>
      </c>
      <c r="AA113" s="388">
        <f t="shared" si="10"/>
        <v>122.976</v>
      </c>
      <c r="AB113" s="524"/>
      <c r="AC113" s="393">
        <f>IF(B113= 0,0,Prices!$AG$3*B113)</f>
        <v>25</v>
      </c>
      <c r="AD113" s="524"/>
      <c r="AE113" s="388">
        <f>IF((OR(B113="",B113=0)),0,B113*IFERROR(VLOOKUP(L113,Prices!$A$3:$D$300,3,FALSE),0)*24)</f>
        <v>4.3919999999999995</v>
      </c>
      <c r="AF113" s="388">
        <f>IF((OR(B113="",B113=0)),0,IF(E113="Standard",IF($F$25="Yes",(W113*B113*Prices!$H$27)/30,(F113*B113*VLOOKUP(J113,Prices!$G$21:$H$23,2,FALSE)/30)),W113*B113*Prices!$H$17/30))</f>
        <v>0.27200000000000002</v>
      </c>
      <c r="AG113" s="388">
        <f t="shared" si="11"/>
        <v>4.6639999999999997</v>
      </c>
      <c r="AH113" s="526"/>
    </row>
    <row r="114" spans="1:34" s="527" customFormat="1">
      <c r="A114" s="514" t="s">
        <v>1064</v>
      </c>
      <c r="B114" s="515">
        <v>1</v>
      </c>
      <c r="C114" s="516" t="s">
        <v>278</v>
      </c>
      <c r="D114" s="517" t="s">
        <v>278</v>
      </c>
      <c r="E114" s="515" t="s">
        <v>195</v>
      </c>
      <c r="F114" s="518">
        <v>200</v>
      </c>
      <c r="G114" s="519">
        <v>4</v>
      </c>
      <c r="H114" s="519">
        <v>7</v>
      </c>
      <c r="I114" s="520" t="s">
        <v>194</v>
      </c>
      <c r="J114" s="521" t="s">
        <v>180</v>
      </c>
      <c r="K114" s="522" t="s">
        <v>150</v>
      </c>
      <c r="L114" s="118" t="str">
        <f t="shared" si="16"/>
        <v>Standard_A3</v>
      </c>
      <c r="M114" s="388">
        <f t="shared" si="17"/>
        <v>565.89866666666671</v>
      </c>
      <c r="N114" s="388">
        <f t="shared" si="18"/>
        <v>120</v>
      </c>
      <c r="O114" s="388">
        <f t="shared" si="19"/>
        <v>145.89866666666668</v>
      </c>
      <c r="P114" s="523"/>
      <c r="Q114" s="388">
        <f>IF((OR(B114="",B114=0)),0,IFERROR(VLOOKUP(L114,Prices!$A$3:$D$300,3,FALSE),0)*B114*G114*H114*24)</f>
        <v>135.74400000000003</v>
      </c>
      <c r="R114" s="388">
        <f>IF(OR(B114="",B114=0),0,
 IF(E114="Standard",IF($F$25="Yes",W114*B114*G114*H114*Prices!$H$27/30,(F114*B114*G114*H114*VLOOKUP(J114,Prices!$G$21:$H$23,2,FALSE)/30)), W114*B114*G114*H114*Prices!$H$17/30))</f>
        <v>10.154666666666667</v>
      </c>
      <c r="S114" s="390">
        <f t="shared" si="5"/>
        <v>145.89866666666668</v>
      </c>
      <c r="T114" s="524"/>
      <c r="U114" s="388">
        <f>IF(E114="Standard",F114*B114*VLOOKUP(J114,Prices!$G$21:$H$23,2,FALSE),F114*B114*Prices!$H$17)</f>
        <v>10</v>
      </c>
      <c r="V114" s="388">
        <f t="shared" si="6"/>
        <v>120</v>
      </c>
      <c r="W114" s="525">
        <v>256</v>
      </c>
      <c r="X114" s="388">
        <f t="shared" si="7"/>
        <v>0.84622222222222232</v>
      </c>
      <c r="Y114" s="388">
        <f t="shared" si="8"/>
        <v>10.846222222222222</v>
      </c>
      <c r="Z114" s="388">
        <f t="shared" si="9"/>
        <v>130.15466666666666</v>
      </c>
      <c r="AA114" s="388">
        <f t="shared" si="10"/>
        <v>135.74400000000003</v>
      </c>
      <c r="AB114" s="524"/>
      <c r="AC114" s="393">
        <f>IF(B114= 0,0,Prices!$AG$3*B114)</f>
        <v>25</v>
      </c>
      <c r="AD114" s="524"/>
      <c r="AE114" s="388">
        <f>IF((OR(B114="",B114=0)),0,B114*IFERROR(VLOOKUP(L114,Prices!$A$3:$D$300,3,FALSE),0)*24)</f>
        <v>4.8480000000000008</v>
      </c>
      <c r="AF114" s="388">
        <f>IF((OR(B114="",B114=0)),0,IF(E114="Standard",IF($F$25="Yes",(W114*B114*Prices!$H$27)/30,(F114*B114*VLOOKUP(J114,Prices!$G$21:$H$23,2,FALSE)/30)),W114*B114*Prices!$H$17/30))</f>
        <v>0.36266666666666669</v>
      </c>
      <c r="AG114" s="388">
        <f t="shared" si="11"/>
        <v>5.2106666666666674</v>
      </c>
      <c r="AH114" s="526"/>
    </row>
    <row r="115" spans="1:34" s="527" customFormat="1">
      <c r="A115" s="514" t="s">
        <v>1065</v>
      </c>
      <c r="B115" s="515">
        <v>1</v>
      </c>
      <c r="C115" s="516" t="s">
        <v>342</v>
      </c>
      <c r="D115" s="517" t="s">
        <v>342</v>
      </c>
      <c r="E115" s="515" t="s">
        <v>195</v>
      </c>
      <c r="F115" s="518">
        <v>150</v>
      </c>
      <c r="G115" s="519">
        <v>4</v>
      </c>
      <c r="H115" s="519">
        <v>7</v>
      </c>
      <c r="I115" s="520" t="s">
        <v>194</v>
      </c>
      <c r="J115" s="521" t="s">
        <v>180</v>
      </c>
      <c r="K115" s="522" t="s">
        <v>150</v>
      </c>
      <c r="L115" s="118" t="str">
        <f t="shared" si="16"/>
        <v>Standard_D5_v2</v>
      </c>
      <c r="M115" s="388">
        <f t="shared" si="17"/>
        <v>520.59199999999998</v>
      </c>
      <c r="N115" s="388">
        <f t="shared" si="18"/>
        <v>90</v>
      </c>
      <c r="O115" s="388">
        <f t="shared" si="19"/>
        <v>130.59200000000001</v>
      </c>
      <c r="P115" s="523"/>
      <c r="Q115" s="388">
        <f>IF((OR(B115="",B115=0)),0,IFERROR(VLOOKUP(L115,Prices!$A$3:$D$300,3,FALSE),0)*B115*G115*H115*24)</f>
        <v>122.976</v>
      </c>
      <c r="R115" s="388">
        <f>IF(OR(B115="",B115=0),0,
 IF(E115="Standard",IF($F$25="Yes",W115*B115*G115*H115*Prices!$H$27/30,(F115*B115*G115*H115*VLOOKUP(J115,Prices!$G$21:$H$23,2,FALSE)/30)), W115*B115*G115*H115*Prices!$H$17/30))</f>
        <v>7.6160000000000005</v>
      </c>
      <c r="S115" s="390">
        <f t="shared" si="5"/>
        <v>130.59200000000001</v>
      </c>
      <c r="T115" s="524"/>
      <c r="U115" s="388">
        <f>IF(E115="Standard",F115*B115*VLOOKUP(J115,Prices!$G$21:$H$23,2,FALSE),F115*B115*Prices!$H$17)</f>
        <v>7.5</v>
      </c>
      <c r="V115" s="388">
        <f t="shared" si="6"/>
        <v>90</v>
      </c>
      <c r="W115" s="525">
        <v>192</v>
      </c>
      <c r="X115" s="388">
        <f t="shared" si="7"/>
        <v>0.63466666666666671</v>
      </c>
      <c r="Y115" s="388">
        <f t="shared" si="8"/>
        <v>8.134666666666666</v>
      </c>
      <c r="Z115" s="388">
        <f t="shared" si="9"/>
        <v>97.616</v>
      </c>
      <c r="AA115" s="388">
        <f t="shared" si="10"/>
        <v>122.976</v>
      </c>
      <c r="AB115" s="524"/>
      <c r="AC115" s="393">
        <f>IF(B115= 0,0,Prices!$AG$3*B115)</f>
        <v>25</v>
      </c>
      <c r="AD115" s="524"/>
      <c r="AE115" s="388">
        <f>IF((OR(B115="",B115=0)),0,B115*IFERROR(VLOOKUP(L115,Prices!$A$3:$D$300,3,FALSE),0)*24)</f>
        <v>4.3919999999999995</v>
      </c>
      <c r="AF115" s="388">
        <f>IF((OR(B115="",B115=0)),0,IF(E115="Standard",IF($F$25="Yes",(W115*B115*Prices!$H$27)/30,(F115*B115*VLOOKUP(J115,Prices!$G$21:$H$23,2,FALSE)/30)),W115*B115*Prices!$H$17/30))</f>
        <v>0.27200000000000002</v>
      </c>
      <c r="AG115" s="388">
        <f t="shared" si="11"/>
        <v>4.6639999999999997</v>
      </c>
      <c r="AH115" s="526"/>
    </row>
    <row r="116" spans="1:34" s="527" customFormat="1">
      <c r="A116" s="514" t="s">
        <v>1066</v>
      </c>
      <c r="B116" s="515">
        <v>1</v>
      </c>
      <c r="C116" s="516" t="s">
        <v>342</v>
      </c>
      <c r="D116" s="517" t="s">
        <v>342</v>
      </c>
      <c r="E116" s="515" t="s">
        <v>195</v>
      </c>
      <c r="F116" s="518">
        <v>150</v>
      </c>
      <c r="G116" s="519">
        <v>4</v>
      </c>
      <c r="H116" s="519">
        <v>7</v>
      </c>
      <c r="I116" s="520" t="s">
        <v>194</v>
      </c>
      <c r="J116" s="521" t="s">
        <v>180</v>
      </c>
      <c r="K116" s="522" t="s">
        <v>150</v>
      </c>
      <c r="L116" s="118" t="str">
        <f t="shared" si="16"/>
        <v>Standard_D5_v2</v>
      </c>
      <c r="M116" s="388">
        <f t="shared" si="17"/>
        <v>520.59199999999998</v>
      </c>
      <c r="N116" s="388">
        <f t="shared" si="18"/>
        <v>90</v>
      </c>
      <c r="O116" s="388">
        <f t="shared" si="19"/>
        <v>130.59200000000001</v>
      </c>
      <c r="P116" s="523"/>
      <c r="Q116" s="388">
        <f>IF((OR(B116="",B116=0)),0,IFERROR(VLOOKUP(L116,Prices!$A$3:$D$300,3,FALSE),0)*B116*G116*H116*24)</f>
        <v>122.976</v>
      </c>
      <c r="R116" s="388">
        <f>IF(OR(B116="",B116=0),0,
 IF(E116="Standard",IF($F$25="Yes",W116*B116*G116*H116*Prices!$H$27/30,(F116*B116*G116*H116*VLOOKUP(J116,Prices!$G$21:$H$23,2,FALSE)/30)), W116*B116*G116*H116*Prices!$H$17/30))</f>
        <v>7.6160000000000005</v>
      </c>
      <c r="S116" s="390">
        <f t="shared" si="5"/>
        <v>130.59200000000001</v>
      </c>
      <c r="T116" s="524"/>
      <c r="U116" s="388">
        <f>IF(E116="Standard",F116*B116*VLOOKUP(J116,Prices!$G$21:$H$23,2,FALSE),F116*B116*Prices!$H$17)</f>
        <v>7.5</v>
      </c>
      <c r="V116" s="388">
        <f t="shared" si="6"/>
        <v>90</v>
      </c>
      <c r="W116" s="525">
        <v>192</v>
      </c>
      <c r="X116" s="388">
        <f t="shared" si="7"/>
        <v>0.63466666666666671</v>
      </c>
      <c r="Y116" s="388">
        <f t="shared" si="8"/>
        <v>8.134666666666666</v>
      </c>
      <c r="Z116" s="388">
        <f t="shared" si="9"/>
        <v>97.616</v>
      </c>
      <c r="AA116" s="388">
        <f t="shared" si="10"/>
        <v>122.976</v>
      </c>
      <c r="AB116" s="524"/>
      <c r="AC116" s="393">
        <f>IF(B116= 0,0,Prices!$AG$3*B116)</f>
        <v>25</v>
      </c>
      <c r="AD116" s="524"/>
      <c r="AE116" s="388">
        <f>IF((OR(B116="",B116=0)),0,B116*IFERROR(VLOOKUP(L116,Prices!$A$3:$D$300,3,FALSE),0)*24)</f>
        <v>4.3919999999999995</v>
      </c>
      <c r="AF116" s="388">
        <f>IF((OR(B116="",B116=0)),0,IF(E116="Standard",IF($F$25="Yes",(W116*B116*Prices!$H$27)/30,(F116*B116*VLOOKUP(J116,Prices!$G$21:$H$23,2,FALSE)/30)),W116*B116*Prices!$H$17/30))</f>
        <v>0.27200000000000002</v>
      </c>
      <c r="AG116" s="388">
        <f t="shared" si="11"/>
        <v>4.6639999999999997</v>
      </c>
      <c r="AH116" s="526"/>
    </row>
    <row r="117" spans="1:34" s="527" customFormat="1">
      <c r="A117" s="514" t="s">
        <v>1067</v>
      </c>
      <c r="B117" s="515">
        <v>1</v>
      </c>
      <c r="C117" s="516" t="s">
        <v>342</v>
      </c>
      <c r="D117" s="517" t="s">
        <v>342</v>
      </c>
      <c r="E117" s="515" t="s">
        <v>195</v>
      </c>
      <c r="F117" s="518">
        <v>150</v>
      </c>
      <c r="G117" s="519">
        <v>4</v>
      </c>
      <c r="H117" s="519">
        <v>7</v>
      </c>
      <c r="I117" s="520" t="s">
        <v>194</v>
      </c>
      <c r="J117" s="521" t="s">
        <v>180</v>
      </c>
      <c r="K117" s="522" t="s">
        <v>150</v>
      </c>
      <c r="L117" s="118" t="str">
        <f t="shared" si="16"/>
        <v>Standard_D5_v2</v>
      </c>
      <c r="M117" s="388">
        <f t="shared" si="17"/>
        <v>520.59199999999998</v>
      </c>
      <c r="N117" s="388">
        <f t="shared" si="18"/>
        <v>90</v>
      </c>
      <c r="O117" s="388">
        <f t="shared" si="19"/>
        <v>130.59200000000001</v>
      </c>
      <c r="P117" s="523"/>
      <c r="Q117" s="388">
        <f>IF((OR(B117="",B117=0)),0,IFERROR(VLOOKUP(L117,Prices!$A$3:$D$300,3,FALSE),0)*B117*G117*H117*24)</f>
        <v>122.976</v>
      </c>
      <c r="R117" s="388">
        <f>IF(OR(B117="",B117=0),0,
 IF(E117="Standard",IF($F$25="Yes",W117*B117*G117*H117*Prices!$H$27/30,(F117*B117*G117*H117*VLOOKUP(J117,Prices!$G$21:$H$23,2,FALSE)/30)), W117*B117*G117*H117*Prices!$H$17/30))</f>
        <v>7.6160000000000005</v>
      </c>
      <c r="S117" s="390">
        <f t="shared" si="5"/>
        <v>130.59200000000001</v>
      </c>
      <c r="T117" s="524"/>
      <c r="U117" s="388">
        <f>IF(E117="Standard",F117*B117*VLOOKUP(J117,Prices!$G$21:$H$23,2,FALSE),F117*B117*Prices!$H$17)</f>
        <v>7.5</v>
      </c>
      <c r="V117" s="388">
        <f t="shared" si="6"/>
        <v>90</v>
      </c>
      <c r="W117" s="525">
        <v>192</v>
      </c>
      <c r="X117" s="388">
        <f t="shared" si="7"/>
        <v>0.63466666666666671</v>
      </c>
      <c r="Y117" s="388">
        <f t="shared" si="8"/>
        <v>8.134666666666666</v>
      </c>
      <c r="Z117" s="388">
        <f t="shared" si="9"/>
        <v>97.616</v>
      </c>
      <c r="AA117" s="388">
        <f t="shared" si="10"/>
        <v>122.976</v>
      </c>
      <c r="AB117" s="524"/>
      <c r="AC117" s="393">
        <f>IF(B117= 0,0,Prices!$AG$3*B117)</f>
        <v>25</v>
      </c>
      <c r="AD117" s="524"/>
      <c r="AE117" s="388">
        <f>IF((OR(B117="",B117=0)),0,B117*IFERROR(VLOOKUP(L117,Prices!$A$3:$D$300,3,FALSE),0)*24)</f>
        <v>4.3919999999999995</v>
      </c>
      <c r="AF117" s="388">
        <f>IF((OR(B117="",B117=0)),0,IF(E117="Standard",IF($F$25="Yes",(W117*B117*Prices!$H$27)/30,(F117*B117*VLOOKUP(J117,Prices!$G$21:$H$23,2,FALSE)/30)),W117*B117*Prices!$H$17/30))</f>
        <v>0.27200000000000002</v>
      </c>
      <c r="AG117" s="388">
        <f t="shared" si="11"/>
        <v>4.6639999999999997</v>
      </c>
      <c r="AH117" s="526"/>
    </row>
    <row r="118" spans="1:34" s="527" customFormat="1">
      <c r="A118" s="514" t="s">
        <v>1068</v>
      </c>
      <c r="B118" s="515">
        <v>1</v>
      </c>
      <c r="C118" s="516" t="s">
        <v>342</v>
      </c>
      <c r="D118" s="517" t="s">
        <v>342</v>
      </c>
      <c r="E118" s="515" t="s">
        <v>195</v>
      </c>
      <c r="F118" s="518">
        <v>150</v>
      </c>
      <c r="G118" s="519">
        <v>4</v>
      </c>
      <c r="H118" s="519">
        <v>7</v>
      </c>
      <c r="I118" s="520" t="s">
        <v>194</v>
      </c>
      <c r="J118" s="521" t="s">
        <v>180</v>
      </c>
      <c r="K118" s="522" t="s">
        <v>150</v>
      </c>
      <c r="L118" s="118" t="str">
        <f t="shared" si="16"/>
        <v>Standard_D5_v2</v>
      </c>
      <c r="M118" s="388">
        <f t="shared" si="17"/>
        <v>520.59199999999998</v>
      </c>
      <c r="N118" s="388">
        <f t="shared" si="18"/>
        <v>90</v>
      </c>
      <c r="O118" s="388">
        <f t="shared" si="19"/>
        <v>130.59200000000001</v>
      </c>
      <c r="P118" s="523"/>
      <c r="Q118" s="388">
        <f>IF((OR(B118="",B118=0)),0,IFERROR(VLOOKUP(L118,Prices!$A$3:$D$300,3,FALSE),0)*B118*G118*H118*24)</f>
        <v>122.976</v>
      </c>
      <c r="R118" s="388">
        <f>IF(OR(B118="",B118=0),0,
 IF(E118="Standard",IF($F$25="Yes",W118*B118*G118*H118*Prices!$H$27/30,(F118*B118*G118*H118*VLOOKUP(J118,Prices!$G$21:$H$23,2,FALSE)/30)), W118*B118*G118*H118*Prices!$H$17/30))</f>
        <v>7.6160000000000005</v>
      </c>
      <c r="S118" s="390">
        <f t="shared" si="5"/>
        <v>130.59200000000001</v>
      </c>
      <c r="T118" s="524"/>
      <c r="U118" s="388">
        <f>IF(E118="Standard",F118*B118*VLOOKUP(J118,Prices!$G$21:$H$23,2,FALSE),F118*B118*Prices!$H$17)</f>
        <v>7.5</v>
      </c>
      <c r="V118" s="388">
        <f t="shared" si="6"/>
        <v>90</v>
      </c>
      <c r="W118" s="525">
        <v>192</v>
      </c>
      <c r="X118" s="388">
        <f t="shared" si="7"/>
        <v>0.63466666666666671</v>
      </c>
      <c r="Y118" s="388">
        <f t="shared" si="8"/>
        <v>8.134666666666666</v>
      </c>
      <c r="Z118" s="388">
        <f t="shared" si="9"/>
        <v>97.616</v>
      </c>
      <c r="AA118" s="388">
        <f t="shared" si="10"/>
        <v>122.976</v>
      </c>
      <c r="AB118" s="524"/>
      <c r="AC118" s="393">
        <f>IF(B118= 0,0,Prices!$AG$3*B118)</f>
        <v>25</v>
      </c>
      <c r="AD118" s="524"/>
      <c r="AE118" s="388">
        <f>IF((OR(B118="",B118=0)),0,B118*IFERROR(VLOOKUP(L118,Prices!$A$3:$D$300,3,FALSE),0)*24)</f>
        <v>4.3919999999999995</v>
      </c>
      <c r="AF118" s="388">
        <f>IF((OR(B118="",B118=0)),0,IF(E118="Standard",IF($F$25="Yes",(W118*B118*Prices!$H$27)/30,(F118*B118*VLOOKUP(J118,Prices!$G$21:$H$23,2,FALSE)/30)),W118*B118*Prices!$H$17/30))</f>
        <v>0.27200000000000002</v>
      </c>
      <c r="AG118" s="388">
        <f t="shared" si="11"/>
        <v>4.6639999999999997</v>
      </c>
      <c r="AH118" s="526"/>
    </row>
    <row r="119" spans="1:34" s="527" customFormat="1">
      <c r="A119" s="514" t="s">
        <v>1069</v>
      </c>
      <c r="B119" s="515">
        <v>1</v>
      </c>
      <c r="C119" s="516" t="s">
        <v>342</v>
      </c>
      <c r="D119" s="517" t="s">
        <v>342</v>
      </c>
      <c r="E119" s="515" t="s">
        <v>195</v>
      </c>
      <c r="F119" s="518">
        <v>200</v>
      </c>
      <c r="G119" s="519">
        <v>4</v>
      </c>
      <c r="H119" s="519">
        <v>7</v>
      </c>
      <c r="I119" s="520" t="s">
        <v>194</v>
      </c>
      <c r="J119" s="521" t="s">
        <v>180</v>
      </c>
      <c r="K119" s="522" t="s">
        <v>150</v>
      </c>
      <c r="L119" s="118" t="str">
        <f t="shared" si="16"/>
        <v>Standard_D5_v2</v>
      </c>
      <c r="M119" s="388">
        <f t="shared" si="17"/>
        <v>553.13066666666668</v>
      </c>
      <c r="N119" s="388">
        <f t="shared" si="18"/>
        <v>120</v>
      </c>
      <c r="O119" s="388">
        <f t="shared" si="19"/>
        <v>133.13066666666666</v>
      </c>
      <c r="P119" s="523"/>
      <c r="Q119" s="388">
        <f>IF((OR(B119="",B119=0)),0,IFERROR(VLOOKUP(L119,Prices!$A$3:$D$300,3,FALSE),0)*B119*G119*H119*24)</f>
        <v>122.976</v>
      </c>
      <c r="R119" s="388">
        <f>IF(OR(B119="",B119=0),0,
 IF(E119="Standard",IF($F$25="Yes",W119*B119*G119*H119*Prices!$H$27/30,(F119*B119*G119*H119*VLOOKUP(J119,Prices!$G$21:$H$23,2,FALSE)/30)), W119*B119*G119*H119*Prices!$H$17/30))</f>
        <v>10.154666666666667</v>
      </c>
      <c r="S119" s="390">
        <f t="shared" si="5"/>
        <v>133.13066666666666</v>
      </c>
      <c r="T119" s="524"/>
      <c r="U119" s="388">
        <f>IF(E119="Standard",F119*B119*VLOOKUP(J119,Prices!$G$21:$H$23,2,FALSE),F119*B119*Prices!$H$17)</f>
        <v>10</v>
      </c>
      <c r="V119" s="388">
        <f t="shared" si="6"/>
        <v>120</v>
      </c>
      <c r="W119" s="525">
        <v>256</v>
      </c>
      <c r="X119" s="388">
        <f t="shared" si="7"/>
        <v>0.84622222222222232</v>
      </c>
      <c r="Y119" s="388">
        <f t="shared" si="8"/>
        <v>10.846222222222222</v>
      </c>
      <c r="Z119" s="388">
        <f t="shared" si="9"/>
        <v>130.15466666666666</v>
      </c>
      <c r="AA119" s="388">
        <f t="shared" si="10"/>
        <v>122.976</v>
      </c>
      <c r="AB119" s="524"/>
      <c r="AC119" s="393">
        <f>IF(B119= 0,0,Prices!$AG$3*B119)</f>
        <v>25</v>
      </c>
      <c r="AD119" s="524"/>
      <c r="AE119" s="388">
        <f>IF((OR(B119="",B119=0)),0,B119*IFERROR(VLOOKUP(L119,Prices!$A$3:$D$300,3,FALSE),0)*24)</f>
        <v>4.3919999999999995</v>
      </c>
      <c r="AF119" s="388">
        <f>IF((OR(B119="",B119=0)),0,IF(E119="Standard",IF($F$25="Yes",(W119*B119*Prices!$H$27)/30,(F119*B119*VLOOKUP(J119,Prices!$G$21:$H$23,2,FALSE)/30)),W119*B119*Prices!$H$17/30))</f>
        <v>0.36266666666666669</v>
      </c>
      <c r="AG119" s="388">
        <f t="shared" si="11"/>
        <v>4.7546666666666662</v>
      </c>
      <c r="AH119" s="526"/>
    </row>
    <row r="120" spans="1:34" s="527" customFormat="1">
      <c r="A120" s="514" t="s">
        <v>1070</v>
      </c>
      <c r="B120" s="515">
        <v>1</v>
      </c>
      <c r="C120" s="516" t="s">
        <v>342</v>
      </c>
      <c r="D120" s="517" t="s">
        <v>342</v>
      </c>
      <c r="E120" s="515" t="s">
        <v>195</v>
      </c>
      <c r="F120" s="518">
        <v>201</v>
      </c>
      <c r="G120" s="519">
        <v>4</v>
      </c>
      <c r="H120" s="519">
        <v>7</v>
      </c>
      <c r="I120" s="520" t="s">
        <v>194</v>
      </c>
      <c r="J120" s="521" t="s">
        <v>180</v>
      </c>
      <c r="K120" s="522" t="s">
        <v>150</v>
      </c>
      <c r="L120" s="118" t="str">
        <f t="shared" si="16"/>
        <v>Standard_D5_v2</v>
      </c>
      <c r="M120" s="388">
        <f t="shared" si="17"/>
        <v>553.73066666666659</v>
      </c>
      <c r="N120" s="388">
        <f t="shared" si="18"/>
        <v>120.60000000000001</v>
      </c>
      <c r="O120" s="388">
        <f t="shared" si="19"/>
        <v>133.13066666666666</v>
      </c>
      <c r="P120" s="523"/>
      <c r="Q120" s="388">
        <f>IF((OR(B120="",B120=0)),0,IFERROR(VLOOKUP(L120,Prices!$A$3:$D$300,3,FALSE),0)*B120*G120*H120*24)</f>
        <v>122.976</v>
      </c>
      <c r="R120" s="388">
        <f>IF(OR(B120="",B120=0),0,
 IF(E120="Standard",IF($F$25="Yes",W120*B120*G120*H120*Prices!$H$27/30,(F120*B120*G120*H120*VLOOKUP(J120,Prices!$G$21:$H$23,2,FALSE)/30)), W120*B120*G120*H120*Prices!$H$17/30))</f>
        <v>10.154666666666667</v>
      </c>
      <c r="S120" s="390">
        <f t="shared" si="5"/>
        <v>133.13066666666666</v>
      </c>
      <c r="T120" s="524"/>
      <c r="U120" s="388">
        <f>IF(E120="Standard",F120*B120*VLOOKUP(J120,Prices!$G$21:$H$23,2,FALSE),F120*B120*Prices!$H$17)</f>
        <v>10.050000000000001</v>
      </c>
      <c r="V120" s="388">
        <f t="shared" si="6"/>
        <v>120.60000000000001</v>
      </c>
      <c r="W120" s="525">
        <v>256</v>
      </c>
      <c r="X120" s="388">
        <f t="shared" si="7"/>
        <v>0.84622222222222232</v>
      </c>
      <c r="Y120" s="388">
        <f t="shared" si="8"/>
        <v>10.896222222222223</v>
      </c>
      <c r="Z120" s="388">
        <f t="shared" si="9"/>
        <v>130.75466666666668</v>
      </c>
      <c r="AA120" s="388">
        <f t="shared" si="10"/>
        <v>122.976</v>
      </c>
      <c r="AB120" s="524"/>
      <c r="AC120" s="393">
        <f>IF(B120= 0,0,Prices!$AG$3*B120)</f>
        <v>25</v>
      </c>
      <c r="AD120" s="524"/>
      <c r="AE120" s="388">
        <f>IF((OR(B120="",B120=0)),0,B120*IFERROR(VLOOKUP(L120,Prices!$A$3:$D$300,3,FALSE),0)*24)</f>
        <v>4.3919999999999995</v>
      </c>
      <c r="AF120" s="388">
        <f>IF((OR(B120="",B120=0)),0,IF(E120="Standard",IF($F$25="Yes",(W120*B120*Prices!$H$27)/30,(F120*B120*VLOOKUP(J120,Prices!$G$21:$H$23,2,FALSE)/30)),W120*B120*Prices!$H$17/30))</f>
        <v>0.36266666666666669</v>
      </c>
      <c r="AG120" s="388">
        <f t="shared" si="11"/>
        <v>4.7546666666666662</v>
      </c>
      <c r="AH120" s="526"/>
    </row>
    <row r="121" spans="1:34" s="527" customFormat="1">
      <c r="A121" s="514" t="s">
        <v>1071</v>
      </c>
      <c r="B121" s="515">
        <v>1</v>
      </c>
      <c r="C121" s="516" t="s">
        <v>342</v>
      </c>
      <c r="D121" s="517" t="s">
        <v>342</v>
      </c>
      <c r="E121" s="515" t="s">
        <v>195</v>
      </c>
      <c r="F121" s="518">
        <v>150</v>
      </c>
      <c r="G121" s="519">
        <v>4</v>
      </c>
      <c r="H121" s="519">
        <v>7</v>
      </c>
      <c r="I121" s="520" t="s">
        <v>194</v>
      </c>
      <c r="J121" s="521" t="s">
        <v>180</v>
      </c>
      <c r="K121" s="522" t="s">
        <v>150</v>
      </c>
      <c r="L121" s="118" t="str">
        <f t="shared" si="16"/>
        <v>Standard_D5_v2</v>
      </c>
      <c r="M121" s="388">
        <f t="shared" si="17"/>
        <v>520.59199999999998</v>
      </c>
      <c r="N121" s="388">
        <f t="shared" si="18"/>
        <v>90</v>
      </c>
      <c r="O121" s="388">
        <f t="shared" si="19"/>
        <v>130.59200000000001</v>
      </c>
      <c r="P121" s="523"/>
      <c r="Q121" s="388">
        <f>IF((OR(B121="",B121=0)),0,IFERROR(VLOOKUP(L121,Prices!$A$3:$D$300,3,FALSE),0)*B121*G121*H121*24)</f>
        <v>122.976</v>
      </c>
      <c r="R121" s="388">
        <f>IF(OR(B121="",B121=0),0,
 IF(E121="Standard",IF($F$25="Yes",W121*B121*G121*H121*Prices!$H$27/30,(F121*B121*G121*H121*VLOOKUP(J121,Prices!$G$21:$H$23,2,FALSE)/30)), W121*B121*G121*H121*Prices!$H$17/30))</f>
        <v>7.6160000000000005</v>
      </c>
      <c r="S121" s="390">
        <f t="shared" si="5"/>
        <v>130.59200000000001</v>
      </c>
      <c r="T121" s="524"/>
      <c r="U121" s="388">
        <f>IF(E121="Standard",F121*B121*VLOOKUP(J121,Prices!$G$21:$H$23,2,FALSE),F121*B121*Prices!$H$17)</f>
        <v>7.5</v>
      </c>
      <c r="V121" s="388">
        <f t="shared" si="6"/>
        <v>90</v>
      </c>
      <c r="W121" s="525">
        <v>192</v>
      </c>
      <c r="X121" s="388">
        <f t="shared" si="7"/>
        <v>0.63466666666666671</v>
      </c>
      <c r="Y121" s="388">
        <f t="shared" si="8"/>
        <v>8.134666666666666</v>
      </c>
      <c r="Z121" s="388">
        <f t="shared" si="9"/>
        <v>97.616</v>
      </c>
      <c r="AA121" s="388">
        <f t="shared" si="10"/>
        <v>122.976</v>
      </c>
      <c r="AB121" s="524"/>
      <c r="AC121" s="393">
        <f>IF(B121= 0,0,Prices!$AG$3*B121)</f>
        <v>25</v>
      </c>
      <c r="AD121" s="524"/>
      <c r="AE121" s="388">
        <f>IF((OR(B121="",B121=0)),0,B121*IFERROR(VLOOKUP(L121,Prices!$A$3:$D$300,3,FALSE),0)*24)</f>
        <v>4.3919999999999995</v>
      </c>
      <c r="AF121" s="388">
        <f>IF((OR(B121="",B121=0)),0,IF(E121="Standard",IF($F$25="Yes",(W121*B121*Prices!$H$27)/30,(F121*B121*VLOOKUP(J121,Prices!$G$21:$H$23,2,FALSE)/30)),W121*B121*Prices!$H$17/30))</f>
        <v>0.27200000000000002</v>
      </c>
      <c r="AG121" s="388">
        <f t="shared" si="11"/>
        <v>4.6639999999999997</v>
      </c>
      <c r="AH121" s="526"/>
    </row>
    <row r="122" spans="1:34" s="527" customFormat="1">
      <c r="A122" s="514" t="s">
        <v>1072</v>
      </c>
      <c r="B122" s="515">
        <v>1</v>
      </c>
      <c r="C122" s="516" t="s">
        <v>280</v>
      </c>
      <c r="D122" s="517" t="s">
        <v>280</v>
      </c>
      <c r="E122" s="515" t="s">
        <v>195</v>
      </c>
      <c r="F122" s="518">
        <v>201</v>
      </c>
      <c r="G122" s="519">
        <v>4</v>
      </c>
      <c r="H122" s="519">
        <v>7</v>
      </c>
      <c r="I122" s="520" t="s">
        <v>194</v>
      </c>
      <c r="J122" s="521" t="s">
        <v>180</v>
      </c>
      <c r="K122" s="522" t="s">
        <v>150</v>
      </c>
      <c r="L122" s="118" t="str">
        <f t="shared" si="16"/>
        <v>Standard_A4</v>
      </c>
      <c r="M122" s="388">
        <f t="shared" si="17"/>
        <v>702.91466666666668</v>
      </c>
      <c r="N122" s="388">
        <f t="shared" si="18"/>
        <v>120.60000000000001</v>
      </c>
      <c r="O122" s="388">
        <f t="shared" si="19"/>
        <v>282.31466666666665</v>
      </c>
      <c r="P122" s="523"/>
      <c r="Q122" s="388">
        <f>IF((OR(B122="",B122=0)),0,IFERROR(VLOOKUP(L122,Prices!$A$3:$D$300,3,FALSE),0)*B122*G122*H122*24)</f>
        <v>272.15999999999997</v>
      </c>
      <c r="R122" s="388">
        <f>IF(OR(B122="",B122=0),0,
 IF(E122="Standard",IF($F$25="Yes",W122*B122*G122*H122*Prices!$H$27/30,(F122*B122*G122*H122*VLOOKUP(J122,Prices!$G$21:$H$23,2,FALSE)/30)), W122*B122*G122*H122*Prices!$H$17/30))</f>
        <v>10.154666666666667</v>
      </c>
      <c r="S122" s="390">
        <f t="shared" si="5"/>
        <v>282.31466666666665</v>
      </c>
      <c r="T122" s="524"/>
      <c r="U122" s="388">
        <f>IF(E122="Standard",F122*B122*VLOOKUP(J122,Prices!$G$21:$H$23,2,FALSE),F122*B122*Prices!$H$17)</f>
        <v>10.050000000000001</v>
      </c>
      <c r="V122" s="388">
        <f t="shared" si="6"/>
        <v>120.60000000000001</v>
      </c>
      <c r="W122" s="525">
        <v>256</v>
      </c>
      <c r="X122" s="388">
        <f t="shared" si="7"/>
        <v>0.84622222222222232</v>
      </c>
      <c r="Y122" s="388">
        <f t="shared" si="8"/>
        <v>10.896222222222223</v>
      </c>
      <c r="Z122" s="388">
        <f t="shared" si="9"/>
        <v>130.75466666666668</v>
      </c>
      <c r="AA122" s="388">
        <f t="shared" si="10"/>
        <v>272.15999999999997</v>
      </c>
      <c r="AB122" s="524"/>
      <c r="AC122" s="393">
        <f>IF(B122= 0,0,Prices!$AG$3*B122)</f>
        <v>25</v>
      </c>
      <c r="AD122" s="524"/>
      <c r="AE122" s="388">
        <f>IF((OR(B122="",B122=0)),0,B122*IFERROR(VLOOKUP(L122,Prices!$A$3:$D$300,3,FALSE),0)*24)</f>
        <v>9.7200000000000006</v>
      </c>
      <c r="AF122" s="388">
        <f>IF((OR(B122="",B122=0)),0,IF(E122="Standard",IF($F$25="Yes",(W122*B122*Prices!$H$27)/30,(F122*B122*VLOOKUP(J122,Prices!$G$21:$H$23,2,FALSE)/30)),W122*B122*Prices!$H$17/30))</f>
        <v>0.36266666666666669</v>
      </c>
      <c r="AG122" s="388">
        <f t="shared" si="11"/>
        <v>10.082666666666668</v>
      </c>
      <c r="AH122" s="526"/>
    </row>
    <row r="123" spans="1:34" s="527" customFormat="1">
      <c r="A123" s="514" t="s">
        <v>1073</v>
      </c>
      <c r="B123" s="515">
        <v>1</v>
      </c>
      <c r="C123" s="516" t="s">
        <v>342</v>
      </c>
      <c r="D123" s="517" t="s">
        <v>342</v>
      </c>
      <c r="E123" s="515" t="s">
        <v>195</v>
      </c>
      <c r="F123" s="518">
        <v>150</v>
      </c>
      <c r="G123" s="519">
        <v>4</v>
      </c>
      <c r="H123" s="519">
        <v>7</v>
      </c>
      <c r="I123" s="520" t="s">
        <v>194</v>
      </c>
      <c r="J123" s="521" t="s">
        <v>180</v>
      </c>
      <c r="K123" s="522" t="s">
        <v>150</v>
      </c>
      <c r="L123" s="118" t="str">
        <f t="shared" si="16"/>
        <v>Standard_D5_v2</v>
      </c>
      <c r="M123" s="388">
        <f t="shared" si="17"/>
        <v>520.59199999999998</v>
      </c>
      <c r="N123" s="388">
        <f t="shared" si="18"/>
        <v>90</v>
      </c>
      <c r="O123" s="388">
        <f t="shared" si="19"/>
        <v>130.59200000000001</v>
      </c>
      <c r="P123" s="523"/>
      <c r="Q123" s="388">
        <f>IF((OR(B123="",B123=0)),0,IFERROR(VLOOKUP(L123,Prices!$A$3:$D$300,3,FALSE),0)*B123*G123*H123*24)</f>
        <v>122.976</v>
      </c>
      <c r="R123" s="388">
        <f>IF(OR(B123="",B123=0),0,
 IF(E123="Standard",IF($F$25="Yes",W123*B123*G123*H123*Prices!$H$27/30,(F123*B123*G123*H123*VLOOKUP(J123,Prices!$G$21:$H$23,2,FALSE)/30)), W123*B123*G123*H123*Prices!$H$17/30))</f>
        <v>7.6160000000000005</v>
      </c>
      <c r="S123" s="390">
        <f t="shared" si="5"/>
        <v>130.59200000000001</v>
      </c>
      <c r="T123" s="524"/>
      <c r="U123" s="388">
        <f>IF(E123="Standard",F123*B123*VLOOKUP(J123,Prices!$G$21:$H$23,2,FALSE),F123*B123*Prices!$H$17)</f>
        <v>7.5</v>
      </c>
      <c r="V123" s="388">
        <f t="shared" si="6"/>
        <v>90</v>
      </c>
      <c r="W123" s="525">
        <v>192</v>
      </c>
      <c r="X123" s="388">
        <f t="shared" si="7"/>
        <v>0.63466666666666671</v>
      </c>
      <c r="Y123" s="388">
        <f t="shared" si="8"/>
        <v>8.134666666666666</v>
      </c>
      <c r="Z123" s="388">
        <f t="shared" si="9"/>
        <v>97.616</v>
      </c>
      <c r="AA123" s="388">
        <f t="shared" si="10"/>
        <v>122.976</v>
      </c>
      <c r="AB123" s="524"/>
      <c r="AC123" s="393">
        <f>IF(B123= 0,0,Prices!$AG$3*B123)</f>
        <v>25</v>
      </c>
      <c r="AD123" s="524"/>
      <c r="AE123" s="388">
        <f>IF((OR(B123="",B123=0)),0,B123*IFERROR(VLOOKUP(L123,Prices!$A$3:$D$300,3,FALSE),0)*24)</f>
        <v>4.3919999999999995</v>
      </c>
      <c r="AF123" s="388">
        <f>IF((OR(B123="",B123=0)),0,IF(E123="Standard",IF($F$25="Yes",(W123*B123*Prices!$H$27)/30,(F123*B123*VLOOKUP(J123,Prices!$G$21:$H$23,2,FALSE)/30)),W123*B123*Prices!$H$17/30))</f>
        <v>0.27200000000000002</v>
      </c>
      <c r="AG123" s="388">
        <f t="shared" si="11"/>
        <v>4.6639999999999997</v>
      </c>
      <c r="AH123" s="526"/>
    </row>
    <row r="124" spans="1:34" s="120" customFormat="1">
      <c r="A124" s="415" t="s">
        <v>196</v>
      </c>
      <c r="B124" s="416">
        <v>0</v>
      </c>
      <c r="C124" s="417"/>
      <c r="D124" s="418" t="s">
        <v>229</v>
      </c>
      <c r="E124" s="418" t="s">
        <v>195</v>
      </c>
      <c r="F124" s="419">
        <v>0</v>
      </c>
      <c r="G124" s="422">
        <v>0</v>
      </c>
      <c r="H124" s="422">
        <v>0</v>
      </c>
      <c r="I124" s="423" t="s">
        <v>194</v>
      </c>
      <c r="J124" s="423" t="s">
        <v>180</v>
      </c>
      <c r="K124" s="427" t="s">
        <v>150</v>
      </c>
      <c r="L124" s="118" t="str">
        <f t="shared" si="16"/>
        <v>Standard_A0</v>
      </c>
      <c r="M124" s="143">
        <f t="shared" si="17"/>
        <v>0</v>
      </c>
      <c r="N124" s="143">
        <f t="shared" si="18"/>
        <v>0</v>
      </c>
      <c r="O124" s="143">
        <f t="shared" si="19"/>
        <v>0</v>
      </c>
      <c r="P124" s="144"/>
      <c r="Q124" s="143">
        <f>IF((OR(B124="",B124=0)),0,IFERROR(VLOOKUP(L124,Prices!$A$3:$D$200,3,FALSE),0)*B124*G124*H124*24)</f>
        <v>0</v>
      </c>
      <c r="R124" s="388">
        <f>IF(OR(B124="",B124=0),0,
 IF(E124="Standard",IF($F$25="Yes",W124*B124*G124*H124*Prices!$H$27/30,(F124*B124*G124*H124*VLOOKUP(J124,Prices!$G$21:$H$23,2,FALSE)/30)), W124*B124*G124*H124*Prices!$H$17/30))</f>
        <v>0</v>
      </c>
      <c r="S124" s="145">
        <f t="shared" si="5"/>
        <v>0</v>
      </c>
      <c r="T124" s="146"/>
      <c r="U124" s="388">
        <f>IF(E124="Standard",F124*B124*VLOOKUP(J124,Prices!$G$21:$H$23,2,FALSE),F124*B124*Prices!$H$17)</f>
        <v>0</v>
      </c>
      <c r="V124" s="143">
        <f t="shared" si="6"/>
        <v>0</v>
      </c>
      <c r="W124" s="147">
        <v>0</v>
      </c>
      <c r="X124" s="143">
        <f t="shared" si="7"/>
        <v>0</v>
      </c>
      <c r="Y124" s="143">
        <f t="shared" si="8"/>
        <v>0</v>
      </c>
      <c r="Z124" s="148">
        <v>0</v>
      </c>
      <c r="AA124" s="143">
        <f t="shared" si="10"/>
        <v>0</v>
      </c>
      <c r="AB124" s="146"/>
      <c r="AC124" s="148">
        <f>IF(B124= 0,0,Prices!$AG$3*B124)</f>
        <v>0</v>
      </c>
      <c r="AD124" s="146"/>
      <c r="AE124" s="143">
        <f>IF((OR(B124="",B124=0)),0,B124*IFERROR(VLOOKUP(L124,Prices!$A$3:$D$200,3,FALSE),0)*24)</f>
        <v>0</v>
      </c>
      <c r="AF124" s="388">
        <f>IF((OR(B124="",B124=0)),0,IF(E124="Standard",IF($F$25="Yes",(W124*B124*Prices!$H$27)/30,(F124*B124*VLOOKUP(J124,Prices!$G$21:$H$23,2,FALSE)/30)),W124*B124*Prices!$H$17/30))</f>
        <v>0</v>
      </c>
      <c r="AG124" s="143">
        <f t="shared" si="11"/>
        <v>0</v>
      </c>
      <c r="AH124" s="119"/>
    </row>
    <row r="125" spans="1:34">
      <c r="A125" s="105"/>
      <c r="B125" s="88"/>
      <c r="C125" s="88"/>
      <c r="D125" s="105"/>
      <c r="E125" s="121"/>
      <c r="F125" s="105"/>
      <c r="G125" s="105"/>
      <c r="H125" s="122"/>
      <c r="I125" s="122"/>
      <c r="J125" s="123"/>
      <c r="K125" s="124"/>
      <c r="L125" s="124"/>
      <c r="M125" s="125">
        <f>SUM(M39:M124)</f>
        <v>139505.16300000003</v>
      </c>
      <c r="N125" s="125">
        <f>SUM(N39:N124)</f>
        <v>76372.800000000017</v>
      </c>
      <c r="O125" s="125">
        <f>SUM(O39:O124)</f>
        <v>37932.362999999998</v>
      </c>
      <c r="P125" s="126"/>
      <c r="Q125" s="125">
        <f>SUM(Q39:Q124)</f>
        <v>30921.40799999993</v>
      </c>
      <c r="R125" s="125">
        <f>SUM(R39:R124)</f>
        <v>7010.9550000000008</v>
      </c>
      <c r="S125" s="125">
        <f>SUM(S39:S124)</f>
        <v>37932.362999999998</v>
      </c>
      <c r="T125" s="126"/>
      <c r="U125" s="125">
        <f t="shared" ref="U125:AA125" si="20">SUM(U39:U124)</f>
        <v>6364.4000000000015</v>
      </c>
      <c r="V125" s="125">
        <f t="shared" si="20"/>
        <v>76372.800000000017</v>
      </c>
      <c r="W125" s="127">
        <f t="shared" si="20"/>
        <v>112734</v>
      </c>
      <c r="X125" s="125">
        <f t="shared" si="20"/>
        <v>584.24625000000026</v>
      </c>
      <c r="Y125" s="125">
        <f t="shared" si="20"/>
        <v>6948.6462500000043</v>
      </c>
      <c r="Z125" s="125">
        <f t="shared" si="20"/>
        <v>83383.75499999999</v>
      </c>
      <c r="AA125" s="125">
        <f t="shared" si="20"/>
        <v>30921.40799999993</v>
      </c>
      <c r="AB125" s="126"/>
      <c r="AC125" s="125">
        <f>SUM(AC39:AC124)</f>
        <v>2100</v>
      </c>
      <c r="AD125" s="126"/>
      <c r="AE125" s="125">
        <f>SUM(AE39:AE124)</f>
        <v>1104.3360000000016</v>
      </c>
      <c r="AF125" s="125">
        <f>SUM(AF39:AF124)</f>
        <v>250.39125000000001</v>
      </c>
      <c r="AG125" s="125">
        <f>SUM(AG39:AG124)</f>
        <v>1354.7272500000001</v>
      </c>
    </row>
    <row r="126" spans="1:34">
      <c r="A126" s="128" t="s">
        <v>161</v>
      </c>
      <c r="B126" s="128" t="s">
        <v>157</v>
      </c>
      <c r="C126" s="128" t="s">
        <v>158</v>
      </c>
      <c r="D126" s="129"/>
      <c r="E126" s="105"/>
      <c r="F126" s="105"/>
      <c r="G126" s="105"/>
      <c r="H126" s="105"/>
      <c r="I126" s="105"/>
      <c r="J126" s="105"/>
      <c r="K126" s="130" t="s">
        <v>197</v>
      </c>
      <c r="L126" s="130"/>
      <c r="M126" s="131">
        <f>IF(M125=0,0,IF(F27="Month",VLOOKUP(B20,Prices!M2:N200,2,FALSE),VLOOKUP(B20,Prices!M2:N200,2,FALSE)*12))</f>
        <v>5232</v>
      </c>
      <c r="N126" s="131">
        <f>IF(N125=0,0,IF(F27="Month",VLOOKUP(B20,Prices!M2:N200,2,FALSE),VLOOKUP(B20,Prices!M2:N200,2,FALSE)*12))</f>
        <v>5232</v>
      </c>
      <c r="O126" s="131">
        <v>0</v>
      </c>
      <c r="P126" s="126"/>
      <c r="Q126" s="131">
        <v>0</v>
      </c>
      <c r="R126" s="131">
        <v>0</v>
      </c>
      <c r="S126" s="131">
        <v>0</v>
      </c>
      <c r="T126" s="126"/>
      <c r="U126" s="131">
        <v>0</v>
      </c>
      <c r="V126" s="131">
        <v>0</v>
      </c>
      <c r="W126" s="126"/>
      <c r="X126" s="131">
        <v>0</v>
      </c>
      <c r="Y126" s="131">
        <v>0</v>
      </c>
      <c r="Z126" s="131">
        <v>0</v>
      </c>
      <c r="AA126" s="131">
        <v>0</v>
      </c>
      <c r="AB126" s="126"/>
      <c r="AC126" s="131">
        <v>0</v>
      </c>
      <c r="AD126" s="126"/>
      <c r="AE126" s="131">
        <v>0</v>
      </c>
      <c r="AF126" s="131">
        <v>0</v>
      </c>
      <c r="AG126" s="131">
        <v>0</v>
      </c>
    </row>
    <row r="127" spans="1:34">
      <c r="A127" s="132" t="s">
        <v>176</v>
      </c>
      <c r="B127" s="96">
        <f>IF(M125=0,0,VLOOKUP(B20,Prices!M2:N200,2,FALSE))</f>
        <v>436</v>
      </c>
      <c r="C127" s="96">
        <f>IF(M125=0,0,VLOOKUP(B20,Prices!M2:N200,2,FALSE)*12)</f>
        <v>5232</v>
      </c>
      <c r="D127" s="105"/>
      <c r="E127" s="428"/>
      <c r="F127" s="105"/>
      <c r="G127" s="105"/>
      <c r="H127" s="105"/>
      <c r="I127" s="105"/>
      <c r="J127" s="105"/>
      <c r="K127" s="130" t="s">
        <v>198</v>
      </c>
      <c r="L127" s="130"/>
      <c r="M127" s="131">
        <f>IF(M125=0,0,IF($F$27="Month",VLOOKUP(B21,Prices!P3:R200,3,FALSE),VLOOKUP(B21,Prices!P3:R200,3,FALSE)*12))</f>
        <v>0</v>
      </c>
      <c r="N127" s="131">
        <f>IF(N125=0,0,IF(F27="Month",VLOOKUP(B21,Prices!P3:R200,3,FALSE),VLOOKUP(B21,Prices!P3:R200,3,FALSE)*12))</f>
        <v>0</v>
      </c>
      <c r="O127" s="131">
        <v>0</v>
      </c>
      <c r="P127" s="126"/>
      <c r="Q127" s="131">
        <v>0</v>
      </c>
      <c r="R127" s="131">
        <v>0</v>
      </c>
      <c r="S127" s="131">
        <v>0</v>
      </c>
      <c r="T127" s="126"/>
      <c r="U127" s="131">
        <v>0</v>
      </c>
      <c r="V127" s="131">
        <v>0</v>
      </c>
      <c r="W127" s="126"/>
      <c r="X127" s="131">
        <v>0</v>
      </c>
      <c r="Y127" s="131">
        <v>0</v>
      </c>
      <c r="Z127" s="131">
        <v>0</v>
      </c>
      <c r="AA127" s="131">
        <v>0</v>
      </c>
      <c r="AB127" s="126"/>
      <c r="AC127" s="131">
        <v>0</v>
      </c>
      <c r="AD127" s="126"/>
      <c r="AE127" s="131">
        <v>0</v>
      </c>
      <c r="AF127" s="131">
        <v>0</v>
      </c>
      <c r="AG127" s="131">
        <v>0</v>
      </c>
    </row>
    <row r="128" spans="1:34">
      <c r="A128" s="132" t="s">
        <v>199</v>
      </c>
      <c r="B128" s="96">
        <f>IF(M125=0,0,VLOOKUP(B21,Prices!P3:R200,3,FALSE))</f>
        <v>0</v>
      </c>
      <c r="C128" s="96">
        <f>IF(M125=0,0,VLOOKUP(B21,Prices!P3:R200,3,FALSE)*12)</f>
        <v>0</v>
      </c>
      <c r="D128" s="105"/>
      <c r="E128" s="105"/>
      <c r="F128" s="105"/>
      <c r="G128" s="105"/>
      <c r="H128" s="105"/>
      <c r="I128" s="105"/>
      <c r="J128" s="105"/>
      <c r="K128" s="130" t="s">
        <v>200</v>
      </c>
      <c r="L128" s="130"/>
      <c r="M128" s="131">
        <f>IF(F27="Month",IF(B25&lt;&gt;0,VLOOKUP(C25,Prices!$A$4:$D$200,3,FALSE)*B25,0),IF(B25&lt;&gt;0,VLOOKUP(C25,Prices!$A$4:$D$200,3,FALSE)*B25*12,0))</f>
        <v>0</v>
      </c>
      <c r="N128" s="131">
        <f>IF(F27="Month",IF(B25&lt;&gt;0,VLOOKUP(C25,Prices!A4:D200,3,FALSE)*B25,0),IF(B25&lt;&gt;0,VLOOKUP(C25,Prices!A4:D200,3,FALSE)*B25*12,0))</f>
        <v>0</v>
      </c>
      <c r="O128" s="131">
        <v>0</v>
      </c>
      <c r="P128" s="126"/>
      <c r="Q128" s="131">
        <v>0</v>
      </c>
      <c r="R128" s="131">
        <v>0</v>
      </c>
      <c r="S128" s="131">
        <v>0</v>
      </c>
      <c r="T128" s="126"/>
      <c r="U128" s="131">
        <v>0</v>
      </c>
      <c r="V128" s="131">
        <v>0</v>
      </c>
      <c r="W128" s="126"/>
      <c r="X128" s="131">
        <v>0</v>
      </c>
      <c r="Y128" s="131">
        <v>0</v>
      </c>
      <c r="Z128" s="131">
        <v>0</v>
      </c>
      <c r="AA128" s="131">
        <f>IF(B25&lt;&gt;0,VLOOKUP(C25,Prices!A4:D200,3,FALSE)*B25*12,0)</f>
        <v>0</v>
      </c>
      <c r="AB128" s="126"/>
      <c r="AC128" s="131">
        <v>0</v>
      </c>
      <c r="AD128" s="126"/>
      <c r="AE128" s="131">
        <v>0</v>
      </c>
      <c r="AF128" s="131">
        <v>0</v>
      </c>
      <c r="AG128" s="131">
        <v>0</v>
      </c>
    </row>
    <row r="129" spans="1:33">
      <c r="A129" s="133" t="s">
        <v>163</v>
      </c>
      <c r="B129" s="134">
        <f>SUM(B127:B128)</f>
        <v>436</v>
      </c>
      <c r="C129" s="134">
        <f>SUM(C127:C128)</f>
        <v>5232</v>
      </c>
      <c r="D129" s="105"/>
      <c r="E129" s="105"/>
      <c r="F129" s="105"/>
      <c r="G129" s="105"/>
      <c r="H129" s="105"/>
      <c r="I129" s="105"/>
      <c r="J129" s="105"/>
      <c r="K129" s="130" t="s">
        <v>201</v>
      </c>
      <c r="L129" s="130"/>
      <c r="M129" s="131">
        <f>IF(F27="Month",IF(B26&lt;&gt;0,VLOOKUP(C26,Prices!A4:D200,3,FALSE)*B26,0),IF(B26&lt;&gt;0,VLOOKUP(C26,Prices!A4:D200,3,FALSE)*B26*12,0))</f>
        <v>0</v>
      </c>
      <c r="N129" s="131">
        <f>IF(F27="Month",IF(B26&lt;&gt;0,VLOOKUP(C26,Prices!A4:D200,3,FALSE)*B26,0),IF(B26&lt;&gt;0,VLOOKUP(C26,Prices!A4:D200,3,FALSE)*B26*12,0))</f>
        <v>0</v>
      </c>
      <c r="O129" s="131">
        <v>0</v>
      </c>
      <c r="P129" s="126"/>
      <c r="Q129" s="131">
        <v>0</v>
      </c>
      <c r="R129" s="131">
        <v>0</v>
      </c>
      <c r="S129" s="131">
        <v>0</v>
      </c>
      <c r="T129" s="126"/>
      <c r="U129" s="131">
        <v>0</v>
      </c>
      <c r="V129" s="131">
        <v>0</v>
      </c>
      <c r="W129" s="126"/>
      <c r="X129" s="131">
        <v>0</v>
      </c>
      <c r="Y129" s="131">
        <v>0</v>
      </c>
      <c r="Z129" s="131">
        <v>0</v>
      </c>
      <c r="AA129" s="131">
        <f>IF(B26&lt;&gt;0,VLOOKUP(C26,Prices!$A$4:$D$200,3,FALSE)*B26*12,0)</f>
        <v>0</v>
      </c>
      <c r="AB129" s="126"/>
      <c r="AC129" s="131">
        <v>0</v>
      </c>
      <c r="AD129" s="126"/>
      <c r="AE129" s="131">
        <v>0</v>
      </c>
      <c r="AF129" s="131">
        <v>0</v>
      </c>
      <c r="AG129" s="131">
        <v>0</v>
      </c>
    </row>
    <row r="130" spans="1:33">
      <c r="A130" s="135" t="s">
        <v>202</v>
      </c>
      <c r="B130" s="96">
        <f>-(B129*B29/100)</f>
        <v>0</v>
      </c>
      <c r="C130" s="96">
        <f>-(C129*B29/100)</f>
        <v>0</v>
      </c>
      <c r="D130" s="105"/>
      <c r="E130" s="105"/>
      <c r="F130" s="105"/>
      <c r="G130" s="105"/>
      <c r="H130" s="105"/>
      <c r="I130" s="105"/>
      <c r="J130" s="105"/>
      <c r="K130" s="130" t="s">
        <v>203</v>
      </c>
      <c r="L130" s="130"/>
      <c r="M130" s="131">
        <f>IF(M125=0,0,IF(F27="Month",100,1200))</f>
        <v>1200</v>
      </c>
      <c r="N130" s="131">
        <f>IF(N125=0,0,IF(F27="Month",100,1200))</f>
        <v>1200</v>
      </c>
      <c r="O130" s="131">
        <v>0</v>
      </c>
      <c r="P130" s="126"/>
      <c r="Q130" s="131">
        <v>0</v>
      </c>
      <c r="R130" s="131">
        <v>0</v>
      </c>
      <c r="S130" s="131">
        <v>0</v>
      </c>
      <c r="T130" s="126"/>
      <c r="U130" s="131">
        <f>IF(M125=0,0,100)</f>
        <v>100</v>
      </c>
      <c r="V130" s="131">
        <f>IF(M125=0,0,1200)</f>
        <v>1200</v>
      </c>
      <c r="W130" s="126"/>
      <c r="X130" s="131">
        <v>0</v>
      </c>
      <c r="Y130" s="131">
        <f>IF(Y125=0,0,100)</f>
        <v>100</v>
      </c>
      <c r="Z130" s="131">
        <f>IF(Z125=0,0,1200)</f>
        <v>1200</v>
      </c>
      <c r="AA130" s="131">
        <v>0</v>
      </c>
      <c r="AB130" s="126"/>
      <c r="AC130" s="131">
        <v>0</v>
      </c>
      <c r="AD130" s="126"/>
      <c r="AE130" s="131">
        <v>0</v>
      </c>
      <c r="AF130" s="131">
        <v>0</v>
      </c>
      <c r="AG130" s="131">
        <v>0</v>
      </c>
    </row>
    <row r="131" spans="1:33">
      <c r="A131" s="133" t="s">
        <v>204</v>
      </c>
      <c r="B131" s="134">
        <f>SUM(B129:B130)</f>
        <v>436</v>
      </c>
      <c r="C131" s="134">
        <f>SUM(C129:C130)</f>
        <v>5232</v>
      </c>
      <c r="D131" s="105"/>
      <c r="E131" s="105"/>
      <c r="F131" s="105"/>
      <c r="G131" s="105"/>
      <c r="H131" s="136"/>
      <c r="I131" s="136"/>
      <c r="J131" s="105"/>
      <c r="K131" s="130" t="s">
        <v>205</v>
      </c>
      <c r="L131" s="130"/>
      <c r="M131" s="131">
        <f>SUM(M125:M130)</f>
        <v>145937.16300000003</v>
      </c>
      <c r="N131" s="131">
        <f>SUM(N125:N130)</f>
        <v>82804.800000000017</v>
      </c>
      <c r="O131" s="131">
        <f>SUM(O125:O130)</f>
        <v>37932.362999999998</v>
      </c>
      <c r="P131" s="126"/>
      <c r="Q131" s="131">
        <f>SUM(Q125:Q130)</f>
        <v>30921.40799999993</v>
      </c>
      <c r="R131" s="131">
        <f>SUM(R125:R130)</f>
        <v>7010.9550000000008</v>
      </c>
      <c r="S131" s="131">
        <f>SUM(S125:S130)</f>
        <v>37932.362999999998</v>
      </c>
      <c r="T131" s="126"/>
      <c r="U131" s="131">
        <f>SUM(U125:U130)</f>
        <v>6464.4000000000015</v>
      </c>
      <c r="V131" s="131">
        <f>SUM(V125:V130)</f>
        <v>77572.800000000017</v>
      </c>
      <c r="W131" s="126"/>
      <c r="X131" s="131">
        <f>SUM(X125:X130)</f>
        <v>584.24625000000026</v>
      </c>
      <c r="Y131" s="131">
        <f>SUM(Y125:Y130)</f>
        <v>7048.6462500000043</v>
      </c>
      <c r="Z131" s="131">
        <f>SUM(Z125:Z130)</f>
        <v>84583.75499999999</v>
      </c>
      <c r="AA131" s="131">
        <f>SUM(AA125:AA130)</f>
        <v>30921.40799999993</v>
      </c>
      <c r="AB131" s="126"/>
      <c r="AC131" s="131">
        <f>SUM(AC125:AC130)</f>
        <v>2100</v>
      </c>
      <c r="AD131" s="126"/>
      <c r="AE131" s="131">
        <f>SUM(AE125:AE130)</f>
        <v>1104.3360000000016</v>
      </c>
      <c r="AF131" s="131">
        <f>SUM(AF125:AF130)</f>
        <v>250.39125000000001</v>
      </c>
      <c r="AG131" s="131">
        <f>SUM(AG125:AG130)</f>
        <v>1354.7272500000001</v>
      </c>
    </row>
    <row r="132" spans="1:33">
      <c r="A132" s="105"/>
      <c r="B132" s="105"/>
      <c r="C132" s="105"/>
      <c r="D132" s="105"/>
      <c r="E132" s="105"/>
      <c r="F132" s="105"/>
      <c r="G132" s="105"/>
      <c r="H132" s="105"/>
      <c r="I132" s="105"/>
      <c r="J132" s="105"/>
      <c r="K132" s="130" t="s">
        <v>202</v>
      </c>
      <c r="L132" s="130"/>
      <c r="M132" s="131">
        <f>-(M131*B29/100)</f>
        <v>0</v>
      </c>
      <c r="N132" s="131">
        <f>-(N131*B29/100)</f>
        <v>0</v>
      </c>
      <c r="O132" s="131">
        <f>-(O131*B29/100)</f>
        <v>0</v>
      </c>
      <c r="P132" s="137"/>
      <c r="Q132" s="131">
        <f>-(Q131*B29/100)</f>
        <v>0</v>
      </c>
      <c r="R132" s="131">
        <f>-(R131*B29/100)</f>
        <v>0</v>
      </c>
      <c r="S132" s="131">
        <f>-(S131*B29/100)</f>
        <v>0</v>
      </c>
      <c r="T132" s="126"/>
      <c r="U132" s="131">
        <f>-(U131*B29/100)</f>
        <v>0</v>
      </c>
      <c r="V132" s="131">
        <f>-(V131*B29/100)</f>
        <v>0</v>
      </c>
      <c r="W132" s="126"/>
      <c r="X132" s="131">
        <f>-(X131*B29/100)</f>
        <v>0</v>
      </c>
      <c r="Y132" s="131">
        <f>-(Y131*B29/100)</f>
        <v>0</v>
      </c>
      <c r="Z132" s="131">
        <f>-(Z131*B29/100)</f>
        <v>0</v>
      </c>
      <c r="AA132" s="131">
        <f>-(AA131*B29/100)</f>
        <v>0</v>
      </c>
      <c r="AB132" s="126"/>
      <c r="AC132" s="131">
        <f>-(AC131*B29/100)</f>
        <v>0</v>
      </c>
      <c r="AD132" s="126"/>
      <c r="AE132" s="131">
        <f>-(AE131*B29/100)</f>
        <v>0</v>
      </c>
      <c r="AF132" s="131">
        <f>-(AF131*B29/100)</f>
        <v>0</v>
      </c>
      <c r="AG132" s="131">
        <f>-(AG131*B29/100)</f>
        <v>0</v>
      </c>
    </row>
    <row r="133" spans="1:33">
      <c r="A133" s="105"/>
      <c r="B133" s="105"/>
      <c r="C133" s="129"/>
      <c r="D133" s="105"/>
      <c r="E133" s="105"/>
      <c r="F133" s="105"/>
      <c r="G133" s="105"/>
      <c r="H133" s="105"/>
      <c r="I133" s="105"/>
      <c r="J133" s="105"/>
      <c r="K133" s="132" t="s">
        <v>206</v>
      </c>
      <c r="L133" s="132"/>
      <c r="M133" s="134">
        <f>SUM(M131:M132)</f>
        <v>145937.16300000003</v>
      </c>
      <c r="N133" s="134">
        <f>SUM(N131:N132)</f>
        <v>82804.800000000017</v>
      </c>
      <c r="O133" s="134">
        <f t="shared" ref="O133" si="21">SUM(O131:O132)</f>
        <v>37932.362999999998</v>
      </c>
      <c r="P133" s="137"/>
      <c r="Q133" s="134">
        <f>SUM(Q131:Q132)</f>
        <v>30921.40799999993</v>
      </c>
      <c r="R133" s="134">
        <f>SUM(R131:R132)</f>
        <v>7010.9550000000008</v>
      </c>
      <c r="S133" s="134">
        <f>SUM(S131:S132)</f>
        <v>37932.362999999998</v>
      </c>
      <c r="T133" s="126"/>
      <c r="U133" s="134">
        <f>SUM(U131:U132)</f>
        <v>6464.4000000000015</v>
      </c>
      <c r="V133" s="134">
        <f>SUM(V131:V132)</f>
        <v>77572.800000000017</v>
      </c>
      <c r="W133" s="126"/>
      <c r="X133" s="134">
        <f>SUM(X131:X132)</f>
        <v>584.24625000000026</v>
      </c>
      <c r="Y133" s="134">
        <f>SUM(Y131:Y132)</f>
        <v>7048.6462500000043</v>
      </c>
      <c r="Z133" s="134">
        <f>SUM(Z131:Z132)</f>
        <v>84583.75499999999</v>
      </c>
      <c r="AA133" s="134">
        <f>SUM(AA131:AA132)</f>
        <v>30921.40799999993</v>
      </c>
      <c r="AB133" s="126"/>
      <c r="AC133" s="134">
        <f>SUM(AC131:AC132)</f>
        <v>2100</v>
      </c>
      <c r="AD133" s="126"/>
      <c r="AE133" s="134">
        <f>SUM(AE131:AE132)</f>
        <v>1104.3360000000016</v>
      </c>
      <c r="AF133" s="134">
        <f>SUM(AF131:AF132)</f>
        <v>250.39125000000001</v>
      </c>
      <c r="AG133" s="134">
        <f>SUM(AG131:AG132)</f>
        <v>1354.7272500000001</v>
      </c>
    </row>
    <row r="134" spans="1:33">
      <c r="A134" s="70"/>
      <c r="B134" s="70"/>
      <c r="C134" s="70"/>
      <c r="E134" s="88"/>
    </row>
    <row r="135" spans="1:33">
      <c r="A135" s="70"/>
      <c r="B135" s="70"/>
      <c r="C135" s="70"/>
      <c r="E135" s="138"/>
      <c r="F135" s="70"/>
      <c r="G135" s="70"/>
      <c r="H135" s="70"/>
      <c r="I135" s="70"/>
      <c r="M135" s="70"/>
      <c r="U135" s="70"/>
      <c r="W135" s="70"/>
      <c r="X135" s="70"/>
      <c r="AA135" s="70"/>
      <c r="AC135" s="70"/>
      <c r="AD135" s="70"/>
      <c r="AE135" s="70"/>
      <c r="AF135" s="70"/>
      <c r="AG135" s="70"/>
    </row>
    <row r="136" spans="1:33">
      <c r="E136" s="138"/>
      <c r="F136" s="70"/>
      <c r="G136" s="70"/>
      <c r="H136" s="70"/>
      <c r="I136" s="70"/>
      <c r="J136" s="70"/>
      <c r="K136" s="70"/>
      <c r="L136" s="70"/>
      <c r="M136" s="71"/>
      <c r="N136" s="71"/>
      <c r="O136" s="71"/>
      <c r="U136" s="70"/>
      <c r="W136" s="70"/>
      <c r="X136" s="70"/>
      <c r="AA136" s="70"/>
      <c r="AC136" s="70"/>
      <c r="AD136" s="70"/>
      <c r="AE136" s="70"/>
      <c r="AF136" s="70"/>
      <c r="AG136" s="70"/>
    </row>
    <row r="137" spans="1:33">
      <c r="E137" s="74"/>
      <c r="F137" s="70"/>
      <c r="G137" s="70"/>
      <c r="H137" s="70"/>
      <c r="I137" s="70"/>
      <c r="J137" s="70"/>
      <c r="K137" s="70"/>
      <c r="L137" s="70"/>
      <c r="M137" s="71"/>
      <c r="N137" s="139"/>
      <c r="O137" s="139"/>
      <c r="P137" s="71"/>
      <c r="Q137" s="71"/>
      <c r="R137" s="71"/>
      <c r="U137" s="70"/>
      <c r="W137" s="70"/>
      <c r="X137" s="70"/>
      <c r="AA137" s="70"/>
      <c r="AC137" s="70"/>
      <c r="AD137" s="70"/>
      <c r="AE137" s="70"/>
      <c r="AF137" s="70"/>
      <c r="AG137" s="70"/>
    </row>
    <row r="138" spans="1:33" ht="15.75" customHeight="1">
      <c r="A138" s="375" t="s">
        <v>517</v>
      </c>
      <c r="B138" s="380"/>
      <c r="C138" s="380"/>
      <c r="D138" s="380"/>
      <c r="E138" s="380"/>
      <c r="F138" s="140"/>
      <c r="G138" s="140"/>
      <c r="H138" s="70"/>
      <c r="I138" s="70"/>
      <c r="J138" s="70"/>
      <c r="K138" s="70"/>
      <c r="L138" s="70"/>
      <c r="M138" s="71"/>
      <c r="N138" s="139"/>
      <c r="O138" s="139"/>
      <c r="P138" s="71"/>
      <c r="Q138" s="71"/>
      <c r="R138" s="71"/>
      <c r="U138" s="70"/>
      <c r="W138" s="70"/>
      <c r="X138" s="70"/>
      <c r="AA138" s="70"/>
      <c r="AC138" s="70"/>
      <c r="AD138" s="70"/>
      <c r="AE138" s="70"/>
      <c r="AF138" s="70"/>
      <c r="AG138" s="70"/>
    </row>
    <row r="139" spans="1:33">
      <c r="A139" s="768" t="str">
        <f>HYPERLINK(IF(Data!B5= 2, "https://aka.ms/asr-dp-h2a-cost-estimation","https://aka.ms/asr-dp-cost-estimation"),"Learn more about the cost estimation")</f>
        <v>Learn more about the cost estimation</v>
      </c>
      <c r="B139" s="768"/>
      <c r="C139" s="768"/>
      <c r="D139" s="140"/>
      <c r="E139" s="140"/>
      <c r="F139" s="140"/>
      <c r="G139" s="140"/>
      <c r="H139" s="70"/>
      <c r="I139" s="70"/>
      <c r="J139" s="70"/>
      <c r="K139" s="70"/>
      <c r="L139" s="70"/>
      <c r="M139" s="71"/>
      <c r="N139" s="139"/>
      <c r="O139" s="139"/>
      <c r="P139" s="71"/>
      <c r="Q139" s="71"/>
      <c r="R139" s="71"/>
      <c r="U139" s="70"/>
      <c r="W139" s="70"/>
      <c r="X139" s="70"/>
      <c r="AA139" s="70"/>
      <c r="AC139" s="70"/>
      <c r="AD139" s="70"/>
      <c r="AE139" s="70"/>
      <c r="AF139" s="70"/>
      <c r="AG139" s="70"/>
    </row>
    <row r="140" spans="1:33">
      <c r="A140" s="769" t="s">
        <v>567</v>
      </c>
      <c r="B140" s="769"/>
      <c r="C140" s="769"/>
      <c r="D140" s="140"/>
      <c r="E140" s="140"/>
      <c r="F140" s="140"/>
      <c r="G140" s="140"/>
      <c r="H140" s="70"/>
      <c r="I140" s="70"/>
      <c r="J140" s="70"/>
      <c r="K140" s="70"/>
      <c r="L140" s="70"/>
      <c r="M140" s="71"/>
      <c r="N140" s="139"/>
      <c r="O140" s="139"/>
      <c r="P140" s="71"/>
      <c r="Q140" s="71"/>
      <c r="R140" s="71"/>
      <c r="U140" s="70"/>
      <c r="W140" s="70"/>
      <c r="X140" s="70"/>
      <c r="AA140" s="70"/>
      <c r="AC140" s="70"/>
      <c r="AD140" s="70"/>
      <c r="AE140" s="70"/>
      <c r="AF140" s="70"/>
      <c r="AG140" s="70"/>
    </row>
    <row r="141" spans="1:33" ht="15.75">
      <c r="A141" s="371"/>
      <c r="B141" s="371"/>
      <c r="C141" s="371"/>
      <c r="D141" s="371"/>
      <c r="E141" s="371"/>
      <c r="F141" s="140"/>
      <c r="G141" s="140"/>
      <c r="H141" s="70"/>
      <c r="I141" s="70"/>
      <c r="J141" s="70"/>
      <c r="K141" s="70"/>
      <c r="L141" s="70"/>
      <c r="M141" s="71"/>
      <c r="N141" s="139"/>
      <c r="O141" s="139"/>
      <c r="P141" s="71"/>
      <c r="Q141" s="71"/>
      <c r="R141" s="71"/>
      <c r="U141" s="70"/>
      <c r="W141" s="70"/>
      <c r="X141" s="70"/>
      <c r="AA141" s="70"/>
      <c r="AC141" s="70"/>
      <c r="AD141" s="70"/>
      <c r="AE141" s="70"/>
      <c r="AF141" s="70"/>
      <c r="AG141" s="70"/>
    </row>
    <row r="142" spans="1:33" ht="16.5">
      <c r="A142" s="375" t="s">
        <v>207</v>
      </c>
      <c r="B142" s="376"/>
      <c r="C142" s="377"/>
      <c r="D142" s="378"/>
      <c r="E142" s="379"/>
      <c r="F142" s="140"/>
      <c r="G142" s="140"/>
      <c r="N142" s="139"/>
      <c r="O142" s="139"/>
      <c r="U142" s="70"/>
      <c r="W142" s="70"/>
      <c r="X142" s="70"/>
      <c r="AC142" s="70"/>
      <c r="AD142" s="70"/>
      <c r="AE142" s="70"/>
      <c r="AF142" s="70"/>
      <c r="AG142" s="70"/>
    </row>
    <row r="143" spans="1:33" ht="16.5" customHeight="1">
      <c r="A143" s="765" t="s">
        <v>526</v>
      </c>
      <c r="B143" s="767"/>
      <c r="C143" s="767"/>
      <c r="D143" s="767"/>
      <c r="E143" s="767"/>
      <c r="F143" s="140"/>
      <c r="G143" s="140"/>
      <c r="N143" s="139"/>
      <c r="O143" s="139"/>
      <c r="U143" s="70"/>
      <c r="W143" s="70"/>
      <c r="X143" s="70"/>
      <c r="AC143" s="70"/>
      <c r="AD143" s="70"/>
      <c r="AE143" s="70"/>
      <c r="AF143" s="70"/>
      <c r="AG143" s="70"/>
    </row>
    <row r="144" spans="1:33">
      <c r="A144" s="765" t="s">
        <v>519</v>
      </c>
      <c r="B144" s="766"/>
      <c r="C144" s="766"/>
      <c r="D144" s="766"/>
      <c r="E144" s="766"/>
      <c r="F144" s="140"/>
      <c r="G144" s="140"/>
      <c r="N144" s="139"/>
      <c r="O144" s="139"/>
      <c r="U144" s="70"/>
      <c r="W144" s="70"/>
      <c r="X144" s="70"/>
      <c r="AC144" s="70"/>
      <c r="AD144" s="70"/>
      <c r="AE144" s="70"/>
      <c r="AF144" s="70"/>
      <c r="AG144" s="70"/>
    </row>
    <row r="145" spans="1:33">
      <c r="A145" s="765" t="s">
        <v>520</v>
      </c>
      <c r="B145" s="766"/>
      <c r="C145" s="766"/>
      <c r="D145" s="766"/>
      <c r="E145" s="766"/>
      <c r="F145" s="140"/>
      <c r="G145" s="140"/>
      <c r="N145" s="139"/>
      <c r="O145" s="139"/>
      <c r="U145" s="70"/>
      <c r="W145" s="70"/>
      <c r="X145" s="70"/>
      <c r="AC145" s="70"/>
      <c r="AD145" s="70"/>
      <c r="AE145" s="70"/>
      <c r="AF145" s="70"/>
      <c r="AG145" s="70"/>
    </row>
    <row r="146" spans="1:33">
      <c r="A146" s="765" t="s">
        <v>521</v>
      </c>
      <c r="B146" s="766"/>
      <c r="C146" s="766"/>
      <c r="D146" s="766"/>
      <c r="E146" s="766"/>
      <c r="F146" s="140"/>
      <c r="G146" s="140"/>
      <c r="N146" s="139"/>
      <c r="O146" s="139"/>
      <c r="U146" s="70"/>
      <c r="W146" s="70"/>
      <c r="X146" s="70"/>
      <c r="AC146" s="70"/>
      <c r="AD146" s="70"/>
      <c r="AE146" s="70"/>
      <c r="AF146" s="70"/>
      <c r="AG146" s="70"/>
    </row>
    <row r="147" spans="1:33">
      <c r="A147" s="765" t="s">
        <v>522</v>
      </c>
      <c r="B147" s="766"/>
      <c r="C147" s="766"/>
      <c r="D147" s="766"/>
      <c r="E147" s="766"/>
      <c r="F147" s="140"/>
      <c r="G147" s="140"/>
      <c r="N147" s="139"/>
      <c r="O147" s="139"/>
      <c r="U147" s="70"/>
      <c r="W147" s="70"/>
      <c r="X147" s="70"/>
      <c r="AC147" s="70"/>
      <c r="AD147" s="70"/>
      <c r="AE147" s="70"/>
      <c r="AF147" s="70"/>
      <c r="AG147" s="70"/>
    </row>
    <row r="148" spans="1:33">
      <c r="A148" s="765" t="s">
        <v>523</v>
      </c>
      <c r="B148" s="766"/>
      <c r="C148" s="766"/>
      <c r="D148" s="766"/>
      <c r="E148" s="766"/>
      <c r="F148" s="140"/>
      <c r="G148" s="140"/>
      <c r="N148" s="139"/>
      <c r="O148" s="139"/>
      <c r="U148" s="70"/>
      <c r="W148" s="70"/>
      <c r="X148" s="70"/>
      <c r="AC148" s="70"/>
      <c r="AD148" s="70"/>
      <c r="AE148" s="70"/>
      <c r="AF148" s="70"/>
      <c r="AG148" s="70"/>
    </row>
    <row r="149" spans="1:33">
      <c r="A149" s="765" t="s">
        <v>524</v>
      </c>
      <c r="B149" s="766"/>
      <c r="C149" s="766"/>
      <c r="D149" s="766"/>
      <c r="E149" s="766"/>
      <c r="F149" s="140"/>
      <c r="G149" s="140"/>
      <c r="U149" s="70"/>
      <c r="W149" s="70"/>
      <c r="X149" s="70"/>
      <c r="AC149" s="70"/>
      <c r="AD149" s="70"/>
      <c r="AE149" s="70"/>
      <c r="AF149" s="70"/>
      <c r="AG149" s="70"/>
    </row>
    <row r="150" spans="1:33">
      <c r="A150" s="793" t="s">
        <v>525</v>
      </c>
      <c r="B150" s="765"/>
      <c r="C150" s="765"/>
      <c r="D150" s="765"/>
      <c r="E150" s="765"/>
      <c r="F150" s="140"/>
      <c r="G150" s="140"/>
      <c r="U150" s="70"/>
      <c r="W150" s="70"/>
      <c r="X150" s="70"/>
      <c r="AC150" s="70"/>
      <c r="AD150" s="70"/>
      <c r="AE150" s="70"/>
      <c r="AF150" s="70"/>
      <c r="AG150" s="70"/>
    </row>
    <row r="151" spans="1:33">
      <c r="A151" s="774"/>
      <c r="B151" s="774"/>
      <c r="C151" s="774"/>
      <c r="D151" s="774"/>
      <c r="E151" s="774"/>
      <c r="F151" s="140"/>
      <c r="G151" s="140"/>
      <c r="U151" s="70"/>
      <c r="W151" s="70"/>
      <c r="X151" s="70"/>
      <c r="AC151" s="70"/>
      <c r="AD151" s="70"/>
      <c r="AE151" s="70"/>
      <c r="AF151" s="70"/>
      <c r="AG151" s="70"/>
    </row>
    <row r="152" spans="1:33">
      <c r="U152" s="70"/>
      <c r="W152" s="70"/>
      <c r="X152" s="70"/>
      <c r="AC152" s="70"/>
      <c r="AD152" s="70"/>
      <c r="AE152" s="70"/>
      <c r="AF152" s="70"/>
      <c r="AG152" s="70"/>
    </row>
    <row r="153" spans="1:33">
      <c r="U153" s="70"/>
      <c r="W153" s="70"/>
      <c r="X153" s="70"/>
      <c r="AC153" s="70"/>
      <c r="AD153" s="70"/>
      <c r="AE153" s="70"/>
      <c r="AF153" s="70"/>
      <c r="AG153" s="70"/>
    </row>
    <row r="154" spans="1:33">
      <c r="U154" s="70"/>
      <c r="W154" s="70"/>
      <c r="X154" s="70"/>
      <c r="AC154" s="70"/>
      <c r="AD154" s="70"/>
      <c r="AE154" s="70"/>
      <c r="AF154" s="70"/>
      <c r="AG154" s="70"/>
    </row>
    <row r="155" spans="1:33">
      <c r="U155" s="70"/>
      <c r="W155" s="70"/>
      <c r="X155" s="70"/>
      <c r="AC155" s="70"/>
      <c r="AD155" s="70"/>
      <c r="AE155" s="70"/>
      <c r="AF155" s="70"/>
      <c r="AG155" s="70"/>
    </row>
    <row r="156" spans="1:33">
      <c r="U156" s="70"/>
      <c r="W156" s="70"/>
      <c r="X156" s="70"/>
      <c r="AC156" s="70"/>
      <c r="AD156" s="70"/>
      <c r="AE156" s="70"/>
      <c r="AF156" s="70"/>
      <c r="AG156" s="70"/>
    </row>
    <row r="157" spans="1:33">
      <c r="U157" s="70"/>
      <c r="W157" s="70"/>
      <c r="X157" s="70"/>
      <c r="AC157" s="70"/>
      <c r="AD157" s="70"/>
      <c r="AE157" s="70"/>
      <c r="AF157" s="70"/>
      <c r="AG157" s="70"/>
    </row>
    <row r="158" spans="1:33">
      <c r="U158" s="70"/>
      <c r="W158" s="70"/>
      <c r="X158" s="70"/>
      <c r="AC158" s="70"/>
      <c r="AD158" s="70"/>
      <c r="AE158" s="70"/>
      <c r="AF158" s="70"/>
      <c r="AG158" s="70"/>
    </row>
    <row r="159" spans="1:33">
      <c r="U159" s="70"/>
      <c r="W159" s="70"/>
      <c r="X159" s="70"/>
      <c r="AC159" s="70"/>
      <c r="AD159" s="70"/>
      <c r="AE159" s="70"/>
      <c r="AF159" s="70"/>
      <c r="AG159" s="70"/>
    </row>
    <row r="160" spans="1:33">
      <c r="U160" s="70"/>
      <c r="W160" s="70"/>
      <c r="X160" s="70"/>
      <c r="AC160" s="70"/>
      <c r="AD160" s="70"/>
      <c r="AE160" s="70"/>
      <c r="AF160" s="70"/>
      <c r="AG160" s="70"/>
    </row>
    <row r="161" spans="21:33">
      <c r="U161" s="70"/>
      <c r="W161" s="70"/>
      <c r="X161" s="70"/>
      <c r="AC161" s="70"/>
      <c r="AD161" s="70"/>
      <c r="AE161" s="70"/>
      <c r="AF161" s="70"/>
      <c r="AG161" s="70"/>
    </row>
    <row r="162" spans="21:33">
      <c r="U162" s="70"/>
      <c r="W162" s="70"/>
      <c r="X162" s="70"/>
      <c r="AC162" s="70"/>
      <c r="AD162" s="70"/>
      <c r="AE162" s="70"/>
      <c r="AF162" s="70"/>
      <c r="AG162" s="70"/>
    </row>
    <row r="163" spans="21:33">
      <c r="U163" s="70"/>
      <c r="W163" s="70"/>
      <c r="X163" s="70"/>
      <c r="AC163" s="70"/>
      <c r="AD163" s="70"/>
      <c r="AE163" s="70"/>
      <c r="AF163" s="70"/>
      <c r="AG163" s="70"/>
    </row>
    <row r="164" spans="21:33">
      <c r="U164" s="70"/>
      <c r="W164" s="70"/>
      <c r="X164" s="70"/>
      <c r="AC164" s="70"/>
      <c r="AD164" s="70"/>
      <c r="AE164" s="70"/>
      <c r="AF164" s="70"/>
      <c r="AG164" s="70"/>
    </row>
    <row r="165" spans="21:33">
      <c r="U165" s="70"/>
      <c r="W165" s="70"/>
      <c r="X165" s="70"/>
      <c r="AC165" s="70"/>
      <c r="AD165" s="70"/>
      <c r="AE165" s="70"/>
      <c r="AF165" s="70"/>
      <c r="AG165" s="70"/>
    </row>
    <row r="166" spans="21:33">
      <c r="U166" s="70"/>
      <c r="W166" s="70"/>
      <c r="X166" s="70"/>
      <c r="AC166" s="70"/>
      <c r="AD166" s="70"/>
      <c r="AE166" s="70"/>
      <c r="AF166" s="70"/>
      <c r="AG166" s="70"/>
    </row>
    <row r="167" spans="21:33">
      <c r="U167" s="70"/>
      <c r="W167" s="70"/>
      <c r="X167" s="70"/>
      <c r="AC167" s="70"/>
      <c r="AD167" s="70"/>
      <c r="AE167" s="70"/>
      <c r="AF167" s="70"/>
      <c r="AG167" s="70"/>
    </row>
    <row r="168" spans="21:33">
      <c r="U168" s="70"/>
      <c r="W168" s="70"/>
      <c r="X168" s="70"/>
      <c r="AC168" s="70"/>
      <c r="AD168" s="70"/>
      <c r="AE168" s="70"/>
      <c r="AF168" s="70"/>
      <c r="AG168" s="70"/>
    </row>
    <row r="169" spans="21:33">
      <c r="U169" s="70"/>
      <c r="W169" s="70"/>
      <c r="X169" s="70"/>
      <c r="AC169" s="70"/>
      <c r="AD169" s="70"/>
      <c r="AE169" s="70"/>
      <c r="AF169" s="70"/>
      <c r="AG169" s="70"/>
    </row>
    <row r="170" spans="21:33">
      <c r="U170" s="70"/>
      <c r="W170" s="70"/>
      <c r="X170" s="70"/>
      <c r="AC170" s="70"/>
      <c r="AD170" s="70"/>
      <c r="AE170" s="70"/>
      <c r="AF170" s="70"/>
      <c r="AG170" s="70"/>
    </row>
    <row r="171" spans="21:33">
      <c r="U171" s="70"/>
      <c r="W171" s="70"/>
      <c r="X171" s="70"/>
      <c r="AC171" s="70"/>
      <c r="AD171" s="70"/>
      <c r="AE171" s="70"/>
      <c r="AF171" s="70"/>
      <c r="AG171" s="70"/>
    </row>
    <row r="172" spans="21:33">
      <c r="U172" s="70"/>
      <c r="W172" s="70"/>
      <c r="X172" s="70"/>
      <c r="AC172" s="70"/>
      <c r="AD172" s="70"/>
      <c r="AE172" s="70"/>
      <c r="AF172" s="70"/>
      <c r="AG172" s="70"/>
    </row>
    <row r="173" spans="21:33">
      <c r="U173" s="70"/>
      <c r="W173" s="70"/>
      <c r="X173" s="70"/>
      <c r="AC173" s="70"/>
      <c r="AD173" s="70"/>
      <c r="AE173" s="70"/>
      <c r="AF173" s="70"/>
      <c r="AG173" s="70"/>
    </row>
  </sheetData>
  <mergeCells count="38">
    <mergeCell ref="A151:E151"/>
    <mergeCell ref="E19:G19"/>
    <mergeCell ref="B20:C20"/>
    <mergeCell ref="B21:C21"/>
    <mergeCell ref="B22:C22"/>
    <mergeCell ref="A35:B35"/>
    <mergeCell ref="A19:C19"/>
    <mergeCell ref="A28:B28"/>
    <mergeCell ref="E24:F24"/>
    <mergeCell ref="A33:AG34"/>
    <mergeCell ref="A32:AG32"/>
    <mergeCell ref="A150:E150"/>
    <mergeCell ref="A149:E149"/>
    <mergeCell ref="A148:E148"/>
    <mergeCell ref="A147:E147"/>
    <mergeCell ref="A36:AG36"/>
    <mergeCell ref="U37:Z37"/>
    <mergeCell ref="AE37:AG37"/>
    <mergeCell ref="Q37:S37"/>
    <mergeCell ref="C37:K37"/>
    <mergeCell ref="M37:O37"/>
    <mergeCell ref="A146:E146"/>
    <mergeCell ref="A145:E145"/>
    <mergeCell ref="A144:E144"/>
    <mergeCell ref="A143:E143"/>
    <mergeCell ref="A139:C139"/>
    <mergeCell ref="A140:C140"/>
    <mergeCell ref="A1:G1"/>
    <mergeCell ref="A4:C4"/>
    <mergeCell ref="E4:G4"/>
    <mergeCell ref="B13:C13"/>
    <mergeCell ref="F13:G13"/>
    <mergeCell ref="D13:E13"/>
    <mergeCell ref="F6:F7"/>
    <mergeCell ref="G6:G7"/>
    <mergeCell ref="F8:F9"/>
    <mergeCell ref="G8:G9"/>
    <mergeCell ref="A2:G2"/>
  </mergeCells>
  <dataValidations count="6">
    <dataValidation type="whole" operator="greaterThan" allowBlank="1" showInputMessage="1" showErrorMessage="1" sqref="B39:B123 F21:F22 G39:H124" xr:uid="{00000000-0002-0000-0C00-000000000000}">
      <formula1>-1</formula1>
    </dataValidation>
    <dataValidation type="decimal" operator="greaterThan" allowBlank="1" showInputMessage="1" showErrorMessage="1" sqref="G21:G22 F39:F124" xr:uid="{00000000-0002-0000-0C00-000001000000}">
      <formula1>-1</formula1>
    </dataValidation>
    <dataValidation type="decimal" allowBlank="1" showInputMessage="1" showErrorMessage="1" sqref="B29" xr:uid="{00000000-0002-0000-0C00-000002000000}">
      <formula1>0</formula1>
      <formula2>100</formula2>
    </dataValidation>
    <dataValidation type="custom" allowBlank="1" showInputMessage="1" showErrorMessage="1" sqref="N124" xr:uid="{00000000-0002-0000-0C00-000003000000}">
      <formula1>IF($F$27="Month",U124,U124*12)</formula1>
    </dataValidation>
    <dataValidation type="custom" allowBlank="1" showInputMessage="1" showErrorMessage="1" sqref="O124" xr:uid="{00000000-0002-0000-0C00-000004000000}">
      <formula1>IF($F$27="Month",Q124/12+R124/12,Q124+R124)</formula1>
    </dataValidation>
    <dataValidation type="custom" allowBlank="1" showInputMessage="1" showErrorMessage="1" sqref="M124" xr:uid="{00000000-0002-0000-0C00-000005000000}">
      <formula1>IF($F$27="Month",N124+O124+(AC124*B124),N124+O124+(AC124*B124*12))</formula1>
    </dataValidation>
  </dataValidations>
  <hyperlinks>
    <hyperlink ref="A140:C140" r:id="rId1" display="Learn more about the Azure Site Recovery pricing" xr:uid="{00000000-0004-0000-0C00-000000000000}"/>
  </hyperlinks>
  <pageMargins left="0.7" right="0.7" top="0.75" bottom="0.75" header="0.3" footer="0.3"/>
  <pageSetup orientation="portrait" r:id="rId2"/>
  <ignoredErrors>
    <ignoredError sqref="B130:C130"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4819" r:id="rId5" name="Button 3">
              <controlPr defaultSize="0" print="0" autoFill="0" autoPict="0" macro="[0]!CalculateCostForManuallyAddedVMs_Click">
                <anchor moveWithCells="1" sizeWithCells="1">
                  <from>
                    <xdr:col>0</xdr:col>
                    <xdr:colOff>1657350</xdr:colOff>
                    <xdr:row>35</xdr:row>
                    <xdr:rowOff>57150</xdr:rowOff>
                  </from>
                  <to>
                    <xdr:col>1</xdr:col>
                    <xdr:colOff>1028700</xdr:colOff>
                    <xdr:row>35</xdr:row>
                    <xdr:rowOff>247650</xdr:rowOff>
                  </to>
                </anchor>
              </controlPr>
            </control>
          </mc:Choice>
        </mc:AlternateContent>
        <mc:AlternateContent xmlns:mc="http://schemas.openxmlformats.org/markup-compatibility/2006">
          <mc:Choice Requires="x14">
            <control shapeId="34837" r:id="rId6" name="Button 21">
              <controlPr defaultSize="0" print="0" autoFill="0" autoPict="0" macro="[0]!InsertRow">
                <anchor moveWithCells="1" sizeWithCells="1">
                  <from>
                    <xdr:col>0</xdr:col>
                    <xdr:colOff>133350</xdr:colOff>
                    <xdr:row>35</xdr:row>
                    <xdr:rowOff>57150</xdr:rowOff>
                  </from>
                  <to>
                    <xdr:col>0</xdr:col>
                    <xdr:colOff>1504950</xdr:colOff>
                    <xdr:row>35</xdr:row>
                    <xdr:rowOff>247650</xdr:rowOff>
                  </to>
                </anchor>
              </controlPr>
            </control>
          </mc:Choice>
        </mc:AlternateContent>
        <mc:AlternateContent xmlns:mc="http://schemas.openxmlformats.org/markup-compatibility/2006">
          <mc:Choice Requires="x14">
            <control shapeId="34840" r:id="rId7" name="Button 24">
              <controlPr defaultSize="0" print="0" autoFill="0" autoPict="0" macro="[0]!AHUBApplyToAllVms_Click">
                <anchor moveWithCells="1" sizeWithCells="1">
                  <from>
                    <xdr:col>10</xdr:col>
                    <xdr:colOff>904875</xdr:colOff>
                    <xdr:row>38</xdr:row>
                    <xdr:rowOff>9525</xdr:rowOff>
                  </from>
                  <to>
                    <xdr:col>11</xdr:col>
                    <xdr:colOff>0</xdr:colOff>
                    <xdr:row>38</xdr:row>
                    <xdr:rowOff>171450</xdr:rowOff>
                  </to>
                </anchor>
              </controlPr>
            </control>
          </mc:Choice>
        </mc:AlternateContent>
        <mc:AlternateContent xmlns:mc="http://schemas.openxmlformats.org/markup-compatibility/2006">
          <mc:Choice Requires="x14">
            <control shapeId="34841" r:id="rId8" name="Button 25">
              <controlPr defaultSize="0" print="0" autoFill="0" autoPict="0" macro="[0]!NumberOfDRDrillInAYear_ApplyToAllVms_Click">
                <anchor moveWithCells="1" sizeWithCells="1">
                  <from>
                    <xdr:col>6</xdr:col>
                    <xdr:colOff>733425</xdr:colOff>
                    <xdr:row>38</xdr:row>
                    <xdr:rowOff>9525</xdr:rowOff>
                  </from>
                  <to>
                    <xdr:col>7</xdr:col>
                    <xdr:colOff>9525</xdr:colOff>
                    <xdr:row>39</xdr:row>
                    <xdr:rowOff>0</xdr:rowOff>
                  </to>
                </anchor>
              </controlPr>
            </control>
          </mc:Choice>
        </mc:AlternateContent>
        <mc:AlternateContent xmlns:mc="http://schemas.openxmlformats.org/markup-compatibility/2006">
          <mc:Choice Requires="x14">
            <control shapeId="34842" r:id="rId9" name="Button 26">
              <controlPr defaultSize="0" print="0" autoFill="0" autoPict="0" macro="[0]!EachDRDrillPeriod_ApplyToAllVms_Click">
                <anchor moveWithCells="1" sizeWithCells="1">
                  <from>
                    <xdr:col>7</xdr:col>
                    <xdr:colOff>714375</xdr:colOff>
                    <xdr:row>38</xdr:row>
                    <xdr:rowOff>9525</xdr:rowOff>
                  </from>
                  <to>
                    <xdr:col>7</xdr:col>
                    <xdr:colOff>1476375</xdr:colOff>
                    <xdr:row>39</xdr:row>
                    <xdr:rowOff>0</xdr:rowOff>
                  </to>
                </anchor>
              </controlPr>
            </control>
          </mc:Choice>
        </mc:AlternateContent>
        <mc:AlternateContent xmlns:mc="http://schemas.openxmlformats.org/markup-compatibility/2006">
          <mc:Choice Requires="x14">
            <control shapeId="34844" r:id="rId10" name="Button 28">
              <controlPr defaultSize="0" print="0" autoFill="0" autoPict="0" macro="[0]!DataRedundancyApplyToAllVms_Click">
                <anchor moveWithCells="1" sizeWithCells="1">
                  <from>
                    <xdr:col>9</xdr:col>
                    <xdr:colOff>714375</xdr:colOff>
                    <xdr:row>38</xdr:row>
                    <xdr:rowOff>9525</xdr:rowOff>
                  </from>
                  <to>
                    <xdr:col>10</xdr:col>
                    <xdr:colOff>9525</xdr:colOff>
                    <xdr:row>39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1D72ECF5-BA25-444F-9253-BD7DB1F05C43}">
            <xm:f>Prices!$AN$3="IDR"</xm:f>
            <x14:dxf>
              <numFmt numFmtId="196" formatCode="&quot;IDR&quot;\ #,##0"/>
            </x14:dxf>
          </x14:cfRule>
          <x14:cfRule type="expression" priority="2" id="{4A91DBC8-813E-40C6-B198-215465C83C2F}">
            <xm:f>Prices!$AN$3="MYR"</xm:f>
            <x14:dxf>
              <numFmt numFmtId="195" formatCode="&quot;MYR&quot;\ #,##0"/>
            </x14:dxf>
          </x14:cfRule>
          <x14:cfRule type="expression" priority="3" id="{2AFA21BD-924D-4900-8BFA-B58A58B434F2}">
            <xm:f>Prices!$AN$3="MXN"</xm:f>
            <x14:dxf>
              <numFmt numFmtId="194" formatCode="&quot;MX$&quot;\ #,##0"/>
            </x14:dxf>
          </x14:cfRule>
          <x14:cfRule type="expression" priority="4" id="{99CB26EF-B6C6-4648-96D5-1A9FD79026D8}">
            <xm:f>Prices!$AN$3="BRL"</xm:f>
            <x14:dxf>
              <numFmt numFmtId="193" formatCode="&quot;R$&quot;\ #,##0"/>
            </x14:dxf>
          </x14:cfRule>
          <x14:cfRule type="expression" priority="5" id="{86AFF9B8-C9A4-4BF4-B5F5-6884E52F1324}">
            <xm:f>Prices!$AN$3="AUD"</xm:f>
            <x14:dxf>
              <numFmt numFmtId="192" formatCode="&quot;AU$&quot;\ #,##0"/>
            </x14:dxf>
          </x14:cfRule>
          <x14:cfRule type="expression" priority="6" id="{694E8D2D-73FA-4BF2-A5EC-4AC23ECA38BA}">
            <xm:f>Prices!$AN$3="ARS"</xm:f>
            <x14:dxf>
              <numFmt numFmtId="191" formatCode="&quot;ARS&quot;\ #,##0"/>
            </x14:dxf>
          </x14:cfRule>
          <x14:cfRule type="expression" priority="7" id="{2346F54A-2E43-472B-8D91-27FE1F7B0FA2}">
            <xm:f>Prices!$AN$3="CHF"</xm:f>
            <x14:dxf>
              <numFmt numFmtId="190" formatCode="&quot;CHF&quot;\ #,##0"/>
            </x14:dxf>
          </x14:cfRule>
          <x14:cfRule type="expression" priority="8" id="{03DB5A54-8F49-4A7B-BF1C-3E8AFD45E507}">
            <xm:f>Prices!$AN$3="EUR"</xm:f>
            <x14:dxf>
              <numFmt numFmtId="189" formatCode="\€\ #,##0"/>
            </x14:dxf>
          </x14:cfRule>
          <x14:cfRule type="expression" priority="9" id="{F0E0D9AD-2768-4023-96FE-43026DAB20FE}">
            <xm:f>Prices!$AN$3="TWD"</xm:f>
            <x14:dxf>
              <numFmt numFmtId="188" formatCode="&quot;NT$&quot;\ #,##0"/>
            </x14:dxf>
          </x14:cfRule>
          <x14:cfRule type="expression" priority="10" id="{C0DB9AF9-97F5-40C0-B641-32AA670E8A6B}">
            <xm:f>Prices!$AN$3="HKD"</xm:f>
            <x14:dxf>
              <numFmt numFmtId="187" formatCode="&quot;HK$&quot;\ #,##0"/>
            </x14:dxf>
          </x14:cfRule>
          <x14:cfRule type="expression" priority="11" id="{8C70E023-7709-4760-BED4-978ED8892133}">
            <xm:f>Prices!$AN$3="TRY"</xm:f>
            <x14:dxf>
              <numFmt numFmtId="186" formatCode="&quot;TRY&quot;\ #,##0"/>
            </x14:dxf>
          </x14:cfRule>
          <x14:cfRule type="expression" priority="12" id="{3D4277F7-CD77-4E79-A549-C32AEF0569D1}">
            <xm:f>Prices!$AN$3="SEK"</xm:f>
            <x14:dxf>
              <numFmt numFmtId="185" formatCode="&quot;SEK&quot;\ #,##0"/>
            </x14:dxf>
          </x14:cfRule>
          <x14:cfRule type="expression" priority="13" id="{3AF2A689-B56F-43BF-A21C-20ED1BADBE75}">
            <xm:f>Prices!$AN$3="ZAR"</xm:f>
            <x14:dxf>
              <numFmt numFmtId="184" formatCode="&quot;ZAR&quot;\ #,##0"/>
            </x14:dxf>
          </x14:cfRule>
          <x14:cfRule type="expression" priority="14" id="{32554415-E4C8-4155-8687-A16072CD7ECD}">
            <xm:f>Prices!$AN$3="SAR"</xm:f>
            <x14:dxf>
              <numFmt numFmtId="183" formatCode="&quot;SAR&quot;\ #,##0"/>
            </x14:dxf>
          </x14:cfRule>
          <x14:cfRule type="expression" priority="15" id="{D1E92B29-C755-429D-BE73-7BD2D831545B}">
            <xm:f>Prices!$AN$3="RUB"</xm:f>
            <x14:dxf>
              <numFmt numFmtId="182" formatCode="&quot;RUB&quot;\ #,##0"/>
            </x14:dxf>
          </x14:cfRule>
          <x14:cfRule type="expression" priority="16" id="{8FAC5EC7-74F9-4A74-B43F-93435E7EB137}">
            <xm:f>Prices!$AN$3="NOK"</xm:f>
            <x14:dxf>
              <numFmt numFmtId="181" formatCode="&quot;NOK&quot;\ #,##0"/>
            </x14:dxf>
          </x14:cfRule>
          <x14:cfRule type="expression" priority="17" id="{CB73D1E6-F26D-4EDB-9752-B0BAFB379A1F}">
            <xm:f>Prices!$AN$3="NZD"</xm:f>
            <x14:dxf>
              <numFmt numFmtId="180" formatCode="&quot;NZ$&quot;\ #,##0"/>
            </x14:dxf>
          </x14:cfRule>
          <x14:cfRule type="expression" priority="18" id="{F59073D9-1DAA-41F0-97C8-D92273ED8556}">
            <xm:f>Prices!$AN$3="KRW"</xm:f>
            <x14:dxf>
              <numFmt numFmtId="179" formatCode="\₩\ #,##0"/>
            </x14:dxf>
          </x14:cfRule>
          <x14:cfRule type="expression" priority="19" id="{C87D63E4-75C7-4A8B-BCED-76ED7780AE2C}">
            <xm:f>Prices!$AN$3="JPY"</xm:f>
            <x14:dxf>
              <numFmt numFmtId="178" formatCode="&quot;JP¥&quot;\ #,##0"/>
            </x14:dxf>
          </x14:cfRule>
          <x14:cfRule type="expression" priority="20" id="{09978D5E-D6AA-496F-9925-898CD086FB87}">
            <xm:f>Prices!$AN$3="CAD"</xm:f>
            <x14:dxf>
              <numFmt numFmtId="177" formatCode="&quot;CA$&quot;\ #,##0"/>
            </x14:dxf>
          </x14:cfRule>
          <x14:cfRule type="expression" priority="21" id="{F6C9734A-DC55-4238-A40D-299A4C790C77}">
            <xm:f>Prices!$AN$3="DKK"</xm:f>
            <x14:dxf>
              <numFmt numFmtId="176" formatCode="&quot;DKK&quot;\ #,##0"/>
            </x14:dxf>
          </x14:cfRule>
          <x14:cfRule type="expression" priority="56" id="{3113FAC5-00C7-4E59-A1F9-1FC62391177F}">
            <xm:f>Prices!$AN$3="INR"</xm:f>
            <x14:dxf>
              <numFmt numFmtId="175" formatCode="&quot;₹&quot;\ #,##0"/>
            </x14:dxf>
          </x14:cfRule>
          <x14:cfRule type="expression" priority="57" id="{2C059DBE-F1FF-404E-A318-E5A5E5379425}">
            <xm:f>Prices!$AN$3="GBP"</xm:f>
            <x14:dxf>
              <numFmt numFmtId="174" formatCode="[$£-809]#,##0"/>
            </x14:dxf>
          </x14:cfRule>
          <x14:cfRule type="expression" priority="58" id="{30F3E25D-A79E-442D-B728-59E6F799F8DA}">
            <xm:f>Prices!$AN$3="USD"</xm:f>
            <x14:dxf>
              <numFmt numFmtId="173" formatCode="[$$-409]#,##0"/>
            </x14:dxf>
          </x14:cfRule>
          <xm:sqref>B6:C10 F6:G10 B127:C131 B15:G17 G21:G22 U39:V133 AC39:AC133 X39:AA133 Q39:S133 AE39:AG133 M39:O133</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06000000}">
          <x14:formula1>
            <xm:f>Prices!$W$3:$W$4</xm:f>
          </x14:formula1>
          <xm:sqref>K39:K123</xm:sqref>
        </x14:dataValidation>
        <x14:dataValidation type="list" allowBlank="1" showInputMessage="1" showErrorMessage="1" xr:uid="{00000000-0002-0000-0C00-000007000000}">
          <x14:formula1>
            <xm:f>Prices!$AB$3:$AB$4</xm:f>
          </x14:formula1>
          <xm:sqref>F25</xm:sqref>
        </x14:dataValidation>
        <x14:dataValidation type="list" allowBlank="1" showInputMessage="1" showErrorMessage="1" xr:uid="{00000000-0002-0000-0C00-000008000000}">
          <x14:formula1>
            <xm:f>Prices!$AI$3:$AI$4</xm:f>
          </x14:formula1>
          <xm:sqref>F27</xm:sqref>
        </x14:dataValidation>
        <x14:dataValidation type="list" allowBlank="1" showInputMessage="1" showErrorMessage="1" xr:uid="{00000000-0002-0000-0C00-000009000000}">
          <x14:formula1>
            <xm:f>IF($F$25="Yes",Prices!$AP$9,Prices!$AP$4:$AP$6)</xm:f>
          </x14:formula1>
          <xm:sqref>J39:J123</xm:sqref>
        </x14:dataValidation>
        <x14:dataValidation type="list" allowBlank="1" showInputMessage="1" showErrorMessage="1" xr:uid="{00000000-0002-0000-0C00-00000A000000}">
          <x14:formula1>
            <xm:f>Prices!$AP$4:$AP$6</xm:f>
          </x14:formula1>
          <xm:sqref>J124</xm:sqref>
        </x14:dataValidation>
        <x14:dataValidation type="list" allowBlank="1" showInputMessage="1" showErrorMessage="1" xr:uid="{00000000-0002-0000-0C00-00000B000000}">
          <x14:formula1>
            <xm:f>OFFSET(Prices!$M$3,0,0,COUNTIF(Prices!$M:$M,"?*")-2,1)</xm:f>
          </x14:formula1>
          <xm:sqref>B20</xm:sqref>
        </x14:dataValidation>
        <x14:dataValidation type="list" allowBlank="1" showInputMessage="1" showErrorMessage="1" xr:uid="{00000000-0002-0000-0C00-00000C000000}">
          <x14:formula1>
            <xm:f>OFFSET(Prices!$P$3,0,0,COUNTIF(Prices!$P:$P,"?*")-2,1)</xm:f>
          </x14:formula1>
          <xm:sqref>B21</xm:sqref>
        </x14:dataValidation>
        <x14:dataValidation type="list" allowBlank="1" showInputMessage="1" showErrorMessage="1" xr:uid="{00000000-0002-0000-0C00-00000D000000}">
          <x14:formula1>
            <xm:f>OFFSET(Prices!$B$3,0,0,COUNTIF(Prices!$B:$B,"?*")-1,1)</xm:f>
          </x14:formula1>
          <xm:sqref>C25:C26 D39:D124</xm:sqref>
        </x14:dataValidation>
        <x14:dataValidation type="list" allowBlank="1" showInputMessage="1" showErrorMessage="1" xr:uid="{00000000-0002-0000-0C00-00000E000000}">
          <x14:formula1>
            <xm:f>Prices!$AR$3:$AR$4</xm:f>
          </x14:formula1>
          <xm:sqref>E39:E124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IR Batching Data</vt:lpstr>
      <vt:lpstr>Data</vt:lpstr>
      <vt:lpstr>Prices</vt:lpstr>
      <vt:lpstr>On-Premises Summary</vt:lpstr>
      <vt:lpstr>Recommendations</vt:lpstr>
      <vt:lpstr>VM&lt;-&gt;Storage Placement</vt:lpstr>
      <vt:lpstr>Compatible VMs</vt:lpstr>
      <vt:lpstr>Incompatible VMs</vt:lpstr>
      <vt:lpstr>On-premises Storage Requirement</vt:lpstr>
      <vt:lpstr>IR Batching for 60 min RPO</vt:lpstr>
      <vt:lpstr>IR Batching for 30 min RPO</vt:lpstr>
      <vt:lpstr>IR Batching for 15 min RPO</vt:lpstr>
      <vt:lpstr>Cost Estimation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Site Recovery Deployment Planner</dc:title>
  <dc:subject/>
  <dc:creator>Archan Das</dc:creator>
  <cp:lastModifiedBy>Jeff Wagner</cp:lastModifiedBy>
  <cp:lastPrinted>2016-11-15T10:16:33Z</cp:lastPrinted>
  <dcterms:created xsi:type="dcterms:W3CDTF">2016-09-20T09:04:09Z</dcterms:created>
  <dcterms:modified xsi:type="dcterms:W3CDTF">2018-04-24T14:37:48Z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Ref">
    <vt:lpwstr>https://api.informationprotection.azure.com/api/72f988bf-86f1-41af-91ab-2d7cd011db47</vt:lpwstr>
  </property>
  <property fmtid="{D5CDD505-2E9C-101B-9397-08002B2CF9AE}" pid="5" name="MSIP_Label_f42aa342-8706-4288-bd11-ebb85995028c_SetBy">
    <vt:lpwstr>nisoneji@microsoft.com</vt:lpwstr>
  </property>
  <property fmtid="{D5CDD505-2E9C-101B-9397-08002B2CF9AE}" pid="6" name="MSIP_Label_f42aa342-8706-4288-bd11-ebb85995028c_SetDate">
    <vt:lpwstr>2017-05-19T11:37:40.5121310+05:30</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